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melendez\Desktop\Máster de IA aplicada a Bolsa\Módulo 2 Algoritmos de inversión\Algoritmos de inversión\Días 3 , 4 y 5\Ejercicios sin resolver\"/>
    </mc:Choice>
  </mc:AlternateContent>
  <xr:revisionPtr revIDLastSave="0" documentId="13_ncr:1_{FBDA59FB-AE37-4A2D-821B-946D74E66C22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rkowitz" sheetId="5" r:id="rId1"/>
  </sheets>
  <definedNames>
    <definedName name="_xlnm._FilterDatabase" localSheetId="0" hidden="1">Markowitz!$M$43:$T$6000</definedName>
    <definedName name="n_de_simulaciones">Markowitz!$C$39</definedName>
    <definedName name="pendiente">Markowitz!$D$32</definedName>
    <definedName name="peso_maximo_activo">Markowitz!$C$38</definedName>
    <definedName name="peso_maximo_cartera">Markowitz!$C$36</definedName>
    <definedName name="peso_minimo_activo">Markowitz!$C$37</definedName>
    <definedName name="peso_minimo_cartera">Markowitz!$C$35</definedName>
    <definedName name="rentabilidad">Markowitz!$D$30</definedName>
    <definedName name="riesgo">Markowitz!$D$31</definedName>
    <definedName name="solver_adj" localSheetId="0" hidden="1">Markowitz!$C$17:$G$17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Markowitz!$D$32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1</definedName>
    <definedName name="solver_val" localSheetId="0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2" i="5" l="1"/>
  <c r="C21" i="5"/>
  <c r="D30" i="5"/>
  <c r="C18" i="5"/>
  <c r="C19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44" i="5"/>
  <c r="H45" i="5"/>
  <c r="I45" i="5"/>
  <c r="J45" i="5"/>
  <c r="K45" i="5"/>
  <c r="L45" i="5"/>
  <c r="H46" i="5"/>
  <c r="I46" i="5"/>
  <c r="J46" i="5"/>
  <c r="K46" i="5"/>
  <c r="L46" i="5"/>
  <c r="H47" i="5"/>
  <c r="I47" i="5"/>
  <c r="J47" i="5"/>
  <c r="K47" i="5"/>
  <c r="L47" i="5"/>
  <c r="H48" i="5"/>
  <c r="I48" i="5"/>
  <c r="J48" i="5"/>
  <c r="K48" i="5"/>
  <c r="L48" i="5"/>
  <c r="H49" i="5"/>
  <c r="I49" i="5"/>
  <c r="J49" i="5"/>
  <c r="K49" i="5"/>
  <c r="L49" i="5"/>
  <c r="H50" i="5"/>
  <c r="I50" i="5"/>
  <c r="J50" i="5"/>
  <c r="K50" i="5"/>
  <c r="L50" i="5"/>
  <c r="H51" i="5"/>
  <c r="I51" i="5"/>
  <c r="J51" i="5"/>
  <c r="K51" i="5"/>
  <c r="L51" i="5"/>
  <c r="H52" i="5"/>
  <c r="I52" i="5"/>
  <c r="J52" i="5"/>
  <c r="K52" i="5"/>
  <c r="L52" i="5"/>
  <c r="H53" i="5"/>
  <c r="I53" i="5"/>
  <c r="J53" i="5"/>
  <c r="K53" i="5"/>
  <c r="L53" i="5"/>
  <c r="H54" i="5"/>
  <c r="I54" i="5"/>
  <c r="J54" i="5"/>
  <c r="K54" i="5"/>
  <c r="L54" i="5"/>
  <c r="H55" i="5"/>
  <c r="I55" i="5"/>
  <c r="J55" i="5"/>
  <c r="K55" i="5"/>
  <c r="L55" i="5"/>
  <c r="H56" i="5"/>
  <c r="I56" i="5"/>
  <c r="J56" i="5"/>
  <c r="K56" i="5"/>
  <c r="L56" i="5"/>
  <c r="H57" i="5"/>
  <c r="I57" i="5"/>
  <c r="J57" i="5"/>
  <c r="K57" i="5"/>
  <c r="L57" i="5"/>
  <c r="H58" i="5"/>
  <c r="I58" i="5"/>
  <c r="J58" i="5"/>
  <c r="K58" i="5"/>
  <c r="L58" i="5"/>
  <c r="H59" i="5"/>
  <c r="I59" i="5"/>
  <c r="J59" i="5"/>
  <c r="K59" i="5"/>
  <c r="L59" i="5"/>
  <c r="H60" i="5"/>
  <c r="I60" i="5"/>
  <c r="J60" i="5"/>
  <c r="K60" i="5"/>
  <c r="L60" i="5"/>
  <c r="H61" i="5"/>
  <c r="I61" i="5"/>
  <c r="J61" i="5"/>
  <c r="K61" i="5"/>
  <c r="L61" i="5"/>
  <c r="H62" i="5"/>
  <c r="I62" i="5"/>
  <c r="J62" i="5"/>
  <c r="K62" i="5"/>
  <c r="L62" i="5"/>
  <c r="H63" i="5"/>
  <c r="I63" i="5"/>
  <c r="J63" i="5"/>
  <c r="K63" i="5"/>
  <c r="L63" i="5"/>
  <c r="H64" i="5"/>
  <c r="I64" i="5"/>
  <c r="J64" i="5"/>
  <c r="K64" i="5"/>
  <c r="L64" i="5"/>
  <c r="H65" i="5"/>
  <c r="I65" i="5"/>
  <c r="J65" i="5"/>
  <c r="K65" i="5"/>
  <c r="L65" i="5"/>
  <c r="H66" i="5"/>
  <c r="I66" i="5"/>
  <c r="J66" i="5"/>
  <c r="K66" i="5"/>
  <c r="L66" i="5"/>
  <c r="H67" i="5"/>
  <c r="I67" i="5"/>
  <c r="J67" i="5"/>
  <c r="K67" i="5"/>
  <c r="L67" i="5"/>
  <c r="H68" i="5"/>
  <c r="I68" i="5"/>
  <c r="J68" i="5"/>
  <c r="K68" i="5"/>
  <c r="L68" i="5"/>
  <c r="H69" i="5"/>
  <c r="I69" i="5"/>
  <c r="J69" i="5"/>
  <c r="K69" i="5"/>
  <c r="L69" i="5"/>
  <c r="H70" i="5"/>
  <c r="I70" i="5"/>
  <c r="J70" i="5"/>
  <c r="K70" i="5"/>
  <c r="L70" i="5"/>
  <c r="H71" i="5"/>
  <c r="I71" i="5"/>
  <c r="J71" i="5"/>
  <c r="K71" i="5"/>
  <c r="L71" i="5"/>
  <c r="H72" i="5"/>
  <c r="I72" i="5"/>
  <c r="J72" i="5"/>
  <c r="K72" i="5"/>
  <c r="L72" i="5"/>
  <c r="H73" i="5"/>
  <c r="I73" i="5"/>
  <c r="J73" i="5"/>
  <c r="K73" i="5"/>
  <c r="L73" i="5"/>
  <c r="H74" i="5"/>
  <c r="I74" i="5"/>
  <c r="J74" i="5"/>
  <c r="K74" i="5"/>
  <c r="L74" i="5"/>
  <c r="H75" i="5"/>
  <c r="I75" i="5"/>
  <c r="J75" i="5"/>
  <c r="K75" i="5"/>
  <c r="L75" i="5"/>
  <c r="H76" i="5"/>
  <c r="I76" i="5"/>
  <c r="J76" i="5"/>
  <c r="K76" i="5"/>
  <c r="L76" i="5"/>
  <c r="H77" i="5"/>
  <c r="I77" i="5"/>
  <c r="J77" i="5"/>
  <c r="K77" i="5"/>
  <c r="L77" i="5"/>
  <c r="H78" i="5"/>
  <c r="I78" i="5"/>
  <c r="J78" i="5"/>
  <c r="K78" i="5"/>
  <c r="L78" i="5"/>
  <c r="H79" i="5"/>
  <c r="I79" i="5"/>
  <c r="J79" i="5"/>
  <c r="K79" i="5"/>
  <c r="L79" i="5"/>
  <c r="H80" i="5"/>
  <c r="I80" i="5"/>
  <c r="J80" i="5"/>
  <c r="K80" i="5"/>
  <c r="L80" i="5"/>
  <c r="H81" i="5"/>
  <c r="I81" i="5"/>
  <c r="J81" i="5"/>
  <c r="K81" i="5"/>
  <c r="L81" i="5"/>
  <c r="H82" i="5"/>
  <c r="I82" i="5"/>
  <c r="J82" i="5"/>
  <c r="K82" i="5"/>
  <c r="L82" i="5"/>
  <c r="H83" i="5"/>
  <c r="I83" i="5"/>
  <c r="J83" i="5"/>
  <c r="K83" i="5"/>
  <c r="L83" i="5"/>
  <c r="H84" i="5"/>
  <c r="I84" i="5"/>
  <c r="J84" i="5"/>
  <c r="K84" i="5"/>
  <c r="L84" i="5"/>
  <c r="H85" i="5"/>
  <c r="I85" i="5"/>
  <c r="J85" i="5"/>
  <c r="K85" i="5"/>
  <c r="L85" i="5"/>
  <c r="H86" i="5"/>
  <c r="I86" i="5"/>
  <c r="J86" i="5"/>
  <c r="K86" i="5"/>
  <c r="L86" i="5"/>
  <c r="H87" i="5"/>
  <c r="I87" i="5"/>
  <c r="J87" i="5"/>
  <c r="K87" i="5"/>
  <c r="L87" i="5"/>
  <c r="H88" i="5"/>
  <c r="I88" i="5"/>
  <c r="J88" i="5"/>
  <c r="K88" i="5"/>
  <c r="L88" i="5"/>
  <c r="H89" i="5"/>
  <c r="I89" i="5"/>
  <c r="J89" i="5"/>
  <c r="K89" i="5"/>
  <c r="L89" i="5"/>
  <c r="H90" i="5"/>
  <c r="I90" i="5"/>
  <c r="J90" i="5"/>
  <c r="K90" i="5"/>
  <c r="L90" i="5"/>
  <c r="H91" i="5"/>
  <c r="I91" i="5"/>
  <c r="J91" i="5"/>
  <c r="K91" i="5"/>
  <c r="L91" i="5"/>
  <c r="H92" i="5"/>
  <c r="I92" i="5"/>
  <c r="J92" i="5"/>
  <c r="K92" i="5"/>
  <c r="L92" i="5"/>
  <c r="H93" i="5"/>
  <c r="I93" i="5"/>
  <c r="J93" i="5"/>
  <c r="K93" i="5"/>
  <c r="L93" i="5"/>
  <c r="H94" i="5"/>
  <c r="I94" i="5"/>
  <c r="J94" i="5"/>
  <c r="K94" i="5"/>
  <c r="L94" i="5"/>
  <c r="H95" i="5"/>
  <c r="I95" i="5"/>
  <c r="J95" i="5"/>
  <c r="K95" i="5"/>
  <c r="L95" i="5"/>
  <c r="H96" i="5"/>
  <c r="I96" i="5"/>
  <c r="J96" i="5"/>
  <c r="K96" i="5"/>
  <c r="L96" i="5"/>
  <c r="H97" i="5"/>
  <c r="I97" i="5"/>
  <c r="J97" i="5"/>
  <c r="K97" i="5"/>
  <c r="L97" i="5"/>
  <c r="H98" i="5"/>
  <c r="I98" i="5"/>
  <c r="J98" i="5"/>
  <c r="K98" i="5"/>
  <c r="L98" i="5"/>
  <c r="H99" i="5"/>
  <c r="I99" i="5"/>
  <c r="J99" i="5"/>
  <c r="K99" i="5"/>
  <c r="L99" i="5"/>
  <c r="H100" i="5"/>
  <c r="I100" i="5"/>
  <c r="J100" i="5"/>
  <c r="K100" i="5"/>
  <c r="L100" i="5"/>
  <c r="H101" i="5"/>
  <c r="I101" i="5"/>
  <c r="J101" i="5"/>
  <c r="K101" i="5"/>
  <c r="L101" i="5"/>
  <c r="H102" i="5"/>
  <c r="I102" i="5"/>
  <c r="J102" i="5"/>
  <c r="K102" i="5"/>
  <c r="L102" i="5"/>
  <c r="H103" i="5"/>
  <c r="I103" i="5"/>
  <c r="J103" i="5"/>
  <c r="K103" i="5"/>
  <c r="L103" i="5"/>
  <c r="H104" i="5"/>
  <c r="I104" i="5"/>
  <c r="J104" i="5"/>
  <c r="K104" i="5"/>
  <c r="L104" i="5"/>
  <c r="H105" i="5"/>
  <c r="I105" i="5"/>
  <c r="J105" i="5"/>
  <c r="K105" i="5"/>
  <c r="L105" i="5"/>
  <c r="H106" i="5"/>
  <c r="I106" i="5"/>
  <c r="J106" i="5"/>
  <c r="K106" i="5"/>
  <c r="L106" i="5"/>
  <c r="H107" i="5"/>
  <c r="I107" i="5"/>
  <c r="J107" i="5"/>
  <c r="K107" i="5"/>
  <c r="L107" i="5"/>
  <c r="H108" i="5"/>
  <c r="I108" i="5"/>
  <c r="J108" i="5"/>
  <c r="K108" i="5"/>
  <c r="L108" i="5"/>
  <c r="H109" i="5"/>
  <c r="I109" i="5"/>
  <c r="J109" i="5"/>
  <c r="K109" i="5"/>
  <c r="L109" i="5"/>
  <c r="H110" i="5"/>
  <c r="I110" i="5"/>
  <c r="J110" i="5"/>
  <c r="K110" i="5"/>
  <c r="L110" i="5"/>
  <c r="H111" i="5"/>
  <c r="I111" i="5"/>
  <c r="J111" i="5"/>
  <c r="K111" i="5"/>
  <c r="L111" i="5"/>
  <c r="H112" i="5"/>
  <c r="I112" i="5"/>
  <c r="J112" i="5"/>
  <c r="K112" i="5"/>
  <c r="L112" i="5"/>
  <c r="H113" i="5"/>
  <c r="I113" i="5"/>
  <c r="J113" i="5"/>
  <c r="K113" i="5"/>
  <c r="L113" i="5"/>
  <c r="H114" i="5"/>
  <c r="I114" i="5"/>
  <c r="J114" i="5"/>
  <c r="K114" i="5"/>
  <c r="L114" i="5"/>
  <c r="H115" i="5"/>
  <c r="I115" i="5"/>
  <c r="J115" i="5"/>
  <c r="K115" i="5"/>
  <c r="L115" i="5"/>
  <c r="H116" i="5"/>
  <c r="I116" i="5"/>
  <c r="J116" i="5"/>
  <c r="K116" i="5"/>
  <c r="L116" i="5"/>
  <c r="H117" i="5"/>
  <c r="I117" i="5"/>
  <c r="J117" i="5"/>
  <c r="K117" i="5"/>
  <c r="L117" i="5"/>
  <c r="H118" i="5"/>
  <c r="I118" i="5"/>
  <c r="J118" i="5"/>
  <c r="K118" i="5"/>
  <c r="L118" i="5"/>
  <c r="H119" i="5"/>
  <c r="I119" i="5"/>
  <c r="J119" i="5"/>
  <c r="K119" i="5"/>
  <c r="L119" i="5"/>
  <c r="H120" i="5"/>
  <c r="I120" i="5"/>
  <c r="J120" i="5"/>
  <c r="K120" i="5"/>
  <c r="L120" i="5"/>
  <c r="H121" i="5"/>
  <c r="I121" i="5"/>
  <c r="J121" i="5"/>
  <c r="K121" i="5"/>
  <c r="L121" i="5"/>
  <c r="H122" i="5"/>
  <c r="I122" i="5"/>
  <c r="J122" i="5"/>
  <c r="K122" i="5"/>
  <c r="L122" i="5"/>
  <c r="H123" i="5"/>
  <c r="I123" i="5"/>
  <c r="J123" i="5"/>
  <c r="K123" i="5"/>
  <c r="L123" i="5"/>
  <c r="H124" i="5"/>
  <c r="I124" i="5"/>
  <c r="J124" i="5"/>
  <c r="K124" i="5"/>
  <c r="L124" i="5"/>
  <c r="H125" i="5"/>
  <c r="I125" i="5"/>
  <c r="J125" i="5"/>
  <c r="K125" i="5"/>
  <c r="L125" i="5"/>
  <c r="H126" i="5"/>
  <c r="I126" i="5"/>
  <c r="J126" i="5"/>
  <c r="K126" i="5"/>
  <c r="L126" i="5"/>
  <c r="H127" i="5"/>
  <c r="I127" i="5"/>
  <c r="J127" i="5"/>
  <c r="K127" i="5"/>
  <c r="L127" i="5"/>
  <c r="H128" i="5"/>
  <c r="I128" i="5"/>
  <c r="J128" i="5"/>
  <c r="K128" i="5"/>
  <c r="L128" i="5"/>
  <c r="H129" i="5"/>
  <c r="I129" i="5"/>
  <c r="J129" i="5"/>
  <c r="K129" i="5"/>
  <c r="L129" i="5"/>
  <c r="H130" i="5"/>
  <c r="I130" i="5"/>
  <c r="J130" i="5"/>
  <c r="K130" i="5"/>
  <c r="L130" i="5"/>
  <c r="H131" i="5"/>
  <c r="I131" i="5"/>
  <c r="J131" i="5"/>
  <c r="K131" i="5"/>
  <c r="L131" i="5"/>
  <c r="H132" i="5"/>
  <c r="I132" i="5"/>
  <c r="J132" i="5"/>
  <c r="K132" i="5"/>
  <c r="L132" i="5"/>
  <c r="H133" i="5"/>
  <c r="I133" i="5"/>
  <c r="J133" i="5"/>
  <c r="K133" i="5"/>
  <c r="L133" i="5"/>
  <c r="H134" i="5"/>
  <c r="I134" i="5"/>
  <c r="J134" i="5"/>
  <c r="K134" i="5"/>
  <c r="L134" i="5"/>
  <c r="H135" i="5"/>
  <c r="I135" i="5"/>
  <c r="J135" i="5"/>
  <c r="K135" i="5"/>
  <c r="L135" i="5"/>
  <c r="H136" i="5"/>
  <c r="I136" i="5"/>
  <c r="J136" i="5"/>
  <c r="K136" i="5"/>
  <c r="L136" i="5"/>
  <c r="H137" i="5"/>
  <c r="I137" i="5"/>
  <c r="J137" i="5"/>
  <c r="K137" i="5"/>
  <c r="L137" i="5"/>
  <c r="H138" i="5"/>
  <c r="I138" i="5"/>
  <c r="J138" i="5"/>
  <c r="K138" i="5"/>
  <c r="L138" i="5"/>
  <c r="H139" i="5"/>
  <c r="I139" i="5"/>
  <c r="J139" i="5"/>
  <c r="K139" i="5"/>
  <c r="L139" i="5"/>
  <c r="H140" i="5"/>
  <c r="I140" i="5"/>
  <c r="J140" i="5"/>
  <c r="K140" i="5"/>
  <c r="L140" i="5"/>
  <c r="H141" i="5"/>
  <c r="I141" i="5"/>
  <c r="J141" i="5"/>
  <c r="K141" i="5"/>
  <c r="L141" i="5"/>
  <c r="H142" i="5"/>
  <c r="I142" i="5"/>
  <c r="J142" i="5"/>
  <c r="K142" i="5"/>
  <c r="L142" i="5"/>
  <c r="H143" i="5"/>
  <c r="I143" i="5"/>
  <c r="J143" i="5"/>
  <c r="K143" i="5"/>
  <c r="L143" i="5"/>
  <c r="H144" i="5"/>
  <c r="I144" i="5"/>
  <c r="J144" i="5"/>
  <c r="K144" i="5"/>
  <c r="L144" i="5"/>
  <c r="H145" i="5"/>
  <c r="I145" i="5"/>
  <c r="J145" i="5"/>
  <c r="K145" i="5"/>
  <c r="L145" i="5"/>
  <c r="H146" i="5"/>
  <c r="I146" i="5"/>
  <c r="J146" i="5"/>
  <c r="K146" i="5"/>
  <c r="L146" i="5"/>
  <c r="H147" i="5"/>
  <c r="I147" i="5"/>
  <c r="J147" i="5"/>
  <c r="K147" i="5"/>
  <c r="L147" i="5"/>
  <c r="H148" i="5"/>
  <c r="I148" i="5"/>
  <c r="J148" i="5"/>
  <c r="K148" i="5"/>
  <c r="L148" i="5"/>
  <c r="H149" i="5"/>
  <c r="I149" i="5"/>
  <c r="J149" i="5"/>
  <c r="K149" i="5"/>
  <c r="L149" i="5"/>
  <c r="H150" i="5"/>
  <c r="I150" i="5"/>
  <c r="J150" i="5"/>
  <c r="K150" i="5"/>
  <c r="L150" i="5"/>
  <c r="H151" i="5"/>
  <c r="I151" i="5"/>
  <c r="J151" i="5"/>
  <c r="K151" i="5"/>
  <c r="L151" i="5"/>
  <c r="H152" i="5"/>
  <c r="I152" i="5"/>
  <c r="J152" i="5"/>
  <c r="K152" i="5"/>
  <c r="L152" i="5"/>
  <c r="H153" i="5"/>
  <c r="I153" i="5"/>
  <c r="J153" i="5"/>
  <c r="K153" i="5"/>
  <c r="L153" i="5"/>
  <c r="H154" i="5"/>
  <c r="I154" i="5"/>
  <c r="J154" i="5"/>
  <c r="K154" i="5"/>
  <c r="L154" i="5"/>
  <c r="H155" i="5"/>
  <c r="I155" i="5"/>
  <c r="J155" i="5"/>
  <c r="K155" i="5"/>
  <c r="L155" i="5"/>
  <c r="H156" i="5"/>
  <c r="I156" i="5"/>
  <c r="J156" i="5"/>
  <c r="K156" i="5"/>
  <c r="L156" i="5"/>
  <c r="H157" i="5"/>
  <c r="I157" i="5"/>
  <c r="J157" i="5"/>
  <c r="K157" i="5"/>
  <c r="L157" i="5"/>
  <c r="H158" i="5"/>
  <c r="I158" i="5"/>
  <c r="J158" i="5"/>
  <c r="K158" i="5"/>
  <c r="L158" i="5"/>
  <c r="H159" i="5"/>
  <c r="I159" i="5"/>
  <c r="J159" i="5"/>
  <c r="K159" i="5"/>
  <c r="L159" i="5"/>
  <c r="H160" i="5"/>
  <c r="I160" i="5"/>
  <c r="J160" i="5"/>
  <c r="K160" i="5"/>
  <c r="L160" i="5"/>
  <c r="H161" i="5"/>
  <c r="I161" i="5"/>
  <c r="J161" i="5"/>
  <c r="K161" i="5"/>
  <c r="L161" i="5"/>
  <c r="H162" i="5"/>
  <c r="I162" i="5"/>
  <c r="J162" i="5"/>
  <c r="K162" i="5"/>
  <c r="L162" i="5"/>
  <c r="H163" i="5"/>
  <c r="I163" i="5"/>
  <c r="J163" i="5"/>
  <c r="K163" i="5"/>
  <c r="L163" i="5"/>
  <c r="H164" i="5"/>
  <c r="I164" i="5"/>
  <c r="J164" i="5"/>
  <c r="K164" i="5"/>
  <c r="L164" i="5"/>
  <c r="H165" i="5"/>
  <c r="I165" i="5"/>
  <c r="J165" i="5"/>
  <c r="K165" i="5"/>
  <c r="L165" i="5"/>
  <c r="H166" i="5"/>
  <c r="I166" i="5"/>
  <c r="J166" i="5"/>
  <c r="K166" i="5"/>
  <c r="L166" i="5"/>
  <c r="H167" i="5"/>
  <c r="I167" i="5"/>
  <c r="J167" i="5"/>
  <c r="K167" i="5"/>
  <c r="L167" i="5"/>
  <c r="H168" i="5"/>
  <c r="I168" i="5"/>
  <c r="J168" i="5"/>
  <c r="K168" i="5"/>
  <c r="L168" i="5"/>
  <c r="H169" i="5"/>
  <c r="I169" i="5"/>
  <c r="J169" i="5"/>
  <c r="K169" i="5"/>
  <c r="L169" i="5"/>
  <c r="H170" i="5"/>
  <c r="I170" i="5"/>
  <c r="J170" i="5"/>
  <c r="K170" i="5"/>
  <c r="L170" i="5"/>
  <c r="H171" i="5"/>
  <c r="I171" i="5"/>
  <c r="J171" i="5"/>
  <c r="K171" i="5"/>
  <c r="L171" i="5"/>
  <c r="H172" i="5"/>
  <c r="I172" i="5"/>
  <c r="J172" i="5"/>
  <c r="K172" i="5"/>
  <c r="L172" i="5"/>
  <c r="H173" i="5"/>
  <c r="I173" i="5"/>
  <c r="J173" i="5"/>
  <c r="K173" i="5"/>
  <c r="L173" i="5"/>
  <c r="H174" i="5"/>
  <c r="I174" i="5"/>
  <c r="J174" i="5"/>
  <c r="K174" i="5"/>
  <c r="L174" i="5"/>
  <c r="H175" i="5"/>
  <c r="I175" i="5"/>
  <c r="J175" i="5"/>
  <c r="K175" i="5"/>
  <c r="L175" i="5"/>
  <c r="H176" i="5"/>
  <c r="I176" i="5"/>
  <c r="J176" i="5"/>
  <c r="K176" i="5"/>
  <c r="L176" i="5"/>
  <c r="H177" i="5"/>
  <c r="I177" i="5"/>
  <c r="J177" i="5"/>
  <c r="K177" i="5"/>
  <c r="L177" i="5"/>
  <c r="H178" i="5"/>
  <c r="I178" i="5"/>
  <c r="J178" i="5"/>
  <c r="K178" i="5"/>
  <c r="L178" i="5"/>
  <c r="H179" i="5"/>
  <c r="I179" i="5"/>
  <c r="J179" i="5"/>
  <c r="K179" i="5"/>
  <c r="L179" i="5"/>
  <c r="H180" i="5"/>
  <c r="I180" i="5"/>
  <c r="J180" i="5"/>
  <c r="K180" i="5"/>
  <c r="L180" i="5"/>
  <c r="H181" i="5"/>
  <c r="I181" i="5"/>
  <c r="J181" i="5"/>
  <c r="K181" i="5"/>
  <c r="L181" i="5"/>
  <c r="H182" i="5"/>
  <c r="I182" i="5"/>
  <c r="J182" i="5"/>
  <c r="K182" i="5"/>
  <c r="L182" i="5"/>
  <c r="H183" i="5"/>
  <c r="I183" i="5"/>
  <c r="J183" i="5"/>
  <c r="K183" i="5"/>
  <c r="L183" i="5"/>
  <c r="H184" i="5"/>
  <c r="I184" i="5"/>
  <c r="J184" i="5"/>
  <c r="K184" i="5"/>
  <c r="L184" i="5"/>
  <c r="H185" i="5"/>
  <c r="I185" i="5"/>
  <c r="J185" i="5"/>
  <c r="K185" i="5"/>
  <c r="L185" i="5"/>
  <c r="H186" i="5"/>
  <c r="I186" i="5"/>
  <c r="J186" i="5"/>
  <c r="K186" i="5"/>
  <c r="L186" i="5"/>
  <c r="H187" i="5"/>
  <c r="I187" i="5"/>
  <c r="J187" i="5"/>
  <c r="K187" i="5"/>
  <c r="L187" i="5"/>
  <c r="H188" i="5"/>
  <c r="I188" i="5"/>
  <c r="J188" i="5"/>
  <c r="K188" i="5"/>
  <c r="L188" i="5"/>
  <c r="H189" i="5"/>
  <c r="I189" i="5"/>
  <c r="J189" i="5"/>
  <c r="K189" i="5"/>
  <c r="L189" i="5"/>
  <c r="H190" i="5"/>
  <c r="I190" i="5"/>
  <c r="J190" i="5"/>
  <c r="K190" i="5"/>
  <c r="L190" i="5"/>
  <c r="H191" i="5"/>
  <c r="I191" i="5"/>
  <c r="J191" i="5"/>
  <c r="K191" i="5"/>
  <c r="L191" i="5"/>
  <c r="H192" i="5"/>
  <c r="I192" i="5"/>
  <c r="J192" i="5"/>
  <c r="K192" i="5"/>
  <c r="L192" i="5"/>
  <c r="H193" i="5"/>
  <c r="I193" i="5"/>
  <c r="J193" i="5"/>
  <c r="K193" i="5"/>
  <c r="L193" i="5"/>
  <c r="H194" i="5"/>
  <c r="I194" i="5"/>
  <c r="J194" i="5"/>
  <c r="K194" i="5"/>
  <c r="L194" i="5"/>
  <c r="H195" i="5"/>
  <c r="I195" i="5"/>
  <c r="J195" i="5"/>
  <c r="K195" i="5"/>
  <c r="L195" i="5"/>
  <c r="H196" i="5"/>
  <c r="I196" i="5"/>
  <c r="J196" i="5"/>
  <c r="K196" i="5"/>
  <c r="L196" i="5"/>
  <c r="H197" i="5"/>
  <c r="I197" i="5"/>
  <c r="J197" i="5"/>
  <c r="K197" i="5"/>
  <c r="L197" i="5"/>
  <c r="H198" i="5"/>
  <c r="I198" i="5"/>
  <c r="J198" i="5"/>
  <c r="K198" i="5"/>
  <c r="L198" i="5"/>
  <c r="H199" i="5"/>
  <c r="I199" i="5"/>
  <c r="J199" i="5"/>
  <c r="K199" i="5"/>
  <c r="L199" i="5"/>
  <c r="H200" i="5"/>
  <c r="I200" i="5"/>
  <c r="J200" i="5"/>
  <c r="K200" i="5"/>
  <c r="L200" i="5"/>
  <c r="H201" i="5"/>
  <c r="I201" i="5"/>
  <c r="J201" i="5"/>
  <c r="K201" i="5"/>
  <c r="L201" i="5"/>
  <c r="H202" i="5"/>
  <c r="I202" i="5"/>
  <c r="J202" i="5"/>
  <c r="K202" i="5"/>
  <c r="L202" i="5"/>
  <c r="H203" i="5"/>
  <c r="I203" i="5"/>
  <c r="J203" i="5"/>
  <c r="K203" i="5"/>
  <c r="L203" i="5"/>
  <c r="H204" i="5"/>
  <c r="I204" i="5"/>
  <c r="J204" i="5"/>
  <c r="K204" i="5"/>
  <c r="L204" i="5"/>
  <c r="H205" i="5"/>
  <c r="I205" i="5"/>
  <c r="J205" i="5"/>
  <c r="K205" i="5"/>
  <c r="L205" i="5"/>
  <c r="H206" i="5"/>
  <c r="I206" i="5"/>
  <c r="J206" i="5"/>
  <c r="K206" i="5"/>
  <c r="L206" i="5"/>
  <c r="H207" i="5"/>
  <c r="I207" i="5"/>
  <c r="J207" i="5"/>
  <c r="K207" i="5"/>
  <c r="L207" i="5"/>
  <c r="H208" i="5"/>
  <c r="I208" i="5"/>
  <c r="J208" i="5"/>
  <c r="K208" i="5"/>
  <c r="L208" i="5"/>
  <c r="H209" i="5"/>
  <c r="I209" i="5"/>
  <c r="J209" i="5"/>
  <c r="K209" i="5"/>
  <c r="L209" i="5"/>
  <c r="H210" i="5"/>
  <c r="I210" i="5"/>
  <c r="J210" i="5"/>
  <c r="K210" i="5"/>
  <c r="L210" i="5"/>
  <c r="H211" i="5"/>
  <c r="I211" i="5"/>
  <c r="J211" i="5"/>
  <c r="K211" i="5"/>
  <c r="L211" i="5"/>
  <c r="H212" i="5"/>
  <c r="I212" i="5"/>
  <c r="J212" i="5"/>
  <c r="K212" i="5"/>
  <c r="L212" i="5"/>
  <c r="H213" i="5"/>
  <c r="I213" i="5"/>
  <c r="J213" i="5"/>
  <c r="K213" i="5"/>
  <c r="L213" i="5"/>
  <c r="H214" i="5"/>
  <c r="I214" i="5"/>
  <c r="J214" i="5"/>
  <c r="K214" i="5"/>
  <c r="L214" i="5"/>
  <c r="H215" i="5"/>
  <c r="I215" i="5"/>
  <c r="J215" i="5"/>
  <c r="K215" i="5"/>
  <c r="L215" i="5"/>
  <c r="H216" i="5"/>
  <c r="I216" i="5"/>
  <c r="J216" i="5"/>
  <c r="K216" i="5"/>
  <c r="L216" i="5"/>
  <c r="H217" i="5"/>
  <c r="I217" i="5"/>
  <c r="J217" i="5"/>
  <c r="K217" i="5"/>
  <c r="L217" i="5"/>
  <c r="H218" i="5"/>
  <c r="I218" i="5"/>
  <c r="J218" i="5"/>
  <c r="K218" i="5"/>
  <c r="L218" i="5"/>
  <c r="H219" i="5"/>
  <c r="I219" i="5"/>
  <c r="J219" i="5"/>
  <c r="K219" i="5"/>
  <c r="L219" i="5"/>
  <c r="H220" i="5"/>
  <c r="I220" i="5"/>
  <c r="J220" i="5"/>
  <c r="K220" i="5"/>
  <c r="L220" i="5"/>
  <c r="H221" i="5"/>
  <c r="I221" i="5"/>
  <c r="J221" i="5"/>
  <c r="K221" i="5"/>
  <c r="L221" i="5"/>
  <c r="H222" i="5"/>
  <c r="I222" i="5"/>
  <c r="J222" i="5"/>
  <c r="K222" i="5"/>
  <c r="L222" i="5"/>
  <c r="H223" i="5"/>
  <c r="I223" i="5"/>
  <c r="J223" i="5"/>
  <c r="K223" i="5"/>
  <c r="L223" i="5"/>
  <c r="H224" i="5"/>
  <c r="I224" i="5"/>
  <c r="J224" i="5"/>
  <c r="K224" i="5"/>
  <c r="L224" i="5"/>
  <c r="H225" i="5"/>
  <c r="I225" i="5"/>
  <c r="J225" i="5"/>
  <c r="K225" i="5"/>
  <c r="L225" i="5"/>
  <c r="H226" i="5"/>
  <c r="I226" i="5"/>
  <c r="J226" i="5"/>
  <c r="K226" i="5"/>
  <c r="L226" i="5"/>
  <c r="H227" i="5"/>
  <c r="I227" i="5"/>
  <c r="J227" i="5"/>
  <c r="K227" i="5"/>
  <c r="L227" i="5"/>
  <c r="H228" i="5"/>
  <c r="I228" i="5"/>
  <c r="J228" i="5"/>
  <c r="K228" i="5"/>
  <c r="L228" i="5"/>
  <c r="H229" i="5"/>
  <c r="I229" i="5"/>
  <c r="J229" i="5"/>
  <c r="K229" i="5"/>
  <c r="L229" i="5"/>
  <c r="H230" i="5"/>
  <c r="I230" i="5"/>
  <c r="J230" i="5"/>
  <c r="K230" i="5"/>
  <c r="L230" i="5"/>
  <c r="H231" i="5"/>
  <c r="I231" i="5"/>
  <c r="J231" i="5"/>
  <c r="K231" i="5"/>
  <c r="L231" i="5"/>
  <c r="H232" i="5"/>
  <c r="I232" i="5"/>
  <c r="J232" i="5"/>
  <c r="K232" i="5"/>
  <c r="L232" i="5"/>
  <c r="H233" i="5"/>
  <c r="I233" i="5"/>
  <c r="J233" i="5"/>
  <c r="K233" i="5"/>
  <c r="L233" i="5"/>
  <c r="H234" i="5"/>
  <c r="I234" i="5"/>
  <c r="J234" i="5"/>
  <c r="K234" i="5"/>
  <c r="L234" i="5"/>
  <c r="H235" i="5"/>
  <c r="I235" i="5"/>
  <c r="J235" i="5"/>
  <c r="K235" i="5"/>
  <c r="L235" i="5"/>
  <c r="H236" i="5"/>
  <c r="I236" i="5"/>
  <c r="J236" i="5"/>
  <c r="K236" i="5"/>
  <c r="L236" i="5"/>
  <c r="H237" i="5"/>
  <c r="I237" i="5"/>
  <c r="J237" i="5"/>
  <c r="K237" i="5"/>
  <c r="L237" i="5"/>
  <c r="H238" i="5"/>
  <c r="I238" i="5"/>
  <c r="J238" i="5"/>
  <c r="K238" i="5"/>
  <c r="L238" i="5"/>
  <c r="H239" i="5"/>
  <c r="I239" i="5"/>
  <c r="J239" i="5"/>
  <c r="K239" i="5"/>
  <c r="L239" i="5"/>
  <c r="H240" i="5"/>
  <c r="I240" i="5"/>
  <c r="J240" i="5"/>
  <c r="K240" i="5"/>
  <c r="L240" i="5"/>
  <c r="H241" i="5"/>
  <c r="I241" i="5"/>
  <c r="J241" i="5"/>
  <c r="K241" i="5"/>
  <c r="L241" i="5"/>
  <c r="H242" i="5"/>
  <c r="I242" i="5"/>
  <c r="J242" i="5"/>
  <c r="K242" i="5"/>
  <c r="L242" i="5"/>
  <c r="H243" i="5"/>
  <c r="I243" i="5"/>
  <c r="J243" i="5"/>
  <c r="K243" i="5"/>
  <c r="L243" i="5"/>
  <c r="H244" i="5"/>
  <c r="I244" i="5"/>
  <c r="J244" i="5"/>
  <c r="K244" i="5"/>
  <c r="L244" i="5"/>
  <c r="H245" i="5"/>
  <c r="I245" i="5"/>
  <c r="J245" i="5"/>
  <c r="K245" i="5"/>
  <c r="L245" i="5"/>
  <c r="H246" i="5"/>
  <c r="I246" i="5"/>
  <c r="J246" i="5"/>
  <c r="K246" i="5"/>
  <c r="L246" i="5"/>
  <c r="H247" i="5"/>
  <c r="I247" i="5"/>
  <c r="J247" i="5"/>
  <c r="K247" i="5"/>
  <c r="L247" i="5"/>
  <c r="H248" i="5"/>
  <c r="I248" i="5"/>
  <c r="J248" i="5"/>
  <c r="K248" i="5"/>
  <c r="L248" i="5"/>
  <c r="H249" i="5"/>
  <c r="I249" i="5"/>
  <c r="J249" i="5"/>
  <c r="K249" i="5"/>
  <c r="L249" i="5"/>
  <c r="H250" i="5"/>
  <c r="I250" i="5"/>
  <c r="J250" i="5"/>
  <c r="K250" i="5"/>
  <c r="L250" i="5"/>
  <c r="H251" i="5"/>
  <c r="I251" i="5"/>
  <c r="J251" i="5"/>
  <c r="K251" i="5"/>
  <c r="L251" i="5"/>
  <c r="H252" i="5"/>
  <c r="I252" i="5"/>
  <c r="J252" i="5"/>
  <c r="K252" i="5"/>
  <c r="L252" i="5"/>
  <c r="H253" i="5"/>
  <c r="I253" i="5"/>
  <c r="J253" i="5"/>
  <c r="K253" i="5"/>
  <c r="L253" i="5"/>
  <c r="H254" i="5"/>
  <c r="I254" i="5"/>
  <c r="J254" i="5"/>
  <c r="K254" i="5"/>
  <c r="L254" i="5"/>
  <c r="H255" i="5"/>
  <c r="I255" i="5"/>
  <c r="J255" i="5"/>
  <c r="K255" i="5"/>
  <c r="L255" i="5"/>
  <c r="H256" i="5"/>
  <c r="I256" i="5"/>
  <c r="J256" i="5"/>
  <c r="K256" i="5"/>
  <c r="L256" i="5"/>
  <c r="H257" i="5"/>
  <c r="I257" i="5"/>
  <c r="J257" i="5"/>
  <c r="K257" i="5"/>
  <c r="L257" i="5"/>
  <c r="H258" i="5"/>
  <c r="I258" i="5"/>
  <c r="J258" i="5"/>
  <c r="K258" i="5"/>
  <c r="L258" i="5"/>
  <c r="H259" i="5"/>
  <c r="I259" i="5"/>
  <c r="J259" i="5"/>
  <c r="K259" i="5"/>
  <c r="L259" i="5"/>
  <c r="H260" i="5"/>
  <c r="I260" i="5"/>
  <c r="J260" i="5"/>
  <c r="K260" i="5"/>
  <c r="L260" i="5"/>
  <c r="H261" i="5"/>
  <c r="I261" i="5"/>
  <c r="J261" i="5"/>
  <c r="K261" i="5"/>
  <c r="L261" i="5"/>
  <c r="H262" i="5"/>
  <c r="I262" i="5"/>
  <c r="J262" i="5"/>
  <c r="K262" i="5"/>
  <c r="L262" i="5"/>
  <c r="H263" i="5"/>
  <c r="I263" i="5"/>
  <c r="J263" i="5"/>
  <c r="K263" i="5"/>
  <c r="L263" i="5"/>
  <c r="H264" i="5"/>
  <c r="I264" i="5"/>
  <c r="J264" i="5"/>
  <c r="K264" i="5"/>
  <c r="L264" i="5"/>
  <c r="H265" i="5"/>
  <c r="I265" i="5"/>
  <c r="J265" i="5"/>
  <c r="K265" i="5"/>
  <c r="L265" i="5"/>
  <c r="H266" i="5"/>
  <c r="I266" i="5"/>
  <c r="J266" i="5"/>
  <c r="K266" i="5"/>
  <c r="L266" i="5"/>
  <c r="H267" i="5"/>
  <c r="I267" i="5"/>
  <c r="J267" i="5"/>
  <c r="K267" i="5"/>
  <c r="L267" i="5"/>
  <c r="H268" i="5"/>
  <c r="I268" i="5"/>
  <c r="J268" i="5"/>
  <c r="K268" i="5"/>
  <c r="L268" i="5"/>
  <c r="H269" i="5"/>
  <c r="I269" i="5"/>
  <c r="J269" i="5"/>
  <c r="K269" i="5"/>
  <c r="L269" i="5"/>
  <c r="H270" i="5"/>
  <c r="I270" i="5"/>
  <c r="J270" i="5"/>
  <c r="K270" i="5"/>
  <c r="L270" i="5"/>
  <c r="H271" i="5"/>
  <c r="I271" i="5"/>
  <c r="J271" i="5"/>
  <c r="K271" i="5"/>
  <c r="L271" i="5"/>
  <c r="H272" i="5"/>
  <c r="I272" i="5"/>
  <c r="J272" i="5"/>
  <c r="K272" i="5"/>
  <c r="L272" i="5"/>
  <c r="H273" i="5"/>
  <c r="I273" i="5"/>
  <c r="J273" i="5"/>
  <c r="K273" i="5"/>
  <c r="L273" i="5"/>
  <c r="H274" i="5"/>
  <c r="I274" i="5"/>
  <c r="J274" i="5"/>
  <c r="K274" i="5"/>
  <c r="L274" i="5"/>
  <c r="H275" i="5"/>
  <c r="I275" i="5"/>
  <c r="J275" i="5"/>
  <c r="K275" i="5"/>
  <c r="L275" i="5"/>
  <c r="H276" i="5"/>
  <c r="I276" i="5"/>
  <c r="J276" i="5"/>
  <c r="K276" i="5"/>
  <c r="L276" i="5"/>
  <c r="H277" i="5"/>
  <c r="I277" i="5"/>
  <c r="J277" i="5"/>
  <c r="K277" i="5"/>
  <c r="L277" i="5"/>
  <c r="H278" i="5"/>
  <c r="I278" i="5"/>
  <c r="J278" i="5"/>
  <c r="K278" i="5"/>
  <c r="L278" i="5"/>
  <c r="H279" i="5"/>
  <c r="I279" i="5"/>
  <c r="J279" i="5"/>
  <c r="K279" i="5"/>
  <c r="L279" i="5"/>
  <c r="H280" i="5"/>
  <c r="I280" i="5"/>
  <c r="J280" i="5"/>
  <c r="K280" i="5"/>
  <c r="L280" i="5"/>
  <c r="H281" i="5"/>
  <c r="I281" i="5"/>
  <c r="J281" i="5"/>
  <c r="K281" i="5"/>
  <c r="L281" i="5"/>
  <c r="H282" i="5"/>
  <c r="I282" i="5"/>
  <c r="J282" i="5"/>
  <c r="K282" i="5"/>
  <c r="L282" i="5"/>
  <c r="H283" i="5"/>
  <c r="I283" i="5"/>
  <c r="J283" i="5"/>
  <c r="K283" i="5"/>
  <c r="L283" i="5"/>
  <c r="H284" i="5"/>
  <c r="I284" i="5"/>
  <c r="J284" i="5"/>
  <c r="K284" i="5"/>
  <c r="L284" i="5"/>
  <c r="H285" i="5"/>
  <c r="I285" i="5"/>
  <c r="J285" i="5"/>
  <c r="K285" i="5"/>
  <c r="L285" i="5"/>
  <c r="H286" i="5"/>
  <c r="I286" i="5"/>
  <c r="J286" i="5"/>
  <c r="K286" i="5"/>
  <c r="L286" i="5"/>
  <c r="H287" i="5"/>
  <c r="I287" i="5"/>
  <c r="J287" i="5"/>
  <c r="K287" i="5"/>
  <c r="L287" i="5"/>
  <c r="H288" i="5"/>
  <c r="I288" i="5"/>
  <c r="J288" i="5"/>
  <c r="K288" i="5"/>
  <c r="L288" i="5"/>
  <c r="H289" i="5"/>
  <c r="I289" i="5"/>
  <c r="J289" i="5"/>
  <c r="K289" i="5"/>
  <c r="L289" i="5"/>
  <c r="H290" i="5"/>
  <c r="I290" i="5"/>
  <c r="J290" i="5"/>
  <c r="K290" i="5"/>
  <c r="L290" i="5"/>
  <c r="H291" i="5"/>
  <c r="I291" i="5"/>
  <c r="J291" i="5"/>
  <c r="K291" i="5"/>
  <c r="L291" i="5"/>
  <c r="H292" i="5"/>
  <c r="I292" i="5"/>
  <c r="J292" i="5"/>
  <c r="K292" i="5"/>
  <c r="L292" i="5"/>
  <c r="H293" i="5"/>
  <c r="I293" i="5"/>
  <c r="J293" i="5"/>
  <c r="K293" i="5"/>
  <c r="L293" i="5"/>
  <c r="H294" i="5"/>
  <c r="I294" i="5"/>
  <c r="J294" i="5"/>
  <c r="K294" i="5"/>
  <c r="L294" i="5"/>
  <c r="H295" i="5"/>
  <c r="I295" i="5"/>
  <c r="J295" i="5"/>
  <c r="K295" i="5"/>
  <c r="L295" i="5"/>
  <c r="H296" i="5"/>
  <c r="I296" i="5"/>
  <c r="J296" i="5"/>
  <c r="K296" i="5"/>
  <c r="L296" i="5"/>
  <c r="H297" i="5"/>
  <c r="I297" i="5"/>
  <c r="J297" i="5"/>
  <c r="K297" i="5"/>
  <c r="L297" i="5"/>
  <c r="H298" i="5"/>
  <c r="I298" i="5"/>
  <c r="J298" i="5"/>
  <c r="K298" i="5"/>
  <c r="L298" i="5"/>
  <c r="H299" i="5"/>
  <c r="I299" i="5"/>
  <c r="J299" i="5"/>
  <c r="K299" i="5"/>
  <c r="L299" i="5"/>
  <c r="H300" i="5"/>
  <c r="I300" i="5"/>
  <c r="J300" i="5"/>
  <c r="K300" i="5"/>
  <c r="L300" i="5"/>
  <c r="H301" i="5"/>
  <c r="I301" i="5"/>
  <c r="J301" i="5"/>
  <c r="K301" i="5"/>
  <c r="L301" i="5"/>
  <c r="H302" i="5"/>
  <c r="I302" i="5"/>
  <c r="J302" i="5"/>
  <c r="K302" i="5"/>
  <c r="L302" i="5"/>
  <c r="H303" i="5"/>
  <c r="I303" i="5"/>
  <c r="J303" i="5"/>
  <c r="K303" i="5"/>
  <c r="L303" i="5"/>
  <c r="I44" i="5"/>
  <c r="J44" i="5"/>
  <c r="K44" i="5"/>
  <c r="L44" i="5"/>
  <c r="H44" i="5"/>
  <c r="C14" i="5" s="1"/>
  <c r="G10" i="5" s="1"/>
  <c r="C25" i="5"/>
  <c r="C24" i="5"/>
  <c r="C23" i="5"/>
  <c r="C22" i="5"/>
  <c r="G14" i="5" l="1"/>
  <c r="F18" i="5"/>
  <c r="E13" i="5"/>
  <c r="F12" i="5" s="1"/>
  <c r="D13" i="5"/>
  <c r="F11" i="5" s="1"/>
  <c r="C10" i="5"/>
  <c r="G19" i="5"/>
  <c r="E19" i="5"/>
  <c r="D11" i="5"/>
  <c r="F13" i="5"/>
  <c r="C3" i="5"/>
  <c r="C5" i="5"/>
  <c r="C7" i="5"/>
  <c r="D5" i="5"/>
  <c r="D7" i="5"/>
  <c r="E6" i="5"/>
  <c r="F6" i="5"/>
  <c r="G7" i="5"/>
  <c r="G18" i="5"/>
  <c r="E18" i="5"/>
  <c r="C11" i="5"/>
  <c r="D10" i="5" s="1"/>
  <c r="C13" i="5"/>
  <c r="F10" i="5" s="1"/>
  <c r="D12" i="5"/>
  <c r="E11" i="5" s="1"/>
  <c r="D14" i="5"/>
  <c r="G11" i="5" s="1"/>
  <c r="E14" i="5"/>
  <c r="G12" i="5" s="1"/>
  <c r="F14" i="5"/>
  <c r="G13" i="5" s="1"/>
  <c r="F19" i="5"/>
  <c r="D19" i="5"/>
  <c r="E12" i="5"/>
  <c r="C4" i="5"/>
  <c r="C6" i="5"/>
  <c r="D4" i="5"/>
  <c r="D6" i="5"/>
  <c r="E5" i="5"/>
  <c r="E7" i="5"/>
  <c r="F7" i="5"/>
  <c r="D18" i="5"/>
  <c r="C12" i="5"/>
  <c r="E10" i="5" s="1"/>
  <c r="C27" i="5" l="1" a="1"/>
  <c r="D27" i="5" l="1"/>
  <c r="F27" i="5"/>
  <c r="G27" i="5"/>
  <c r="C27" i="5"/>
  <c r="E27" i="5"/>
  <c r="D31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gmelendez</author>
  </authors>
  <commentList>
    <comment ref="C10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gmelendez:</t>
        </r>
        <r>
          <rPr>
            <sz val="8"/>
            <color indexed="81"/>
            <rFont val="Tahoma"/>
            <family val="2"/>
          </rPr>
          <t xml:space="preserve">
La diagonal de la matriz son las varianzas</t>
        </r>
      </text>
    </comment>
    <comment ref="C11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gmelendez:</t>
        </r>
        <r>
          <rPr>
            <sz val="8"/>
            <color indexed="81"/>
            <rFont val="Tahoma"/>
            <family val="2"/>
          </rPr>
          <t xml:space="preserve">
Los datos de la "no diagonal" son las covarianzas</t>
        </r>
      </text>
    </comment>
    <comment ref="B18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gmelendez:</t>
        </r>
        <r>
          <rPr>
            <sz val="8"/>
            <color indexed="81"/>
            <rFont val="Tahoma"/>
            <family val="2"/>
          </rPr>
          <t xml:space="preserve">
Diaria</t>
        </r>
      </text>
    </comment>
    <comment ref="B19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gmelendez:</t>
        </r>
        <r>
          <rPr>
            <sz val="8"/>
            <color indexed="81"/>
            <rFont val="Tahoma"/>
            <family val="2"/>
          </rPr>
          <t xml:space="preserve">
Diaria.
Para que fuera anual habría que multiplicarla por raiz de 252</t>
        </r>
      </text>
    </comment>
    <comment ref="B2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gmelendez:</t>
        </r>
        <r>
          <rPr>
            <sz val="8"/>
            <color indexed="81"/>
            <rFont val="Tahoma"/>
            <family val="2"/>
          </rPr>
          <t xml:space="preserve">
CTRL+MAYÚS+ENTER</t>
        </r>
      </text>
    </comment>
  </commentList>
</comments>
</file>

<file path=xl/sharedStrings.xml><?xml version="1.0" encoding="utf-8"?>
<sst xmlns="http://schemas.openxmlformats.org/spreadsheetml/2006/main" count="79" uniqueCount="29">
  <si>
    <t>Rentabilidad</t>
  </si>
  <si>
    <t>Riesgo</t>
  </si>
  <si>
    <t>Bovespa</t>
  </si>
  <si>
    <t>Dax</t>
  </si>
  <si>
    <t>Hang Seng</t>
  </si>
  <si>
    <t>Ftse 100</t>
  </si>
  <si>
    <t>Nasdaq 100</t>
  </si>
  <si>
    <t>Origen</t>
  </si>
  <si>
    <t>Cartera</t>
  </si>
  <si>
    <t>Pendiente</t>
  </si>
  <si>
    <t>Pesos</t>
  </si>
  <si>
    <t>Correlaciones</t>
  </si>
  <si>
    <t>Var / Covar</t>
  </si>
  <si>
    <t>Desviación</t>
  </si>
  <si>
    <t>RESTRICCIONES DEL MODELO</t>
  </si>
  <si>
    <t>Peso mínimo cartera</t>
  </si>
  <si>
    <t>Peso máximo cartera</t>
  </si>
  <si>
    <t>Peso mínimo activo</t>
  </si>
  <si>
    <t>Peso máximo activo</t>
  </si>
  <si>
    <t>Fecha</t>
  </si>
  <si>
    <t>Precios</t>
  </si>
  <si>
    <t>Rendimientos</t>
  </si>
  <si>
    <t>Simulaciones</t>
  </si>
  <si>
    <t>Peso cartera</t>
  </si>
  <si>
    <t>Nº de simulaciones</t>
  </si>
  <si>
    <t>Composición cartera</t>
  </si>
  <si>
    <t>Mín riesgo</t>
  </si>
  <si>
    <t>Max rentabilidad</t>
  </si>
  <si>
    <t>Max pendiente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</si>
</sst>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_€_-;\-* #,##0.00\ _€_-;_-* &quot;-&quot;??\ _€_-;_-@_-"/>
    <numFmt numFmtId="165" formatCode="#,##0.00_ ;[Red]\-#,##0.00\ "/>
    <numFmt numFmtId="166" formatCode="0.00000%"/>
  </numFmts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5" fillId="5" borderId="0" xfId="0" applyFont="1" applyFill="1"/>
    <xf numFmtId="0" fontId="5" fillId="5" borderId="0" xfId="0" applyFont="1" applyFill="1" applyBorder="1"/>
    <xf numFmtId="165" fontId="4" fillId="3" borderId="0" xfId="2" applyNumberFormat="1" applyFont="1" applyFill="1" applyBorder="1" applyAlignment="1"/>
    <xf numFmtId="166" fontId="4" fillId="3" borderId="0" xfId="3" applyNumberFormat="1" applyFont="1" applyFill="1" applyBorder="1" applyAlignment="1"/>
    <xf numFmtId="166" fontId="5" fillId="3" borderId="0" xfId="3" applyNumberFormat="1" applyFont="1" applyFill="1" applyBorder="1" applyAlignment="1"/>
    <xf numFmtId="0" fontId="6" fillId="2" borderId="0" xfId="1" applyFont="1" applyFill="1" applyBorder="1" applyAlignment="1">
      <alignment horizontal="center"/>
    </xf>
    <xf numFmtId="0" fontId="6" fillId="2" borderId="0" xfId="1" applyFont="1" applyFill="1" applyBorder="1" applyAlignment="1"/>
    <xf numFmtId="0" fontId="4" fillId="5" borderId="0" xfId="1" applyFont="1" applyFill="1" applyBorder="1" applyAlignment="1">
      <alignment horizontal="center"/>
    </xf>
    <xf numFmtId="0" fontId="6" fillId="2" borderId="0" xfId="0" applyFont="1" applyFill="1"/>
    <xf numFmtId="4" fontId="5" fillId="3" borderId="0" xfId="0" applyNumberFormat="1" applyFont="1" applyFill="1"/>
    <xf numFmtId="10" fontId="4" fillId="6" borderId="0" xfId="1" applyNumberFormat="1" applyFont="1" applyFill="1" applyBorder="1" applyAlignment="1"/>
    <xf numFmtId="0" fontId="6" fillId="2" borderId="0" xfId="1" applyFont="1" applyFill="1" applyBorder="1" applyAlignment="1">
      <alignment horizontal="left"/>
    </xf>
    <xf numFmtId="10" fontId="4" fillId="3" borderId="0" xfId="1" applyNumberFormat="1" applyFont="1" applyFill="1" applyBorder="1" applyAlignment="1"/>
    <xf numFmtId="0" fontId="4" fillId="3" borderId="0" xfId="1" applyFont="1" applyFill="1"/>
    <xf numFmtId="0" fontId="6" fillId="2" borderId="0" xfId="1" applyFont="1" applyFill="1" applyBorder="1"/>
    <xf numFmtId="9" fontId="4" fillId="3" borderId="0" xfId="1" applyNumberFormat="1" applyFont="1" applyFill="1" applyBorder="1"/>
    <xf numFmtId="14" fontId="7" fillId="2" borderId="0" xfId="0" applyNumberFormat="1" applyFont="1" applyFill="1" applyAlignment="1">
      <alignment horizontal="center"/>
    </xf>
    <xf numFmtId="4" fontId="7" fillId="2" borderId="0" xfId="0" applyNumberFormat="1" applyFont="1" applyFill="1" applyAlignment="1">
      <alignment horizontal="center"/>
    </xf>
    <xf numFmtId="14" fontId="5" fillId="3" borderId="0" xfId="0" applyNumberFormat="1" applyFont="1" applyFill="1" applyAlignment="1">
      <alignment horizontal="center"/>
    </xf>
    <xf numFmtId="10" fontId="5" fillId="3" borderId="0" xfId="0" applyNumberFormat="1" applyFont="1" applyFill="1"/>
    <xf numFmtId="0" fontId="9" fillId="5" borderId="0" xfId="0" applyFont="1" applyFill="1"/>
    <xf numFmtId="166" fontId="4" fillId="5" borderId="0" xfId="3" applyNumberFormat="1" applyFont="1" applyFill="1" applyBorder="1" applyAlignment="1"/>
    <xf numFmtId="9" fontId="4" fillId="5" borderId="0" xfId="1" applyNumberFormat="1" applyFont="1" applyFill="1" applyBorder="1" applyAlignment="1"/>
    <xf numFmtId="10" fontId="4" fillId="6" borderId="0" xfId="1" applyNumberFormat="1" applyFont="1" applyFill="1" applyBorder="1"/>
    <xf numFmtId="10" fontId="5" fillId="5" borderId="0" xfId="0" applyNumberFormat="1" applyFont="1" applyFill="1"/>
    <xf numFmtId="3" fontId="5" fillId="3" borderId="0" xfId="0" applyNumberFormat="1" applyFont="1" applyFill="1"/>
    <xf numFmtId="0" fontId="8" fillId="5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</cellXfs>
  <cellStyles count="4">
    <cellStyle name="Millares 2" xfId="2" xr:uid="{00000000-0005-0000-0000-000000000000}"/>
    <cellStyle name="Normal" xfId="0" builtinId="0"/>
    <cellStyle name="Normal 2" xfId="1" xr:uid="{00000000-0005-0000-0000-000002000000}"/>
    <cellStyle name="Porcentual 2" xfId="3" xr:uid="{00000000-0005-0000-0000-00000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Markowitz!$N$43</c:f>
              <c:strCache>
                <c:ptCount val="1"/>
                <c:pt idx="0">
                  <c:v>Rentabilidad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2"/>
          </c:marker>
          <c:xVal>
            <c:numRef>
              <c:f>Markowitz!$M$44:$M$6000</c:f>
              <c:numCache>
                <c:formatCode>0.00%</c:formatCode>
                <c:ptCount val="5957"/>
                <c:pt idx="0">
                  <c:v>1.1508939689489975E-2</c:v>
                </c:pt>
                <c:pt idx="1">
                  <c:v>1.2953162917986183E-2</c:v>
                </c:pt>
                <c:pt idx="2">
                  <c:v>1.4013216223519354E-2</c:v>
                </c:pt>
                <c:pt idx="3">
                  <c:v>1.1536040424838453E-2</c:v>
                </c:pt>
                <c:pt idx="4">
                  <c:v>1.4201752820903989E-2</c:v>
                </c:pt>
                <c:pt idx="5">
                  <c:v>1.0331312767814439E-2</c:v>
                </c:pt>
                <c:pt idx="6">
                  <c:v>1.3842810103737418E-2</c:v>
                </c:pt>
                <c:pt idx="7">
                  <c:v>1.0296130351766712E-2</c:v>
                </c:pt>
                <c:pt idx="8">
                  <c:v>9.638502077334056E-3</c:v>
                </c:pt>
                <c:pt idx="9">
                  <c:v>1.5740839928933402E-2</c:v>
                </c:pt>
                <c:pt idx="10">
                  <c:v>9.6742806607821898E-3</c:v>
                </c:pt>
                <c:pt idx="11">
                  <c:v>1.3075606813184711E-2</c:v>
                </c:pt>
                <c:pt idx="12">
                  <c:v>9.5795363962064995E-3</c:v>
                </c:pt>
                <c:pt idx="13">
                  <c:v>9.6947853400666216E-3</c:v>
                </c:pt>
                <c:pt idx="14">
                  <c:v>1.2619070709277829E-2</c:v>
                </c:pt>
                <c:pt idx="15">
                  <c:v>1.4297439516260625E-2</c:v>
                </c:pt>
                <c:pt idx="16">
                  <c:v>1.1331139523755324E-2</c:v>
                </c:pt>
                <c:pt idx="17">
                  <c:v>1.7357097322569404E-2</c:v>
                </c:pt>
                <c:pt idx="18">
                  <c:v>9.5213202492338521E-3</c:v>
                </c:pt>
                <c:pt idx="19">
                  <c:v>1.016582388646449E-2</c:v>
                </c:pt>
                <c:pt idx="20">
                  <c:v>1.3233550764420348E-2</c:v>
                </c:pt>
                <c:pt idx="21">
                  <c:v>1.007584072238403E-2</c:v>
                </c:pt>
                <c:pt idx="22">
                  <c:v>1.3241074744009689E-2</c:v>
                </c:pt>
                <c:pt idx="23">
                  <c:v>1.3823512354188865E-2</c:v>
                </c:pt>
                <c:pt idx="24">
                  <c:v>1.0233535765077201E-2</c:v>
                </c:pt>
                <c:pt idx="25">
                  <c:v>1.7357097322569404E-2</c:v>
                </c:pt>
                <c:pt idx="26">
                  <c:v>1.3025664141353187E-2</c:v>
                </c:pt>
                <c:pt idx="27">
                  <c:v>1.0146327337031236E-2</c:v>
                </c:pt>
                <c:pt idx="28">
                  <c:v>1.1234592652910184E-2</c:v>
                </c:pt>
                <c:pt idx="29">
                  <c:v>1.1460338621273391E-2</c:v>
                </c:pt>
                <c:pt idx="30">
                  <c:v>1.6259946209723045E-2</c:v>
                </c:pt>
                <c:pt idx="31">
                  <c:v>9.9448918586649213E-3</c:v>
                </c:pt>
                <c:pt idx="32">
                  <c:v>1.2414094350028014E-2</c:v>
                </c:pt>
                <c:pt idx="33">
                  <c:v>9.9903983160641897E-3</c:v>
                </c:pt>
                <c:pt idx="34">
                  <c:v>1.0737484730818526E-2</c:v>
                </c:pt>
                <c:pt idx="35">
                  <c:v>1.3501322527238957E-2</c:v>
                </c:pt>
                <c:pt idx="36">
                  <c:v>1.3241074744009689E-2</c:v>
                </c:pt>
                <c:pt idx="37">
                  <c:v>1.1963392149990027E-2</c:v>
                </c:pt>
                <c:pt idx="38">
                  <c:v>1.350132252723896E-2</c:v>
                </c:pt>
                <c:pt idx="39">
                  <c:v>1.3118693968074727E-2</c:v>
                </c:pt>
                <c:pt idx="40">
                  <c:v>1.2819549273338381E-2</c:v>
                </c:pt>
                <c:pt idx="41">
                  <c:v>1.5904108076560286E-2</c:v>
                </c:pt>
                <c:pt idx="42">
                  <c:v>1.0912978398749273E-2</c:v>
                </c:pt>
                <c:pt idx="43">
                  <c:v>1.441711545283081E-2</c:v>
                </c:pt>
                <c:pt idx="44">
                  <c:v>1.1967207614074821E-2</c:v>
                </c:pt>
                <c:pt idx="45">
                  <c:v>1.6114488837884348E-2</c:v>
                </c:pt>
                <c:pt idx="46">
                  <c:v>1.3474696834592237E-2</c:v>
                </c:pt>
                <c:pt idx="47">
                  <c:v>1.4442119867290836E-2</c:v>
                </c:pt>
                <c:pt idx="48">
                  <c:v>9.9456205049447115E-3</c:v>
                </c:pt>
                <c:pt idx="49">
                  <c:v>1.0776284349146828E-2</c:v>
                </c:pt>
                <c:pt idx="50">
                  <c:v>1.6100360939876667E-2</c:v>
                </c:pt>
                <c:pt idx="51">
                  <c:v>9.7135700668702692E-3</c:v>
                </c:pt>
                <c:pt idx="52">
                  <c:v>1.774207684011481E-2</c:v>
                </c:pt>
                <c:pt idx="53">
                  <c:v>1.8928536094734424E-2</c:v>
                </c:pt>
                <c:pt idx="54">
                  <c:v>1.4013216223519356E-2</c:v>
                </c:pt>
                <c:pt idx="55">
                  <c:v>1.3866891629986427E-2</c:v>
                </c:pt>
                <c:pt idx="56">
                  <c:v>1.4850768084664567E-2</c:v>
                </c:pt>
                <c:pt idx="57">
                  <c:v>1.350132252723896E-2</c:v>
                </c:pt>
                <c:pt idx="58">
                  <c:v>1.2440916838572031E-2</c:v>
                </c:pt>
                <c:pt idx="59">
                  <c:v>1.2721974752147121E-2</c:v>
                </c:pt>
                <c:pt idx="60">
                  <c:v>1.0200049368475052E-2</c:v>
                </c:pt>
                <c:pt idx="61">
                  <c:v>1.0912978398749273E-2</c:v>
                </c:pt>
                <c:pt idx="62">
                  <c:v>1.3784746290399724E-2</c:v>
                </c:pt>
                <c:pt idx="63">
                  <c:v>1.3270102272778601E-2</c:v>
                </c:pt>
                <c:pt idx="64">
                  <c:v>1.2972249134427268E-2</c:v>
                </c:pt>
                <c:pt idx="65">
                  <c:v>1.3516466208713159E-2</c:v>
                </c:pt>
                <c:pt idx="66">
                  <c:v>1.0355187992500054E-2</c:v>
                </c:pt>
                <c:pt idx="67">
                  <c:v>1.1055889753564871E-2</c:v>
                </c:pt>
                <c:pt idx="68">
                  <c:v>1.1827437033241114E-2</c:v>
                </c:pt>
                <c:pt idx="69">
                  <c:v>1.0589308974980189E-2</c:v>
                </c:pt>
                <c:pt idx="70">
                  <c:v>1.2903399175077015E-2</c:v>
                </c:pt>
                <c:pt idx="71">
                  <c:v>1.375221941163177E-2</c:v>
                </c:pt>
                <c:pt idx="72">
                  <c:v>1.3323680807700692E-2</c:v>
                </c:pt>
                <c:pt idx="73">
                  <c:v>1.4111664700453743E-2</c:v>
                </c:pt>
                <c:pt idx="74">
                  <c:v>1.774207684011481E-2</c:v>
                </c:pt>
                <c:pt idx="75">
                  <c:v>1.0693950652381785E-2</c:v>
                </c:pt>
                <c:pt idx="76">
                  <c:v>1.1234592652910182E-2</c:v>
                </c:pt>
                <c:pt idx="77">
                  <c:v>1.6728668547775244E-2</c:v>
                </c:pt>
                <c:pt idx="78">
                  <c:v>1.0284648998742509E-2</c:v>
                </c:pt>
                <c:pt idx="79">
                  <c:v>9.7806068461881151E-3</c:v>
                </c:pt>
                <c:pt idx="80">
                  <c:v>1.6482271217304095E-2</c:v>
                </c:pt>
                <c:pt idx="81">
                  <c:v>1.3299665165112332E-2</c:v>
                </c:pt>
                <c:pt idx="82">
                  <c:v>9.4907493748314972E-3</c:v>
                </c:pt>
                <c:pt idx="83">
                  <c:v>1.4818894355887471E-2</c:v>
                </c:pt>
                <c:pt idx="84">
                  <c:v>1.5712515718385011E-2</c:v>
                </c:pt>
                <c:pt idx="85">
                  <c:v>1.8162832231029692E-2</c:v>
                </c:pt>
                <c:pt idx="86">
                  <c:v>1.2357430750214492E-2</c:v>
                </c:pt>
                <c:pt idx="87">
                  <c:v>1.1512513353023538E-2</c:v>
                </c:pt>
                <c:pt idx="88">
                  <c:v>1.7001045882918224E-2</c:v>
                </c:pt>
                <c:pt idx="89">
                  <c:v>1.0725350755565655E-2</c:v>
                </c:pt>
                <c:pt idx="90">
                  <c:v>1.0666632172008018E-2</c:v>
                </c:pt>
                <c:pt idx="91">
                  <c:v>1.3016354954297676E-2</c:v>
                </c:pt>
                <c:pt idx="92">
                  <c:v>1.1288317773245004E-2</c:v>
                </c:pt>
                <c:pt idx="93">
                  <c:v>1.0154326017134094E-2</c:v>
                </c:pt>
                <c:pt idx="94">
                  <c:v>1.5279767965445258E-2</c:v>
                </c:pt>
                <c:pt idx="95">
                  <c:v>1.1545579285161931E-2</c:v>
                </c:pt>
                <c:pt idx="96">
                  <c:v>1.2987795289377853E-2</c:v>
                </c:pt>
                <c:pt idx="97">
                  <c:v>1.007791157189062E-2</c:v>
                </c:pt>
                <c:pt idx="98">
                  <c:v>1.0237955221876789E-2</c:v>
                </c:pt>
                <c:pt idx="99">
                  <c:v>1.5241798667462335E-2</c:v>
                </c:pt>
                <c:pt idx="100">
                  <c:v>1.1103742306070523E-2</c:v>
                </c:pt>
                <c:pt idx="101">
                  <c:v>1.0502583005742475E-2</c:v>
                </c:pt>
                <c:pt idx="102">
                  <c:v>1.3025664141353185E-2</c:v>
                </c:pt>
                <c:pt idx="103">
                  <c:v>1.3401185870619408E-2</c:v>
                </c:pt>
                <c:pt idx="104">
                  <c:v>1.1766506833316757E-2</c:v>
                </c:pt>
                <c:pt idx="105">
                  <c:v>1.4076638263943285E-2</c:v>
                </c:pt>
                <c:pt idx="106">
                  <c:v>9.8364558540646185E-3</c:v>
                </c:pt>
                <c:pt idx="107">
                  <c:v>1.0448206544426552E-2</c:v>
                </c:pt>
                <c:pt idx="108">
                  <c:v>9.8517444126806422E-3</c:v>
                </c:pt>
                <c:pt idx="109">
                  <c:v>1.3627615734674556E-2</c:v>
                </c:pt>
                <c:pt idx="110">
                  <c:v>1.5194608787896906E-2</c:v>
                </c:pt>
                <c:pt idx="111">
                  <c:v>9.4635458443044617E-3</c:v>
                </c:pt>
                <c:pt idx="112">
                  <c:v>1.3621378205520344E-2</c:v>
                </c:pt>
                <c:pt idx="113">
                  <c:v>9.8536848161496909E-3</c:v>
                </c:pt>
                <c:pt idx="114">
                  <c:v>1.4850768084664567E-2</c:v>
                </c:pt>
                <c:pt idx="115">
                  <c:v>1.7613123556929056E-2</c:v>
                </c:pt>
                <c:pt idx="116">
                  <c:v>1.4507803342801965E-2</c:v>
                </c:pt>
                <c:pt idx="117">
                  <c:v>1.3219068212099946E-2</c:v>
                </c:pt>
                <c:pt idx="118">
                  <c:v>1.0972784808687778E-2</c:v>
                </c:pt>
                <c:pt idx="119">
                  <c:v>1.3477023577569001E-2</c:v>
                </c:pt>
                <c:pt idx="120">
                  <c:v>1.117514062602994E-2</c:v>
                </c:pt>
                <c:pt idx="121">
                  <c:v>1.0125926034711158E-2</c:v>
                </c:pt>
                <c:pt idx="122">
                  <c:v>1.2595367603558399E-2</c:v>
                </c:pt>
                <c:pt idx="123">
                  <c:v>1.0766686865508605E-2</c:v>
                </c:pt>
                <c:pt idx="124">
                  <c:v>1.0569640821757332E-2</c:v>
                </c:pt>
                <c:pt idx="125">
                  <c:v>1.8661079521685268E-2</c:v>
                </c:pt>
                <c:pt idx="126">
                  <c:v>1.3394113691471478E-2</c:v>
                </c:pt>
                <c:pt idx="127">
                  <c:v>9.5662104058997343E-3</c:v>
                </c:pt>
                <c:pt idx="128">
                  <c:v>1.2958399052594405E-2</c:v>
                </c:pt>
                <c:pt idx="129">
                  <c:v>1.3651596080295916E-2</c:v>
                </c:pt>
                <c:pt idx="130">
                  <c:v>1.1401739475669198E-2</c:v>
                </c:pt>
                <c:pt idx="131">
                  <c:v>1.1886501898264552E-2</c:v>
                </c:pt>
                <c:pt idx="132">
                  <c:v>1.0199118291272596E-2</c:v>
                </c:pt>
                <c:pt idx="133">
                  <c:v>1.8528130402520309E-2</c:v>
                </c:pt>
                <c:pt idx="134">
                  <c:v>1.0293227629356376E-2</c:v>
                </c:pt>
                <c:pt idx="135">
                  <c:v>1.6728668547775244E-2</c:v>
                </c:pt>
                <c:pt idx="136">
                  <c:v>1.3127394136794177E-2</c:v>
                </c:pt>
                <c:pt idx="137">
                  <c:v>1.0267488646913093E-2</c:v>
                </c:pt>
                <c:pt idx="138">
                  <c:v>1.3842888435093081E-2</c:v>
                </c:pt>
                <c:pt idx="139">
                  <c:v>1.5546131243015434E-2</c:v>
                </c:pt>
                <c:pt idx="140">
                  <c:v>1.3735477438161735E-2</c:v>
                </c:pt>
                <c:pt idx="141">
                  <c:v>1.3674008432626252E-2</c:v>
                </c:pt>
                <c:pt idx="142">
                  <c:v>1.276851494835083E-2</c:v>
                </c:pt>
                <c:pt idx="143">
                  <c:v>1.3208872072036058E-2</c:v>
                </c:pt>
                <c:pt idx="144">
                  <c:v>1.390452838941523E-2</c:v>
                </c:pt>
                <c:pt idx="145">
                  <c:v>1.3984850690816109E-2</c:v>
                </c:pt>
                <c:pt idx="146">
                  <c:v>1.2140287810705053E-2</c:v>
                </c:pt>
                <c:pt idx="147">
                  <c:v>1.1494906420135261E-2</c:v>
                </c:pt>
                <c:pt idx="148">
                  <c:v>1.29642486731527E-2</c:v>
                </c:pt>
                <c:pt idx="149">
                  <c:v>9.9214497056462035E-3</c:v>
                </c:pt>
                <c:pt idx="150">
                  <c:v>9.6760606689901101E-3</c:v>
                </c:pt>
                <c:pt idx="151">
                  <c:v>1.3876782910384536E-2</c:v>
                </c:pt>
                <c:pt idx="152">
                  <c:v>1.1383691064210772E-2</c:v>
                </c:pt>
                <c:pt idx="153">
                  <c:v>1.8794551774568874E-2</c:v>
                </c:pt>
                <c:pt idx="154">
                  <c:v>1.0694690266041045E-2</c:v>
                </c:pt>
                <c:pt idx="155">
                  <c:v>1.4908157824335553E-2</c:v>
                </c:pt>
                <c:pt idx="156">
                  <c:v>9.7582822454089918E-3</c:v>
                </c:pt>
                <c:pt idx="157">
                  <c:v>1.1103742306070523E-2</c:v>
                </c:pt>
                <c:pt idx="158">
                  <c:v>1.0666632172008018E-2</c:v>
                </c:pt>
                <c:pt idx="159">
                  <c:v>1.3057539185612921E-2</c:v>
                </c:pt>
                <c:pt idx="160">
                  <c:v>9.7313460251669103E-3</c:v>
                </c:pt>
                <c:pt idx="161">
                  <c:v>1.0444953040813672E-2</c:v>
                </c:pt>
                <c:pt idx="162">
                  <c:v>1.5279767965445258E-2</c:v>
                </c:pt>
                <c:pt idx="163">
                  <c:v>1.1545579285161931E-2</c:v>
                </c:pt>
                <c:pt idx="164">
                  <c:v>1.2987795289377853E-2</c:v>
                </c:pt>
                <c:pt idx="165">
                  <c:v>1.014404819400728E-2</c:v>
                </c:pt>
                <c:pt idx="166">
                  <c:v>1.2714530835244856E-2</c:v>
                </c:pt>
                <c:pt idx="167">
                  <c:v>1.0200685624986829E-2</c:v>
                </c:pt>
                <c:pt idx="168">
                  <c:v>1.2679648481248395E-2</c:v>
                </c:pt>
                <c:pt idx="169">
                  <c:v>1.0283284436038657E-2</c:v>
                </c:pt>
                <c:pt idx="170">
                  <c:v>1.4201752820903987E-2</c:v>
                </c:pt>
                <c:pt idx="171">
                  <c:v>1.335445232784878E-2</c:v>
                </c:pt>
                <c:pt idx="172">
                  <c:v>1.1766506833316759E-2</c:v>
                </c:pt>
                <c:pt idx="173">
                  <c:v>1.4043816940215016E-2</c:v>
                </c:pt>
                <c:pt idx="174">
                  <c:v>1.0069275629952633E-2</c:v>
                </c:pt>
                <c:pt idx="175">
                  <c:v>1.6605098630716873E-2</c:v>
                </c:pt>
                <c:pt idx="176">
                  <c:v>1.5998727079513643E-2</c:v>
                </c:pt>
                <c:pt idx="177">
                  <c:v>1.1464723940062885E-2</c:v>
                </c:pt>
                <c:pt idx="178">
                  <c:v>1.2022732430238913E-2</c:v>
                </c:pt>
                <c:pt idx="179">
                  <c:v>1.7230052311804852E-2</c:v>
                </c:pt>
                <c:pt idx="180">
                  <c:v>9.886018503842452E-3</c:v>
                </c:pt>
                <c:pt idx="181">
                  <c:v>1.8395715759419593E-2</c:v>
                </c:pt>
                <c:pt idx="182">
                  <c:v>1.0377555350026029E-2</c:v>
                </c:pt>
                <c:pt idx="183">
                  <c:v>1.0248298050818193E-2</c:v>
                </c:pt>
                <c:pt idx="184">
                  <c:v>1.1434089742239579E-2</c:v>
                </c:pt>
                <c:pt idx="185">
                  <c:v>1.4637253852239254E-2</c:v>
                </c:pt>
                <c:pt idx="186">
                  <c:v>1.1203108781188782E-2</c:v>
                </c:pt>
                <c:pt idx="187">
                  <c:v>1.4111664700453743E-2</c:v>
                </c:pt>
                <c:pt idx="188">
                  <c:v>1.4996259129818388E-2</c:v>
                </c:pt>
                <c:pt idx="189">
                  <c:v>1.1516257910888743E-2</c:v>
                </c:pt>
                <c:pt idx="190">
                  <c:v>1.0092639108215361E-2</c:v>
                </c:pt>
                <c:pt idx="191">
                  <c:v>1.0287015734427196E-2</c:v>
                </c:pt>
                <c:pt idx="192">
                  <c:v>1.1490302679048764E-2</c:v>
                </c:pt>
                <c:pt idx="193">
                  <c:v>1.2968557061063665E-2</c:v>
                </c:pt>
                <c:pt idx="194">
                  <c:v>1.0277010924355708E-2</c:v>
                </c:pt>
                <c:pt idx="195">
                  <c:v>1.0963297157137083E-2</c:v>
                </c:pt>
                <c:pt idx="196">
                  <c:v>1.4123718142303426E-2</c:v>
                </c:pt>
                <c:pt idx="197">
                  <c:v>1.032247063989955E-2</c:v>
                </c:pt>
                <c:pt idx="198">
                  <c:v>1.0556532643402264E-2</c:v>
                </c:pt>
                <c:pt idx="199">
                  <c:v>1.4159173434704696E-2</c:v>
                </c:pt>
                <c:pt idx="200">
                  <c:v>1.3128194712138254E-2</c:v>
                </c:pt>
                <c:pt idx="201">
                  <c:v>1.2045060587124469E-2</c:v>
                </c:pt>
                <c:pt idx="202">
                  <c:v>1.0377555350026029E-2</c:v>
                </c:pt>
                <c:pt idx="203">
                  <c:v>1.393570554349606E-2</c:v>
                </c:pt>
                <c:pt idx="204">
                  <c:v>1.4054415181796754E-2</c:v>
                </c:pt>
                <c:pt idx="205">
                  <c:v>1.1286071671928853E-2</c:v>
                </c:pt>
                <c:pt idx="206">
                  <c:v>1.0799674767893144E-2</c:v>
                </c:pt>
                <c:pt idx="207">
                  <c:v>1.4087878221483125E-2</c:v>
                </c:pt>
                <c:pt idx="208">
                  <c:v>1.383981491350712E-2</c:v>
                </c:pt>
                <c:pt idx="209">
                  <c:v>1.2626317807267806E-2</c:v>
                </c:pt>
                <c:pt idx="210">
                  <c:v>1.0725350755565655E-2</c:v>
                </c:pt>
                <c:pt idx="211">
                  <c:v>1.4367156485985241E-2</c:v>
                </c:pt>
                <c:pt idx="212">
                  <c:v>1.7613123556929056E-2</c:v>
                </c:pt>
                <c:pt idx="213">
                  <c:v>1.0311235047610692E-2</c:v>
                </c:pt>
                <c:pt idx="214">
                  <c:v>1.5904108076560286E-2</c:v>
                </c:pt>
                <c:pt idx="215">
                  <c:v>1.73570973225694E-2</c:v>
                </c:pt>
                <c:pt idx="216">
                  <c:v>1.0739186444701761E-2</c:v>
                </c:pt>
                <c:pt idx="217">
                  <c:v>1.0384409819039785E-2</c:v>
                </c:pt>
                <c:pt idx="218">
                  <c:v>1.0293138345401874E-2</c:v>
                </c:pt>
                <c:pt idx="219">
                  <c:v>9.892342209237617E-3</c:v>
                </c:pt>
                <c:pt idx="220">
                  <c:v>9.2026942973642174E-3</c:v>
                </c:pt>
                <c:pt idx="221">
                  <c:v>1.4111664700453743E-2</c:v>
                </c:pt>
                <c:pt idx="222">
                  <c:v>1.3009110546230461E-2</c:v>
                </c:pt>
                <c:pt idx="223">
                  <c:v>1.0526202932202378E-2</c:v>
                </c:pt>
                <c:pt idx="224">
                  <c:v>1.4598173478091841E-2</c:v>
                </c:pt>
                <c:pt idx="225">
                  <c:v>1.5017412479529058E-2</c:v>
                </c:pt>
                <c:pt idx="226">
                  <c:v>1.2104896698148375E-2</c:v>
                </c:pt>
                <c:pt idx="227">
                  <c:v>1.1443542192633299E-2</c:v>
                </c:pt>
                <c:pt idx="228">
                  <c:v>1.1103742306070523E-2</c:v>
                </c:pt>
                <c:pt idx="229">
                  <c:v>1.0666632172008018E-2</c:v>
                </c:pt>
                <c:pt idx="230">
                  <c:v>1.2886241582534257E-2</c:v>
                </c:pt>
                <c:pt idx="231">
                  <c:v>1.2000009016157286E-2</c:v>
                </c:pt>
                <c:pt idx="232">
                  <c:v>1.0444953040813672E-2</c:v>
                </c:pt>
                <c:pt idx="233">
                  <c:v>1.5199720240778335E-2</c:v>
                </c:pt>
                <c:pt idx="234">
                  <c:v>1.1545579285161931E-2</c:v>
                </c:pt>
                <c:pt idx="235">
                  <c:v>1.3012197457991469E-2</c:v>
                </c:pt>
                <c:pt idx="236">
                  <c:v>1.383981491350712E-2</c:v>
                </c:pt>
                <c:pt idx="237">
                  <c:v>1.2783432032757516E-2</c:v>
                </c:pt>
                <c:pt idx="238">
                  <c:v>1.0283284436038655E-2</c:v>
                </c:pt>
                <c:pt idx="239">
                  <c:v>1.1905639869225444E-2</c:v>
                </c:pt>
                <c:pt idx="240">
                  <c:v>1.0237955221876791E-2</c:v>
                </c:pt>
                <c:pt idx="241">
                  <c:v>1.4123718142303426E-2</c:v>
                </c:pt>
                <c:pt idx="242">
                  <c:v>1.3410873831396029E-2</c:v>
                </c:pt>
                <c:pt idx="243">
                  <c:v>1.3882356534975661E-2</c:v>
                </c:pt>
                <c:pt idx="244">
                  <c:v>1.378489049450435E-2</c:v>
                </c:pt>
                <c:pt idx="245">
                  <c:v>1.0154326017134094E-2</c:v>
                </c:pt>
                <c:pt idx="246">
                  <c:v>1.6852964635850839E-2</c:v>
                </c:pt>
                <c:pt idx="247">
                  <c:v>9.9903983160641897E-3</c:v>
                </c:pt>
                <c:pt idx="248">
                  <c:v>1.0186518218423176E-2</c:v>
                </c:pt>
                <c:pt idx="249">
                  <c:v>1.1303081540850851E-2</c:v>
                </c:pt>
                <c:pt idx="250">
                  <c:v>1.7613123556929056E-2</c:v>
                </c:pt>
                <c:pt idx="251">
                  <c:v>1.1456515705688709E-2</c:v>
                </c:pt>
                <c:pt idx="252">
                  <c:v>1.0683555184416627E-2</c:v>
                </c:pt>
                <c:pt idx="253">
                  <c:v>1.0737484730818526E-2</c:v>
                </c:pt>
                <c:pt idx="254">
                  <c:v>1.3307530022220166E-2</c:v>
                </c:pt>
                <c:pt idx="255">
                  <c:v>1.1025655766326E-2</c:v>
                </c:pt>
                <c:pt idx="256">
                  <c:v>1.0211542800587916E-2</c:v>
                </c:pt>
                <c:pt idx="257">
                  <c:v>1.303126045561365E-2</c:v>
                </c:pt>
                <c:pt idx="258">
                  <c:v>1.2204741121999492E-2</c:v>
                </c:pt>
                <c:pt idx="259">
                  <c:v>1.0293227629356378E-2</c:v>
                </c:pt>
                <c:pt idx="260">
                  <c:v>1.1722975086811303E-2</c:v>
                </c:pt>
                <c:pt idx="261">
                  <c:v>1.0450698961831933E-2</c:v>
                </c:pt>
                <c:pt idx="262">
                  <c:v>1.378489049450435E-2</c:v>
                </c:pt>
                <c:pt idx="263">
                  <c:v>1.1004230292705927E-2</c:v>
                </c:pt>
                <c:pt idx="264">
                  <c:v>1.774207684011481E-2</c:v>
                </c:pt>
                <c:pt idx="265">
                  <c:v>1.0245395744649558E-2</c:v>
                </c:pt>
                <c:pt idx="266">
                  <c:v>1.0186518218423176E-2</c:v>
                </c:pt>
                <c:pt idx="267">
                  <c:v>1.1234592652910182E-2</c:v>
                </c:pt>
                <c:pt idx="268">
                  <c:v>1.1455371067726944E-2</c:v>
                </c:pt>
                <c:pt idx="269">
                  <c:v>1.293078296579264E-2</c:v>
                </c:pt>
                <c:pt idx="270">
                  <c:v>1.3823512354188865E-2</c:v>
                </c:pt>
                <c:pt idx="271">
                  <c:v>1.0345406250637361E-2</c:v>
                </c:pt>
                <c:pt idx="272">
                  <c:v>1.6482271217304091E-2</c:v>
                </c:pt>
                <c:pt idx="273">
                  <c:v>1.0410444988919692E-2</c:v>
                </c:pt>
                <c:pt idx="274">
                  <c:v>1.1785079881954262E-2</c:v>
                </c:pt>
                <c:pt idx="275">
                  <c:v>1.2026988114448998E-2</c:v>
                </c:pt>
                <c:pt idx="276">
                  <c:v>1.4851456369378523E-2</c:v>
                </c:pt>
                <c:pt idx="277">
                  <c:v>1.8132536690980541E-2</c:v>
                </c:pt>
                <c:pt idx="278">
                  <c:v>1.5347089117426063E-2</c:v>
                </c:pt>
                <c:pt idx="279">
                  <c:v>1.6100360939876667E-2</c:v>
                </c:pt>
                <c:pt idx="280">
                  <c:v>1.1137192194739328E-2</c:v>
                </c:pt>
                <c:pt idx="281">
                  <c:v>9.305357717029351E-3</c:v>
                </c:pt>
                <c:pt idx="282">
                  <c:v>1.561852098904238E-2</c:v>
                </c:pt>
                <c:pt idx="283">
                  <c:v>1.3429607498338993E-2</c:v>
                </c:pt>
                <c:pt idx="284">
                  <c:v>1.0293138345401874E-2</c:v>
                </c:pt>
                <c:pt idx="285">
                  <c:v>1.1011496179443497E-2</c:v>
                </c:pt>
                <c:pt idx="286">
                  <c:v>1.5413130945862857E-2</c:v>
                </c:pt>
                <c:pt idx="287">
                  <c:v>1.0602495561197557E-2</c:v>
                </c:pt>
                <c:pt idx="288">
                  <c:v>1.4227492800594427E-2</c:v>
                </c:pt>
                <c:pt idx="289">
                  <c:v>1.0190149252564945E-2</c:v>
                </c:pt>
                <c:pt idx="290">
                  <c:v>1.1731097917938284E-2</c:v>
                </c:pt>
                <c:pt idx="291">
                  <c:v>1.0972784808687778E-2</c:v>
                </c:pt>
                <c:pt idx="292">
                  <c:v>1.0695326473710852E-2</c:v>
                </c:pt>
                <c:pt idx="293">
                  <c:v>9.6089874853925138E-3</c:v>
                </c:pt>
                <c:pt idx="294">
                  <c:v>9.7939735866188482E-3</c:v>
                </c:pt>
                <c:pt idx="295">
                  <c:v>1.1103742306070523E-2</c:v>
                </c:pt>
                <c:pt idx="296">
                  <c:v>1.0520100903489369E-2</c:v>
                </c:pt>
                <c:pt idx="297">
                  <c:v>1.4161652659714672E-2</c:v>
                </c:pt>
                <c:pt idx="298">
                  <c:v>1.6766106517757347E-2</c:v>
                </c:pt>
                <c:pt idx="299">
                  <c:v>1.1863708145930605E-2</c:v>
                </c:pt>
                <c:pt idx="300">
                  <c:v>1.4076638263943288E-2</c:v>
                </c:pt>
                <c:pt idx="301">
                  <c:v>9.8517444126806422E-3</c:v>
                </c:pt>
                <c:pt idx="302">
                  <c:v>1.1088520222955187E-2</c:v>
                </c:pt>
                <c:pt idx="303">
                  <c:v>1.086401582268819E-2</c:v>
                </c:pt>
                <c:pt idx="304">
                  <c:v>1.0904073929013512E-2</c:v>
                </c:pt>
                <c:pt idx="305">
                  <c:v>1.2468554249007568E-2</c:v>
                </c:pt>
                <c:pt idx="306">
                  <c:v>1.1545579285161933E-2</c:v>
                </c:pt>
                <c:pt idx="307">
                  <c:v>1.8528130402520309E-2</c:v>
                </c:pt>
                <c:pt idx="308">
                  <c:v>1.4123718142303426E-2</c:v>
                </c:pt>
                <c:pt idx="309">
                  <c:v>1.0215281154175082E-2</c:v>
                </c:pt>
                <c:pt idx="310">
                  <c:v>1.0933102399933914E-2</c:v>
                </c:pt>
                <c:pt idx="311">
                  <c:v>1.0416425364298374E-2</c:v>
                </c:pt>
                <c:pt idx="312">
                  <c:v>1.4830630810695749E-2</c:v>
                </c:pt>
                <c:pt idx="313">
                  <c:v>9.8911012086936884E-3</c:v>
                </c:pt>
                <c:pt idx="314">
                  <c:v>1.3993973667379783E-2</c:v>
                </c:pt>
                <c:pt idx="315">
                  <c:v>1.3315331776181161E-2</c:v>
                </c:pt>
                <c:pt idx="316">
                  <c:v>1.3149501142675957E-2</c:v>
                </c:pt>
                <c:pt idx="317">
                  <c:v>1.2510775846695479E-2</c:v>
                </c:pt>
                <c:pt idx="318">
                  <c:v>1.2361821084465869E-2</c:v>
                </c:pt>
                <c:pt idx="319">
                  <c:v>1.0467875189160642E-2</c:v>
                </c:pt>
                <c:pt idx="320">
                  <c:v>1.2594021430082361E-2</c:v>
                </c:pt>
                <c:pt idx="321">
                  <c:v>1.4087966762898614E-2</c:v>
                </c:pt>
                <c:pt idx="322">
                  <c:v>1.4229806726489977E-2</c:v>
                </c:pt>
                <c:pt idx="323">
                  <c:v>1.0472854233528233E-2</c:v>
                </c:pt>
                <c:pt idx="324">
                  <c:v>1.446912698500487E-2</c:v>
                </c:pt>
                <c:pt idx="325">
                  <c:v>1.1380187014692003E-2</c:v>
                </c:pt>
                <c:pt idx="326">
                  <c:v>1.6023001798703872E-2</c:v>
                </c:pt>
                <c:pt idx="327">
                  <c:v>1.0311232922207451E-2</c:v>
                </c:pt>
                <c:pt idx="328">
                  <c:v>1.4027511296019176E-2</c:v>
                </c:pt>
                <c:pt idx="329">
                  <c:v>1.0609423841950221E-2</c:v>
                </c:pt>
                <c:pt idx="330">
                  <c:v>1.4027511296019176E-2</c:v>
                </c:pt>
                <c:pt idx="331">
                  <c:v>1.3834362163160021E-2</c:v>
                </c:pt>
                <c:pt idx="332">
                  <c:v>1.5546131243015434E-2</c:v>
                </c:pt>
                <c:pt idx="333">
                  <c:v>1.3545034331299156E-2</c:v>
                </c:pt>
                <c:pt idx="334">
                  <c:v>1.3728471703233706E-2</c:v>
                </c:pt>
                <c:pt idx="335">
                  <c:v>1.2691568540173228E-2</c:v>
                </c:pt>
                <c:pt idx="336">
                  <c:v>1.05531112465891E-2</c:v>
                </c:pt>
                <c:pt idx="337">
                  <c:v>9.995422879383653E-3</c:v>
                </c:pt>
                <c:pt idx="338">
                  <c:v>1.6001662566933018E-2</c:v>
                </c:pt>
                <c:pt idx="339">
                  <c:v>1.2065651840284257E-2</c:v>
                </c:pt>
                <c:pt idx="340">
                  <c:v>1.3909761283769747E-2</c:v>
                </c:pt>
                <c:pt idx="341">
                  <c:v>1.0071806873128787E-2</c:v>
                </c:pt>
                <c:pt idx="342">
                  <c:v>1.0342325803158046E-2</c:v>
                </c:pt>
                <c:pt idx="343">
                  <c:v>9.8865427488498102E-3</c:v>
                </c:pt>
                <c:pt idx="344">
                  <c:v>1.265153124435878E-2</c:v>
                </c:pt>
                <c:pt idx="345">
                  <c:v>1.1719600580907156E-2</c:v>
                </c:pt>
                <c:pt idx="346">
                  <c:v>1.5880644244461183E-2</c:v>
                </c:pt>
                <c:pt idx="347">
                  <c:v>1.8928536094734424E-2</c:v>
                </c:pt>
                <c:pt idx="348">
                  <c:v>1.256971973009853E-2</c:v>
                </c:pt>
                <c:pt idx="349">
                  <c:v>1.2343820312469412E-2</c:v>
                </c:pt>
                <c:pt idx="350">
                  <c:v>1.5761864063279733E-2</c:v>
                </c:pt>
                <c:pt idx="351">
                  <c:v>9.5686920218671177E-3</c:v>
                </c:pt>
                <c:pt idx="352">
                  <c:v>1.6200182288353199E-2</c:v>
                </c:pt>
                <c:pt idx="353">
                  <c:v>1.3728471703233706E-2</c:v>
                </c:pt>
                <c:pt idx="354">
                  <c:v>1.0609211937929573E-2</c:v>
                </c:pt>
                <c:pt idx="355">
                  <c:v>1.3114755289460723E-2</c:v>
                </c:pt>
                <c:pt idx="356">
                  <c:v>1.0446105904846863E-2</c:v>
                </c:pt>
                <c:pt idx="357">
                  <c:v>1.0342667118598622E-2</c:v>
                </c:pt>
                <c:pt idx="358">
                  <c:v>1.4076638263943285E-2</c:v>
                </c:pt>
                <c:pt idx="359">
                  <c:v>1.3902640725373946E-2</c:v>
                </c:pt>
                <c:pt idx="360">
                  <c:v>1.0709399219839891E-2</c:v>
                </c:pt>
                <c:pt idx="361">
                  <c:v>1.4220141597641404E-2</c:v>
                </c:pt>
                <c:pt idx="362">
                  <c:v>1.2766468597508738E-2</c:v>
                </c:pt>
                <c:pt idx="363">
                  <c:v>1.0187204148936787E-2</c:v>
                </c:pt>
                <c:pt idx="364">
                  <c:v>1.0517521550950764E-2</c:v>
                </c:pt>
                <c:pt idx="365">
                  <c:v>1.3386453101100433E-2</c:v>
                </c:pt>
                <c:pt idx="366">
                  <c:v>1.0550017871903891E-2</c:v>
                </c:pt>
                <c:pt idx="367">
                  <c:v>1.1526754040348289E-2</c:v>
                </c:pt>
                <c:pt idx="368">
                  <c:v>1.3920174483762864E-2</c:v>
                </c:pt>
                <c:pt idx="369">
                  <c:v>1.3323534385884239E-2</c:v>
                </c:pt>
                <c:pt idx="370">
                  <c:v>1.0933102399933914E-2</c:v>
                </c:pt>
                <c:pt idx="371">
                  <c:v>1.0492897396006416E-2</c:v>
                </c:pt>
                <c:pt idx="372">
                  <c:v>1.105176037278419E-2</c:v>
                </c:pt>
                <c:pt idx="373">
                  <c:v>1.5807718646568842E-2</c:v>
                </c:pt>
                <c:pt idx="374">
                  <c:v>1.3416229671108431E-2</c:v>
                </c:pt>
                <c:pt idx="375">
                  <c:v>9.5799798832001421E-3</c:v>
                </c:pt>
                <c:pt idx="376">
                  <c:v>1.4637253852239254E-2</c:v>
                </c:pt>
                <c:pt idx="377">
                  <c:v>1.0309560008128228E-2</c:v>
                </c:pt>
                <c:pt idx="378">
                  <c:v>1.0418474897274935E-2</c:v>
                </c:pt>
                <c:pt idx="379">
                  <c:v>1.4368989816425544E-2</c:v>
                </c:pt>
                <c:pt idx="380">
                  <c:v>1.158661924526156E-2</c:v>
                </c:pt>
                <c:pt idx="381">
                  <c:v>1.5090269142536823E-2</c:v>
                </c:pt>
                <c:pt idx="382">
                  <c:v>1.8001796391182507E-2</c:v>
                </c:pt>
                <c:pt idx="383">
                  <c:v>1.5425894668362873E-2</c:v>
                </c:pt>
                <c:pt idx="384">
                  <c:v>1.2841391401041423E-2</c:v>
                </c:pt>
                <c:pt idx="385">
                  <c:v>1.1089716597314869E-2</c:v>
                </c:pt>
                <c:pt idx="386">
                  <c:v>1.034266711859862E-2</c:v>
                </c:pt>
                <c:pt idx="387">
                  <c:v>1.4844539653459731E-2</c:v>
                </c:pt>
                <c:pt idx="388">
                  <c:v>1.3290228660695055E-2</c:v>
                </c:pt>
                <c:pt idx="389">
                  <c:v>1.08021099346295E-2</c:v>
                </c:pt>
                <c:pt idx="390">
                  <c:v>1.2892704871804056E-2</c:v>
                </c:pt>
                <c:pt idx="391">
                  <c:v>1.3920174483762862E-2</c:v>
                </c:pt>
                <c:pt idx="392">
                  <c:v>1.4419974558177272E-2</c:v>
                </c:pt>
                <c:pt idx="393">
                  <c:v>1.1606350484187197E-2</c:v>
                </c:pt>
                <c:pt idx="394">
                  <c:v>1.3431470483972901E-2</c:v>
                </c:pt>
                <c:pt idx="395">
                  <c:v>1.8661079521685268E-2</c:v>
                </c:pt>
                <c:pt idx="396">
                  <c:v>1.4468126450008594E-2</c:v>
                </c:pt>
                <c:pt idx="397">
                  <c:v>1.4912738377618208E-2</c:v>
                </c:pt>
                <c:pt idx="398">
                  <c:v>9.9456205049447115E-3</c:v>
                </c:pt>
                <c:pt idx="399">
                  <c:v>1.0776284349146828E-2</c:v>
                </c:pt>
                <c:pt idx="400">
                  <c:v>1.1316847661369096E-2</c:v>
                </c:pt>
                <c:pt idx="401">
                  <c:v>1.4015612023787392E-2</c:v>
                </c:pt>
                <c:pt idx="402">
                  <c:v>1.6977970946010546E-2</c:v>
                </c:pt>
                <c:pt idx="403">
                  <c:v>1.4043816940215016E-2</c:v>
                </c:pt>
                <c:pt idx="404">
                  <c:v>1.409250508640581E-2</c:v>
                </c:pt>
                <c:pt idx="405">
                  <c:v>1.3704587161018342E-2</c:v>
                </c:pt>
                <c:pt idx="406">
                  <c:v>1.3425866450267899E-2</c:v>
                </c:pt>
                <c:pt idx="407">
                  <c:v>1.5073966226762544E-2</c:v>
                </c:pt>
                <c:pt idx="408">
                  <c:v>1.1515225279977665E-2</c:v>
                </c:pt>
                <c:pt idx="409">
                  <c:v>9.4104898892576581E-3</c:v>
                </c:pt>
                <c:pt idx="410">
                  <c:v>1.8395715759419593E-2</c:v>
                </c:pt>
                <c:pt idx="411">
                  <c:v>1.1867485675162506E-2</c:v>
                </c:pt>
                <c:pt idx="412">
                  <c:v>1.0002904567255668E-2</c:v>
                </c:pt>
                <c:pt idx="413">
                  <c:v>1.3621378205520344E-2</c:v>
                </c:pt>
                <c:pt idx="414">
                  <c:v>9.3478634006236225E-3</c:v>
                </c:pt>
                <c:pt idx="415">
                  <c:v>1.2782464916980584E-2</c:v>
                </c:pt>
                <c:pt idx="416">
                  <c:v>1.1914588792090822E-2</c:v>
                </c:pt>
                <c:pt idx="417">
                  <c:v>1.1006632041513526E-2</c:v>
                </c:pt>
                <c:pt idx="418">
                  <c:v>9.8536848161496909E-3</c:v>
                </c:pt>
                <c:pt idx="419">
                  <c:v>9.8860185038424503E-3</c:v>
                </c:pt>
                <c:pt idx="420">
                  <c:v>1.4850768084664567E-2</c:v>
                </c:pt>
                <c:pt idx="421">
                  <c:v>1.4894739502275345E-2</c:v>
                </c:pt>
                <c:pt idx="422">
                  <c:v>1.5419015476876895E-2</c:v>
                </c:pt>
                <c:pt idx="423">
                  <c:v>1.3844989040642075E-2</c:v>
                </c:pt>
                <c:pt idx="424">
                  <c:v>1.073791125316164E-2</c:v>
                </c:pt>
                <c:pt idx="425">
                  <c:v>1.4054415181796755E-2</c:v>
                </c:pt>
                <c:pt idx="426">
                  <c:v>1.422980672648998E-2</c:v>
                </c:pt>
                <c:pt idx="427">
                  <c:v>1.0615479114935149E-2</c:v>
                </c:pt>
                <c:pt idx="428">
                  <c:v>1.4469126985004868E-2</c:v>
                </c:pt>
                <c:pt idx="429">
                  <c:v>1.1420620366427671E-2</c:v>
                </c:pt>
                <c:pt idx="430">
                  <c:v>1.8001796391182504E-2</c:v>
                </c:pt>
                <c:pt idx="431">
                  <c:v>1.3253436773710979E-2</c:v>
                </c:pt>
                <c:pt idx="432">
                  <c:v>1.409250508640581E-2</c:v>
                </c:pt>
                <c:pt idx="433">
                  <c:v>1.3783201362897049E-2</c:v>
                </c:pt>
                <c:pt idx="434">
                  <c:v>1.3834362163160021E-2</c:v>
                </c:pt>
                <c:pt idx="435">
                  <c:v>1.0933102399933914E-2</c:v>
                </c:pt>
                <c:pt idx="436">
                  <c:v>1.5761864063279733E-2</c:v>
                </c:pt>
                <c:pt idx="437">
                  <c:v>1.1579199744869626E-2</c:v>
                </c:pt>
                <c:pt idx="438">
                  <c:v>1.6301105982438266E-2</c:v>
                </c:pt>
                <c:pt idx="439">
                  <c:v>1.3128194712138252E-2</c:v>
                </c:pt>
                <c:pt idx="440">
                  <c:v>1.0154547230316424E-2</c:v>
                </c:pt>
                <c:pt idx="441">
                  <c:v>1.3920174483762867E-2</c:v>
                </c:pt>
                <c:pt idx="442">
                  <c:v>1.4168542622972173E-2</c:v>
                </c:pt>
                <c:pt idx="443">
                  <c:v>1.6301847562708853E-2</c:v>
                </c:pt>
                <c:pt idx="444">
                  <c:v>1.7357097322569404E-2</c:v>
                </c:pt>
                <c:pt idx="445">
                  <c:v>1.4210476746707954E-2</c:v>
                </c:pt>
                <c:pt idx="446">
                  <c:v>9.5795363962064995E-3</c:v>
                </c:pt>
                <c:pt idx="447">
                  <c:v>1.3884886503902974E-2</c:v>
                </c:pt>
                <c:pt idx="448">
                  <c:v>1.623891119323944E-2</c:v>
                </c:pt>
                <c:pt idx="449">
                  <c:v>1.0149610713943569E-2</c:v>
                </c:pt>
                <c:pt idx="450">
                  <c:v>1.4013216223519356E-2</c:v>
                </c:pt>
                <c:pt idx="451">
                  <c:v>1.2479489159351391E-2</c:v>
                </c:pt>
                <c:pt idx="452">
                  <c:v>1.0366589778404172E-2</c:v>
                </c:pt>
                <c:pt idx="453">
                  <c:v>1.295985713380938E-2</c:v>
                </c:pt>
                <c:pt idx="454">
                  <c:v>1.082958881289576E-2</c:v>
                </c:pt>
                <c:pt idx="455">
                  <c:v>9.6544161042757554E-3</c:v>
                </c:pt>
                <c:pt idx="456">
                  <c:v>9.8839769893505937E-3</c:v>
                </c:pt>
                <c:pt idx="457">
                  <c:v>1.3621378205520342E-2</c:v>
                </c:pt>
                <c:pt idx="458">
                  <c:v>1.4536505963810736E-2</c:v>
                </c:pt>
                <c:pt idx="459">
                  <c:v>1.8528130402520309E-2</c:v>
                </c:pt>
                <c:pt idx="460">
                  <c:v>9.9927518782750909E-3</c:v>
                </c:pt>
                <c:pt idx="461">
                  <c:v>9.5795363962064995E-3</c:v>
                </c:pt>
                <c:pt idx="462">
                  <c:v>1.0442595580057838E-2</c:v>
                </c:pt>
                <c:pt idx="463">
                  <c:v>1.0333572354641199E-2</c:v>
                </c:pt>
                <c:pt idx="464">
                  <c:v>1.293423228426546E-2</c:v>
                </c:pt>
                <c:pt idx="465">
                  <c:v>1.0484111463997295E-2</c:v>
                </c:pt>
                <c:pt idx="466">
                  <c:v>1.0762427363131861E-2</c:v>
                </c:pt>
                <c:pt idx="467">
                  <c:v>1.5904108076560286E-2</c:v>
                </c:pt>
                <c:pt idx="468">
                  <c:v>1.322740211923782E-2</c:v>
                </c:pt>
                <c:pt idx="469">
                  <c:v>9.4273160333353274E-3</c:v>
                </c:pt>
                <c:pt idx="470">
                  <c:v>1.5807718646568842E-2</c:v>
                </c:pt>
                <c:pt idx="471">
                  <c:v>1.0942498745105542E-2</c:v>
                </c:pt>
                <c:pt idx="472">
                  <c:v>1.516744641352482E-2</c:v>
                </c:pt>
                <c:pt idx="473">
                  <c:v>1.5081169588307179E-2</c:v>
                </c:pt>
                <c:pt idx="474">
                  <c:v>1.4229100438921656E-2</c:v>
                </c:pt>
                <c:pt idx="475">
                  <c:v>1.3942508844043463E-2</c:v>
                </c:pt>
                <c:pt idx="476">
                  <c:v>1.4161652659714676E-2</c:v>
                </c:pt>
                <c:pt idx="477">
                  <c:v>1.3904563203334566E-2</c:v>
                </c:pt>
                <c:pt idx="478">
                  <c:v>1.4148879873072288E-2</c:v>
                </c:pt>
                <c:pt idx="479">
                  <c:v>1.2007938807189322E-2</c:v>
                </c:pt>
                <c:pt idx="480">
                  <c:v>1.1654999524262253E-2</c:v>
                </c:pt>
                <c:pt idx="481">
                  <c:v>1.3573238443699263E-2</c:v>
                </c:pt>
                <c:pt idx="482">
                  <c:v>1.049012463133649E-2</c:v>
                </c:pt>
                <c:pt idx="483">
                  <c:v>9.9234988918745232E-3</c:v>
                </c:pt>
                <c:pt idx="484">
                  <c:v>1.4368989816425544E-2</c:v>
                </c:pt>
                <c:pt idx="485">
                  <c:v>9.3442471555363806E-3</c:v>
                </c:pt>
                <c:pt idx="486">
                  <c:v>1.1913694472021352E-2</c:v>
                </c:pt>
                <c:pt idx="487">
                  <c:v>1.4111664700453743E-2</c:v>
                </c:pt>
                <c:pt idx="488">
                  <c:v>9.5980502546850286E-3</c:v>
                </c:pt>
                <c:pt idx="489">
                  <c:v>1.1700517778063657E-2</c:v>
                </c:pt>
                <c:pt idx="490">
                  <c:v>9.6947853400666199E-3</c:v>
                </c:pt>
                <c:pt idx="491">
                  <c:v>9.717019206749786E-3</c:v>
                </c:pt>
                <c:pt idx="492">
                  <c:v>9.9903983160641897E-3</c:v>
                </c:pt>
                <c:pt idx="493">
                  <c:v>1.5740839928933402E-2</c:v>
                </c:pt>
                <c:pt idx="494">
                  <c:v>1.2056142119864242E-2</c:v>
                </c:pt>
                <c:pt idx="495">
                  <c:v>1.0909084634781437E-2</c:v>
                </c:pt>
                <c:pt idx="496">
                  <c:v>1.3429607498338993E-2</c:v>
                </c:pt>
                <c:pt idx="497">
                  <c:v>1.5133029800759949E-2</c:v>
                </c:pt>
                <c:pt idx="498">
                  <c:v>1.0918575402345719E-2</c:v>
                </c:pt>
                <c:pt idx="499">
                  <c:v>1.0956427908534841E-2</c:v>
                </c:pt>
                <c:pt idx="500">
                  <c:v>1.1304513869046474E-2</c:v>
                </c:pt>
                <c:pt idx="501">
                  <c:v>1.8794551774568874E-2</c:v>
                </c:pt>
                <c:pt idx="502">
                  <c:v>1.3077945144471977E-2</c:v>
                </c:pt>
                <c:pt idx="503">
                  <c:v>1.0678381654700331E-2</c:v>
                </c:pt>
                <c:pt idx="504">
                  <c:v>1.0258850148799393E-2</c:v>
                </c:pt>
                <c:pt idx="505">
                  <c:v>1.2908728639483075E-2</c:v>
                </c:pt>
                <c:pt idx="506">
                  <c:v>1.4141902840400523E-2</c:v>
                </c:pt>
                <c:pt idx="507">
                  <c:v>1.2908667926081098E-2</c:v>
                </c:pt>
                <c:pt idx="508">
                  <c:v>1.3501322527238957E-2</c:v>
                </c:pt>
                <c:pt idx="509">
                  <c:v>1.0168926504757142E-2</c:v>
                </c:pt>
                <c:pt idx="510">
                  <c:v>1.6118413230157853E-2</c:v>
                </c:pt>
                <c:pt idx="511">
                  <c:v>1.5298716201155593E-2</c:v>
                </c:pt>
                <c:pt idx="512">
                  <c:v>9.4317156795457793E-3</c:v>
                </c:pt>
                <c:pt idx="513">
                  <c:v>1.7230052311804852E-2</c:v>
                </c:pt>
                <c:pt idx="514">
                  <c:v>1.4850768084664569E-2</c:v>
                </c:pt>
                <c:pt idx="515">
                  <c:v>9.6544161042757554E-3</c:v>
                </c:pt>
                <c:pt idx="516">
                  <c:v>1.3875585654343915E-2</c:v>
                </c:pt>
                <c:pt idx="517">
                  <c:v>1.623891119323944E-2</c:v>
                </c:pt>
                <c:pt idx="518">
                  <c:v>1.017202943000442E-2</c:v>
                </c:pt>
                <c:pt idx="519">
                  <c:v>1.4229806726489979E-2</c:v>
                </c:pt>
                <c:pt idx="520">
                  <c:v>1.302945395952231E-2</c:v>
                </c:pt>
                <c:pt idx="521">
                  <c:v>1.0337830322201249E-2</c:v>
                </c:pt>
                <c:pt idx="522">
                  <c:v>1.2768256615989187E-2</c:v>
                </c:pt>
                <c:pt idx="523">
                  <c:v>1.2807017532517239E-2</c:v>
                </c:pt>
                <c:pt idx="524">
                  <c:v>9.6544161042757554E-3</c:v>
                </c:pt>
                <c:pt idx="525">
                  <c:v>9.8839769893505954E-3</c:v>
                </c:pt>
                <c:pt idx="526">
                  <c:v>1.3570602348951239E-2</c:v>
                </c:pt>
                <c:pt idx="527">
                  <c:v>1.4459409276053868E-2</c:v>
                </c:pt>
                <c:pt idx="528">
                  <c:v>9.8513863159294789E-3</c:v>
                </c:pt>
                <c:pt idx="529">
                  <c:v>1.1484025901896058E-2</c:v>
                </c:pt>
                <c:pt idx="530">
                  <c:v>9.573297719846819E-3</c:v>
                </c:pt>
                <c:pt idx="531">
                  <c:v>1.0453897956759366E-2</c:v>
                </c:pt>
                <c:pt idx="532">
                  <c:v>1.0364387519080037E-2</c:v>
                </c:pt>
                <c:pt idx="533">
                  <c:v>1.2847826624566936E-2</c:v>
                </c:pt>
                <c:pt idx="534">
                  <c:v>9.5736305537674742E-3</c:v>
                </c:pt>
                <c:pt idx="535">
                  <c:v>1.1913519476942712E-2</c:v>
                </c:pt>
                <c:pt idx="536">
                  <c:v>1.4851456369378523E-2</c:v>
                </c:pt>
                <c:pt idx="537">
                  <c:v>1.6001961399278085E-2</c:v>
                </c:pt>
                <c:pt idx="538">
                  <c:v>1.000716049177304E-2</c:v>
                </c:pt>
                <c:pt idx="539">
                  <c:v>1.320033963082907E-2</c:v>
                </c:pt>
                <c:pt idx="540">
                  <c:v>1.6301105982438266E-2</c:v>
                </c:pt>
                <c:pt idx="541">
                  <c:v>9.6766222278187111E-3</c:v>
                </c:pt>
                <c:pt idx="542">
                  <c:v>1.8001796391182504E-2</c:v>
                </c:pt>
                <c:pt idx="543">
                  <c:v>1.8395715759419593E-2</c:v>
                </c:pt>
                <c:pt idx="544">
                  <c:v>1.3913296519489133E-2</c:v>
                </c:pt>
                <c:pt idx="545">
                  <c:v>1.4123718142303428E-2</c:v>
                </c:pt>
                <c:pt idx="546">
                  <c:v>1.4161652659714676E-2</c:v>
                </c:pt>
                <c:pt idx="547">
                  <c:v>1.3919925430335361E-2</c:v>
                </c:pt>
                <c:pt idx="548">
                  <c:v>1.4111664700453743E-2</c:v>
                </c:pt>
                <c:pt idx="549">
                  <c:v>1.2007938807189322E-2</c:v>
                </c:pt>
                <c:pt idx="550">
                  <c:v>1.1807004664393238E-2</c:v>
                </c:pt>
                <c:pt idx="551">
                  <c:v>9.7394437849265582E-3</c:v>
                </c:pt>
                <c:pt idx="552">
                  <c:v>1.3920174483762862E-2</c:v>
                </c:pt>
                <c:pt idx="553">
                  <c:v>9.6092764874167649E-3</c:v>
                </c:pt>
                <c:pt idx="554">
                  <c:v>1.3964215445300288E-2</c:v>
                </c:pt>
                <c:pt idx="555">
                  <c:v>9.3613160832798827E-3</c:v>
                </c:pt>
                <c:pt idx="556">
                  <c:v>1.184514800516435E-2</c:v>
                </c:pt>
                <c:pt idx="557">
                  <c:v>1.4111664700453743E-2</c:v>
                </c:pt>
                <c:pt idx="558">
                  <c:v>9.658603335805439E-3</c:v>
                </c:pt>
                <c:pt idx="559">
                  <c:v>1.3481721616297728E-2</c:v>
                </c:pt>
                <c:pt idx="560">
                  <c:v>9.7170192067497843E-3</c:v>
                </c:pt>
                <c:pt idx="561">
                  <c:v>9.7409704201740031E-3</c:v>
                </c:pt>
                <c:pt idx="562">
                  <c:v>1.5413130945862857E-2</c:v>
                </c:pt>
                <c:pt idx="563">
                  <c:v>1.4894739502275347E-2</c:v>
                </c:pt>
                <c:pt idx="564">
                  <c:v>1.5419015476876895E-2</c:v>
                </c:pt>
                <c:pt idx="565">
                  <c:v>1.3920174483762862E-2</c:v>
                </c:pt>
                <c:pt idx="566">
                  <c:v>1.0846598161076436E-2</c:v>
                </c:pt>
                <c:pt idx="567">
                  <c:v>1.3169166002341536E-2</c:v>
                </c:pt>
                <c:pt idx="568">
                  <c:v>1.5431178804643042E-2</c:v>
                </c:pt>
                <c:pt idx="569">
                  <c:v>1.0510567262662817E-2</c:v>
                </c:pt>
                <c:pt idx="570">
                  <c:v>9.7461835125989063E-3</c:v>
                </c:pt>
                <c:pt idx="571">
                  <c:v>1.6475943228389647E-2</c:v>
                </c:pt>
                <c:pt idx="572">
                  <c:v>1.0665427878857556E-2</c:v>
                </c:pt>
                <c:pt idx="573">
                  <c:v>1.0322470639899549E-2</c:v>
                </c:pt>
                <c:pt idx="574">
                  <c:v>1.1078226110210934E-2</c:v>
                </c:pt>
                <c:pt idx="575">
                  <c:v>1.4043816940215014E-2</c:v>
                </c:pt>
                <c:pt idx="576">
                  <c:v>1.3784746290399724E-2</c:v>
                </c:pt>
                <c:pt idx="577">
                  <c:v>1.0864898757308375E-2</c:v>
                </c:pt>
                <c:pt idx="578">
                  <c:v>1.5761864063279733E-2</c:v>
                </c:pt>
                <c:pt idx="579">
                  <c:v>1.350132252723896E-2</c:v>
                </c:pt>
                <c:pt idx="580">
                  <c:v>1.3913296519489131E-2</c:v>
                </c:pt>
                <c:pt idx="581">
                  <c:v>1.5807718646568842E-2</c:v>
                </c:pt>
                <c:pt idx="582">
                  <c:v>1.5298716201155594E-2</c:v>
                </c:pt>
                <c:pt idx="583">
                  <c:v>1.3942508844043461E-2</c:v>
                </c:pt>
                <c:pt idx="584">
                  <c:v>9.4479531347925784E-3</c:v>
                </c:pt>
                <c:pt idx="585">
                  <c:v>1.7230052311804852E-2</c:v>
                </c:pt>
                <c:pt idx="586">
                  <c:v>1.4107761123317457E-2</c:v>
                </c:pt>
                <c:pt idx="587">
                  <c:v>9.5795363962064995E-3</c:v>
                </c:pt>
                <c:pt idx="588">
                  <c:v>1.3152955420159661E-2</c:v>
                </c:pt>
                <c:pt idx="589">
                  <c:v>1.623891119323944E-2</c:v>
                </c:pt>
                <c:pt idx="590">
                  <c:v>1.017202943000442E-2</c:v>
                </c:pt>
                <c:pt idx="591">
                  <c:v>1.3984850690816109E-2</c:v>
                </c:pt>
                <c:pt idx="592">
                  <c:v>1.2479136611515082E-2</c:v>
                </c:pt>
                <c:pt idx="593">
                  <c:v>1.0109265188356741E-2</c:v>
                </c:pt>
                <c:pt idx="594">
                  <c:v>1.2768256615989187E-2</c:v>
                </c:pt>
                <c:pt idx="595">
                  <c:v>1.0899938212146883E-2</c:v>
                </c:pt>
                <c:pt idx="596">
                  <c:v>9.4354183499519347E-3</c:v>
                </c:pt>
                <c:pt idx="597">
                  <c:v>1.3241074744009691E-2</c:v>
                </c:pt>
                <c:pt idx="598">
                  <c:v>1.0293138345401876E-2</c:v>
                </c:pt>
                <c:pt idx="599">
                  <c:v>1.3562057968757152E-2</c:v>
                </c:pt>
                <c:pt idx="600">
                  <c:v>1.1134973829989556E-2</c:v>
                </c:pt>
                <c:pt idx="601">
                  <c:v>9.9178413612654118E-3</c:v>
                </c:pt>
                <c:pt idx="602">
                  <c:v>1.1204808091547395E-2</c:v>
                </c:pt>
                <c:pt idx="603">
                  <c:v>9.2347566355688165E-3</c:v>
                </c:pt>
                <c:pt idx="604">
                  <c:v>1.1310413212483253E-2</c:v>
                </c:pt>
                <c:pt idx="605">
                  <c:v>1.3289001004459199E-2</c:v>
                </c:pt>
                <c:pt idx="606">
                  <c:v>1.0957366075622027E-2</c:v>
                </c:pt>
                <c:pt idx="607">
                  <c:v>1.5255066422544934E-2</c:v>
                </c:pt>
                <c:pt idx="608">
                  <c:v>1.1766506833316757E-2</c:v>
                </c:pt>
                <c:pt idx="609">
                  <c:v>1.5072756399316824E-2</c:v>
                </c:pt>
                <c:pt idx="610">
                  <c:v>1.3025664141353184E-2</c:v>
                </c:pt>
                <c:pt idx="611">
                  <c:v>1.6301105982438266E-2</c:v>
                </c:pt>
                <c:pt idx="612">
                  <c:v>9.9131232940028891E-3</c:v>
                </c:pt>
                <c:pt idx="613">
                  <c:v>1.7230052311804852E-2</c:v>
                </c:pt>
                <c:pt idx="614">
                  <c:v>1.4111664700453743E-2</c:v>
                </c:pt>
                <c:pt idx="615">
                  <c:v>1.3832055665075558E-2</c:v>
                </c:pt>
                <c:pt idx="616">
                  <c:v>1.4161652659714676E-2</c:v>
                </c:pt>
                <c:pt idx="617">
                  <c:v>1.4486757263997844E-2</c:v>
                </c:pt>
                <c:pt idx="618">
                  <c:v>1.4608462456178039E-2</c:v>
                </c:pt>
                <c:pt idx="619">
                  <c:v>1.393487870060163E-2</c:v>
                </c:pt>
                <c:pt idx="620">
                  <c:v>1.1405932946573634E-2</c:v>
                </c:pt>
                <c:pt idx="621">
                  <c:v>9.5571418842147118E-3</c:v>
                </c:pt>
                <c:pt idx="622">
                  <c:v>1.8263847217394928E-2</c:v>
                </c:pt>
                <c:pt idx="623">
                  <c:v>1.2062853811856041E-2</c:v>
                </c:pt>
                <c:pt idx="624">
                  <c:v>1.0110539573292306E-2</c:v>
                </c:pt>
                <c:pt idx="625">
                  <c:v>1.3964215445300288E-2</c:v>
                </c:pt>
                <c:pt idx="626">
                  <c:v>9.3871312952509035E-3</c:v>
                </c:pt>
                <c:pt idx="627">
                  <c:v>1.2622832054285287E-2</c:v>
                </c:pt>
                <c:pt idx="628">
                  <c:v>1.1918023109414609E-2</c:v>
                </c:pt>
                <c:pt idx="629">
                  <c:v>1.0628231875151864E-2</c:v>
                </c:pt>
                <c:pt idx="630">
                  <c:v>9.8860185038424503E-3</c:v>
                </c:pt>
                <c:pt idx="631">
                  <c:v>9.9199829762252525E-3</c:v>
                </c:pt>
                <c:pt idx="632">
                  <c:v>1.4741319428931792E-2</c:v>
                </c:pt>
                <c:pt idx="633">
                  <c:v>1.4067350988270612E-2</c:v>
                </c:pt>
                <c:pt idx="634">
                  <c:v>1.1676621788385912E-2</c:v>
                </c:pt>
                <c:pt idx="635">
                  <c:v>1.3669625864542198E-2</c:v>
                </c:pt>
                <c:pt idx="636">
                  <c:v>1.070812405201544E-2</c:v>
                </c:pt>
                <c:pt idx="637">
                  <c:v>1.3088010981072573E-2</c:v>
                </c:pt>
                <c:pt idx="638">
                  <c:v>1.4912738377618208E-2</c:v>
                </c:pt>
                <c:pt idx="639">
                  <c:v>1.0510567262662817E-2</c:v>
                </c:pt>
                <c:pt idx="640">
                  <c:v>1.441711545283081E-2</c:v>
                </c:pt>
                <c:pt idx="641">
                  <c:v>1.0959673036861295E-2</c:v>
                </c:pt>
                <c:pt idx="642">
                  <c:v>1.7103671905773405E-2</c:v>
                </c:pt>
                <c:pt idx="643">
                  <c:v>1.3194738899190291E-2</c:v>
                </c:pt>
                <c:pt idx="644">
                  <c:v>1.4027511296019176E-2</c:v>
                </c:pt>
                <c:pt idx="645">
                  <c:v>1.3770462700025417E-2</c:v>
                </c:pt>
                <c:pt idx="646">
                  <c:v>1.3429607498338995E-2</c:v>
                </c:pt>
                <c:pt idx="647">
                  <c:v>1.0565653581523133E-2</c:v>
                </c:pt>
                <c:pt idx="648">
                  <c:v>1.1886501898264552E-2</c:v>
                </c:pt>
                <c:pt idx="649">
                  <c:v>1.3824281704775376E-2</c:v>
                </c:pt>
                <c:pt idx="650">
                  <c:v>1.3492710124228629E-2</c:v>
                </c:pt>
                <c:pt idx="651">
                  <c:v>1.1004230292705927E-2</c:v>
                </c:pt>
                <c:pt idx="652">
                  <c:v>1.0400926589731081E-2</c:v>
                </c:pt>
                <c:pt idx="653">
                  <c:v>1.4302584555678084E-2</c:v>
                </c:pt>
                <c:pt idx="654">
                  <c:v>1.3501322527238957E-2</c:v>
                </c:pt>
                <c:pt idx="655">
                  <c:v>1.2947521129222744E-2</c:v>
                </c:pt>
                <c:pt idx="656">
                  <c:v>9.470045049981949E-3</c:v>
                </c:pt>
                <c:pt idx="657">
                  <c:v>1.2502492365468238E-2</c:v>
                </c:pt>
                <c:pt idx="658">
                  <c:v>1.007993661046739E-2</c:v>
                </c:pt>
                <c:pt idx="659">
                  <c:v>1.0365393041919023E-2</c:v>
                </c:pt>
                <c:pt idx="660">
                  <c:v>1.4442119867290834E-2</c:v>
                </c:pt>
                <c:pt idx="661">
                  <c:v>1.1806289390930074E-2</c:v>
                </c:pt>
                <c:pt idx="662">
                  <c:v>1.5234846465153303E-2</c:v>
                </c:pt>
                <c:pt idx="663">
                  <c:v>1.8132536690980541E-2</c:v>
                </c:pt>
                <c:pt idx="664">
                  <c:v>1.5347089117426063E-2</c:v>
                </c:pt>
                <c:pt idx="665">
                  <c:v>1.2761485043041355E-2</c:v>
                </c:pt>
                <c:pt idx="666">
                  <c:v>1.1081212417192716E-2</c:v>
                </c:pt>
                <c:pt idx="667">
                  <c:v>1.0311232922207449E-2</c:v>
                </c:pt>
                <c:pt idx="668">
                  <c:v>1.4780066221291193E-2</c:v>
                </c:pt>
                <c:pt idx="669">
                  <c:v>1.3508530471017518E-2</c:v>
                </c:pt>
                <c:pt idx="670">
                  <c:v>1.0985687356024386E-2</c:v>
                </c:pt>
                <c:pt idx="671">
                  <c:v>9.2925310333567997E-3</c:v>
                </c:pt>
                <c:pt idx="672">
                  <c:v>1.3900120420019859E-2</c:v>
                </c:pt>
                <c:pt idx="673">
                  <c:v>1.4579219008078452E-2</c:v>
                </c:pt>
                <c:pt idx="674">
                  <c:v>1.1026035065007956E-2</c:v>
                </c:pt>
                <c:pt idx="675">
                  <c:v>1.2977494831131907E-2</c:v>
                </c:pt>
                <c:pt idx="676">
                  <c:v>1.0501689351200317E-2</c:v>
                </c:pt>
                <c:pt idx="677">
                  <c:v>1.3182209850980601E-2</c:v>
                </c:pt>
                <c:pt idx="678">
                  <c:v>1.4670749734442233E-2</c:v>
                </c:pt>
                <c:pt idx="679">
                  <c:v>1.1155032780301371E-2</c:v>
                </c:pt>
                <c:pt idx="680">
                  <c:v>1.5072756399316824E-2</c:v>
                </c:pt>
                <c:pt idx="681">
                  <c:v>1.3025664141353184E-2</c:v>
                </c:pt>
                <c:pt idx="682">
                  <c:v>1.1401739475669198E-2</c:v>
                </c:pt>
                <c:pt idx="683">
                  <c:v>1.4289034563790739E-2</c:v>
                </c:pt>
                <c:pt idx="684">
                  <c:v>1.386228907498102E-2</c:v>
                </c:pt>
                <c:pt idx="685">
                  <c:v>1.4111664700453743E-2</c:v>
                </c:pt>
                <c:pt idx="686">
                  <c:v>1.3826620564832233E-2</c:v>
                </c:pt>
                <c:pt idx="687">
                  <c:v>1.3874442384911178E-2</c:v>
                </c:pt>
                <c:pt idx="688">
                  <c:v>1.1863708145930605E-2</c:v>
                </c:pt>
                <c:pt idx="689">
                  <c:v>1.0074982223260288E-2</c:v>
                </c:pt>
                <c:pt idx="690">
                  <c:v>1.1079751874008744E-2</c:v>
                </c:pt>
                <c:pt idx="691">
                  <c:v>9.8023849233163686E-3</c:v>
                </c:pt>
                <c:pt idx="692">
                  <c:v>1.4148879873072288E-2</c:v>
                </c:pt>
                <c:pt idx="693">
                  <c:v>9.9555615425183097E-3</c:v>
                </c:pt>
                <c:pt idx="694">
                  <c:v>1.0909084634781437E-2</c:v>
                </c:pt>
                <c:pt idx="695">
                  <c:v>9.7834262205318042E-3</c:v>
                </c:pt>
                <c:pt idx="696">
                  <c:v>1.4525629572576094E-2</c:v>
                </c:pt>
                <c:pt idx="697">
                  <c:v>1.2464528288482334E-2</c:v>
                </c:pt>
                <c:pt idx="698">
                  <c:v>1.632659391208555E-2</c:v>
                </c:pt>
                <c:pt idx="699">
                  <c:v>9.2767601072690931E-3</c:v>
                </c:pt>
                <c:pt idx="700">
                  <c:v>1.3170787485896264E-2</c:v>
                </c:pt>
                <c:pt idx="701">
                  <c:v>1.0319633535134348E-2</c:v>
                </c:pt>
                <c:pt idx="702">
                  <c:v>1.0067021845324823E-2</c:v>
                </c:pt>
                <c:pt idx="703">
                  <c:v>1.4284502661387356E-2</c:v>
                </c:pt>
                <c:pt idx="704">
                  <c:v>1.1502948215793738E-2</c:v>
                </c:pt>
                <c:pt idx="705">
                  <c:v>1.906302168500059E-2</c:v>
                </c:pt>
                <c:pt idx="706">
                  <c:v>9.2513385925061583E-3</c:v>
                </c:pt>
                <c:pt idx="707">
                  <c:v>1.3009110546230459E-2</c:v>
                </c:pt>
                <c:pt idx="708">
                  <c:v>1.5081169588307179E-2</c:v>
                </c:pt>
                <c:pt idx="709">
                  <c:v>1.0182155913553629E-2</c:v>
                </c:pt>
                <c:pt idx="710">
                  <c:v>1.422980672648998E-2</c:v>
                </c:pt>
                <c:pt idx="711">
                  <c:v>1.053182229541429E-2</c:v>
                </c:pt>
                <c:pt idx="712">
                  <c:v>1.3893998017793644E-2</c:v>
                </c:pt>
                <c:pt idx="713">
                  <c:v>1.2793757332040943E-2</c:v>
                </c:pt>
                <c:pt idx="714">
                  <c:v>1.020004936847505E-2</c:v>
                </c:pt>
                <c:pt idx="715">
                  <c:v>1.0307734907029327E-2</c:v>
                </c:pt>
                <c:pt idx="716">
                  <c:v>1.3268784103789989E-2</c:v>
                </c:pt>
                <c:pt idx="717">
                  <c:v>1.0663723254839674E-2</c:v>
                </c:pt>
                <c:pt idx="718">
                  <c:v>1.1668151988341317E-2</c:v>
                </c:pt>
                <c:pt idx="719">
                  <c:v>1.3866891629986427E-2</c:v>
                </c:pt>
                <c:pt idx="720">
                  <c:v>1.3862288581503074E-2</c:v>
                </c:pt>
                <c:pt idx="721">
                  <c:v>1.0245395744649558E-2</c:v>
                </c:pt>
                <c:pt idx="722">
                  <c:v>1.0501759920311505E-2</c:v>
                </c:pt>
                <c:pt idx="723">
                  <c:v>1.1313079208573407E-2</c:v>
                </c:pt>
                <c:pt idx="724">
                  <c:v>1.3704906115303794E-2</c:v>
                </c:pt>
                <c:pt idx="725">
                  <c:v>1.2373519109814901E-2</c:v>
                </c:pt>
                <c:pt idx="726">
                  <c:v>9.4323959889134439E-3</c:v>
                </c:pt>
                <c:pt idx="727">
                  <c:v>1.1961157535285134E-2</c:v>
                </c:pt>
                <c:pt idx="728">
                  <c:v>1.0306551326648743E-2</c:v>
                </c:pt>
                <c:pt idx="729">
                  <c:v>1.0640292918049975E-2</c:v>
                </c:pt>
                <c:pt idx="730">
                  <c:v>1.1155032780301373E-2</c:v>
                </c:pt>
                <c:pt idx="731">
                  <c:v>1.1146564562637018E-2</c:v>
                </c:pt>
                <c:pt idx="732">
                  <c:v>1.2990288880520688E-2</c:v>
                </c:pt>
                <c:pt idx="733">
                  <c:v>1.0903051617023381E-2</c:v>
                </c:pt>
                <c:pt idx="734">
                  <c:v>1.1534413402383682E-2</c:v>
                </c:pt>
                <c:pt idx="735">
                  <c:v>1.1166187997186647E-2</c:v>
                </c:pt>
                <c:pt idx="736">
                  <c:v>9.8517444126806422E-3</c:v>
                </c:pt>
                <c:pt idx="737">
                  <c:v>1.3524957073238543E-2</c:v>
                </c:pt>
                <c:pt idx="738">
                  <c:v>6.8849376323285322E-3</c:v>
                </c:pt>
                <c:pt idx="739">
                  <c:v>9.7649949534561343E-3</c:v>
                </c:pt>
                <c:pt idx="740">
                  <c:v>1.173190785472342E-2</c:v>
                </c:pt>
                <c:pt idx="741">
                  <c:v>1.4367156485985239E-2</c:v>
                </c:pt>
                <c:pt idx="742">
                  <c:v>1.0688621248473359E-2</c:v>
                </c:pt>
                <c:pt idx="743">
                  <c:v>9.5408883757678985E-3</c:v>
                </c:pt>
                <c:pt idx="744">
                  <c:v>1.0729014215921741E-2</c:v>
                </c:pt>
                <c:pt idx="745">
                  <c:v>1.5757614238489259E-2</c:v>
                </c:pt>
                <c:pt idx="746">
                  <c:v>1.0237955221876791E-2</c:v>
                </c:pt>
                <c:pt idx="747">
                  <c:v>1.4227492800594425E-2</c:v>
                </c:pt>
                <c:pt idx="748">
                  <c:v>1.0033226412641778E-2</c:v>
                </c:pt>
                <c:pt idx="749">
                  <c:v>1.0977548684537796E-2</c:v>
                </c:pt>
                <c:pt idx="750">
                  <c:v>1.1078226110210934E-2</c:v>
                </c:pt>
                <c:pt idx="751">
                  <c:v>1.4183944142920537E-2</c:v>
                </c:pt>
                <c:pt idx="752">
                  <c:v>1.3826620564832233E-2</c:v>
                </c:pt>
                <c:pt idx="753">
                  <c:v>1.3958733968459012E-2</c:v>
                </c:pt>
                <c:pt idx="754">
                  <c:v>1.3902640725373946E-2</c:v>
                </c:pt>
                <c:pt idx="755">
                  <c:v>1.2729269205409699E-2</c:v>
                </c:pt>
                <c:pt idx="756">
                  <c:v>1.0725350755565655E-2</c:v>
                </c:pt>
                <c:pt idx="757">
                  <c:v>9.9894402387009865E-3</c:v>
                </c:pt>
                <c:pt idx="758">
                  <c:v>1.6301105982438266E-2</c:v>
                </c:pt>
                <c:pt idx="759">
                  <c:v>1.2638399329780453E-2</c:v>
                </c:pt>
                <c:pt idx="760">
                  <c:v>1.0248298050818193E-2</c:v>
                </c:pt>
                <c:pt idx="761">
                  <c:v>1.0555765828257549E-2</c:v>
                </c:pt>
                <c:pt idx="762">
                  <c:v>1.049835125197526E-2</c:v>
                </c:pt>
                <c:pt idx="763">
                  <c:v>9.7581295475757824E-3</c:v>
                </c:pt>
                <c:pt idx="764">
                  <c:v>1.313164794902149E-2</c:v>
                </c:pt>
                <c:pt idx="765">
                  <c:v>1.0071806873128789E-2</c:v>
                </c:pt>
                <c:pt idx="766">
                  <c:v>1.4637253852239254E-2</c:v>
                </c:pt>
                <c:pt idx="767">
                  <c:v>1.159620142516552E-2</c:v>
                </c:pt>
                <c:pt idx="768">
                  <c:v>1.1685438589619162E-2</c:v>
                </c:pt>
                <c:pt idx="769">
                  <c:v>1.4367450600776129E-2</c:v>
                </c:pt>
                <c:pt idx="770">
                  <c:v>1.1136879733501909E-2</c:v>
                </c:pt>
                <c:pt idx="771">
                  <c:v>1.1535577892675369E-2</c:v>
                </c:pt>
                <c:pt idx="772">
                  <c:v>1.0909084634781437E-2</c:v>
                </c:pt>
                <c:pt idx="773">
                  <c:v>1.2901282973642719E-2</c:v>
                </c:pt>
                <c:pt idx="774">
                  <c:v>9.6072504934051357E-3</c:v>
                </c:pt>
                <c:pt idx="775">
                  <c:v>1.2994685620591234E-2</c:v>
                </c:pt>
                <c:pt idx="776">
                  <c:v>1.4593023709096226E-2</c:v>
                </c:pt>
                <c:pt idx="777">
                  <c:v>9.9933207079883832E-3</c:v>
                </c:pt>
                <c:pt idx="778">
                  <c:v>1.4013216223519354E-2</c:v>
                </c:pt>
                <c:pt idx="779">
                  <c:v>1.2956551174077428E-2</c:v>
                </c:pt>
                <c:pt idx="780">
                  <c:v>1.3701390154798274E-2</c:v>
                </c:pt>
                <c:pt idx="781">
                  <c:v>1.2683010246434709E-2</c:v>
                </c:pt>
                <c:pt idx="782">
                  <c:v>1.0220621362782867E-2</c:v>
                </c:pt>
                <c:pt idx="783">
                  <c:v>1.0737864322713711E-2</c:v>
                </c:pt>
                <c:pt idx="784">
                  <c:v>1.3088010981072576E-2</c:v>
                </c:pt>
                <c:pt idx="785">
                  <c:v>1.0360438366497051E-2</c:v>
                </c:pt>
                <c:pt idx="786">
                  <c:v>1.6693406595016065E-2</c:v>
                </c:pt>
                <c:pt idx="787">
                  <c:v>1.3993973667379787E-2</c:v>
                </c:pt>
                <c:pt idx="788">
                  <c:v>1.374509820351749E-2</c:v>
                </c:pt>
                <c:pt idx="789">
                  <c:v>1.0199118291272596E-2</c:v>
                </c:pt>
                <c:pt idx="790">
                  <c:v>1.0765513519660843E-2</c:v>
                </c:pt>
                <c:pt idx="791">
                  <c:v>1.0884569668754332E-2</c:v>
                </c:pt>
                <c:pt idx="792">
                  <c:v>1.0861569183889952E-2</c:v>
                </c:pt>
                <c:pt idx="793">
                  <c:v>1.2558068991622534E-2</c:v>
                </c:pt>
                <c:pt idx="794">
                  <c:v>1.1286071671928853E-2</c:v>
                </c:pt>
                <c:pt idx="795">
                  <c:v>1.8794551774568874E-2</c:v>
                </c:pt>
                <c:pt idx="796">
                  <c:v>1.4023079188701031E-2</c:v>
                </c:pt>
                <c:pt idx="797">
                  <c:v>9.991102745609045E-3</c:v>
                </c:pt>
                <c:pt idx="798">
                  <c:v>1.1155032780301373E-2</c:v>
                </c:pt>
                <c:pt idx="799">
                  <c:v>1.0889749372653659E-2</c:v>
                </c:pt>
                <c:pt idx="800">
                  <c:v>1.4043816940215014E-2</c:v>
                </c:pt>
                <c:pt idx="801">
                  <c:v>8.4207903126743786E-3</c:v>
                </c:pt>
                <c:pt idx="802">
                  <c:v>1.4123718142303428E-2</c:v>
                </c:pt>
                <c:pt idx="803">
                  <c:v>1.3487410603480647E-2</c:v>
                </c:pt>
                <c:pt idx="804">
                  <c:v>1.2192372238821525E-2</c:v>
                </c:pt>
                <c:pt idx="805">
                  <c:v>1.2790744922334856E-2</c:v>
                </c:pt>
                <c:pt idx="806">
                  <c:v>1.2424068284695557E-2</c:v>
                </c:pt>
                <c:pt idx="807">
                  <c:v>1.0604287175707699E-2</c:v>
                </c:pt>
                <c:pt idx="808">
                  <c:v>1.2742793474200874E-2</c:v>
                </c:pt>
                <c:pt idx="809">
                  <c:v>1.3054771929003813E-2</c:v>
                </c:pt>
                <c:pt idx="810">
                  <c:v>1.6200182288353199E-2</c:v>
                </c:pt>
                <c:pt idx="811">
                  <c:v>1.0345406250637363E-2</c:v>
                </c:pt>
                <c:pt idx="812">
                  <c:v>1.457921900807845E-2</c:v>
                </c:pt>
                <c:pt idx="813">
                  <c:v>1.3347723042218191E-2</c:v>
                </c:pt>
                <c:pt idx="814">
                  <c:v>1.6397669149737778E-2</c:v>
                </c:pt>
                <c:pt idx="815">
                  <c:v>1.0457552217227443E-2</c:v>
                </c:pt>
                <c:pt idx="816">
                  <c:v>1.4227492800594425E-2</c:v>
                </c:pt>
                <c:pt idx="817">
                  <c:v>1.0366194227320609E-2</c:v>
                </c:pt>
                <c:pt idx="818">
                  <c:v>1.0211542800587916E-2</c:v>
                </c:pt>
                <c:pt idx="819">
                  <c:v>1.3882356534975659E-2</c:v>
                </c:pt>
                <c:pt idx="820">
                  <c:v>1.2834122427984901E-2</c:v>
                </c:pt>
                <c:pt idx="821">
                  <c:v>1.3680292337424614E-2</c:v>
                </c:pt>
                <c:pt idx="822">
                  <c:v>1.3521701753187086E-2</c:v>
                </c:pt>
                <c:pt idx="823">
                  <c:v>1.2749013599251052E-2</c:v>
                </c:pt>
                <c:pt idx="824">
                  <c:v>1.0392937603379624E-2</c:v>
                </c:pt>
                <c:pt idx="825">
                  <c:v>9.9426050621316542E-3</c:v>
                </c:pt>
                <c:pt idx="826">
                  <c:v>1.5712515718385011E-2</c:v>
                </c:pt>
                <c:pt idx="827">
                  <c:v>1.1243555625401903E-2</c:v>
                </c:pt>
                <c:pt idx="828">
                  <c:v>1.3024971778664534E-2</c:v>
                </c:pt>
                <c:pt idx="829">
                  <c:v>1.383981491350712E-2</c:v>
                </c:pt>
                <c:pt idx="830">
                  <c:v>1.0201929652973663E-2</c:v>
                </c:pt>
                <c:pt idx="831">
                  <c:v>1.6852964635850839E-2</c:v>
                </c:pt>
                <c:pt idx="832">
                  <c:v>1.0138228791227267E-2</c:v>
                </c:pt>
                <c:pt idx="833">
                  <c:v>1.2203446686908479E-2</c:v>
                </c:pt>
                <c:pt idx="834">
                  <c:v>1.1571701745567787E-2</c:v>
                </c:pt>
                <c:pt idx="835">
                  <c:v>1.4637253852239254E-2</c:v>
                </c:pt>
                <c:pt idx="836">
                  <c:v>1.6001662566933018E-2</c:v>
                </c:pt>
                <c:pt idx="837">
                  <c:v>1.2148350296246753E-2</c:v>
                </c:pt>
                <c:pt idx="838">
                  <c:v>1.6301105982438266E-2</c:v>
                </c:pt>
                <c:pt idx="839">
                  <c:v>1.0738752877259276E-2</c:v>
                </c:pt>
                <c:pt idx="840">
                  <c:v>1.1099399626355087E-2</c:v>
                </c:pt>
                <c:pt idx="841">
                  <c:v>1.2982396460022395E-2</c:v>
                </c:pt>
                <c:pt idx="842">
                  <c:v>1.0776284349146825E-2</c:v>
                </c:pt>
                <c:pt idx="843">
                  <c:v>1.2676821541502115E-2</c:v>
                </c:pt>
                <c:pt idx="844">
                  <c:v>1.1389840932162649E-2</c:v>
                </c:pt>
                <c:pt idx="845">
                  <c:v>9.8211596976906755E-3</c:v>
                </c:pt>
                <c:pt idx="846">
                  <c:v>1.0502583005742474E-2</c:v>
                </c:pt>
                <c:pt idx="847">
                  <c:v>1.3849894403893379E-2</c:v>
                </c:pt>
                <c:pt idx="848">
                  <c:v>1.0237955221876791E-2</c:v>
                </c:pt>
                <c:pt idx="849">
                  <c:v>1.0972784808687778E-2</c:v>
                </c:pt>
                <c:pt idx="850">
                  <c:v>1.5904108076560286E-2</c:v>
                </c:pt>
                <c:pt idx="851">
                  <c:v>1.3823512354188865E-2</c:v>
                </c:pt>
                <c:pt idx="852">
                  <c:v>9.6730729121530835E-3</c:v>
                </c:pt>
                <c:pt idx="853">
                  <c:v>1.0064185502766181E-2</c:v>
                </c:pt>
                <c:pt idx="854">
                  <c:v>1.3474696834592237E-2</c:v>
                </c:pt>
                <c:pt idx="855">
                  <c:v>1.3065123935181404E-2</c:v>
                </c:pt>
                <c:pt idx="856">
                  <c:v>1.0894593143071665E-2</c:v>
                </c:pt>
                <c:pt idx="857">
                  <c:v>1.6280068522945342E-2</c:v>
                </c:pt>
                <c:pt idx="858">
                  <c:v>1.148920964723065E-2</c:v>
                </c:pt>
                <c:pt idx="859">
                  <c:v>1.4188266558946014E-2</c:v>
                </c:pt>
                <c:pt idx="860">
                  <c:v>9.9533208727755271E-3</c:v>
                </c:pt>
                <c:pt idx="861">
                  <c:v>9.8269661087508967E-3</c:v>
                </c:pt>
                <c:pt idx="862">
                  <c:v>1.2629863889833153E-2</c:v>
                </c:pt>
                <c:pt idx="863">
                  <c:v>1.4023348987052714E-2</c:v>
                </c:pt>
                <c:pt idx="864">
                  <c:v>1.0296407620438911E-2</c:v>
                </c:pt>
                <c:pt idx="865">
                  <c:v>9.9927369620703664E-3</c:v>
                </c:pt>
                <c:pt idx="866">
                  <c:v>1.8001796391182504E-2</c:v>
                </c:pt>
                <c:pt idx="867">
                  <c:v>1.3140044380384162E-2</c:v>
                </c:pt>
                <c:pt idx="868">
                  <c:v>9.9911027456090467E-3</c:v>
                </c:pt>
                <c:pt idx="869">
                  <c:v>1.0678381654700331E-2</c:v>
                </c:pt>
                <c:pt idx="870">
                  <c:v>1.0428899969981496E-2</c:v>
                </c:pt>
                <c:pt idx="871">
                  <c:v>1.4516805794357721E-2</c:v>
                </c:pt>
                <c:pt idx="872">
                  <c:v>7.1736687616552729E-3</c:v>
                </c:pt>
                <c:pt idx="873">
                  <c:v>1.4123718142303425E-2</c:v>
                </c:pt>
                <c:pt idx="874">
                  <c:v>1.3176423407809038E-2</c:v>
                </c:pt>
                <c:pt idx="875">
                  <c:v>1.2594249762566156E-2</c:v>
                </c:pt>
                <c:pt idx="876">
                  <c:v>1.2840115359770742E-2</c:v>
                </c:pt>
                <c:pt idx="877">
                  <c:v>1.2494847842069487E-2</c:v>
                </c:pt>
                <c:pt idx="878">
                  <c:v>1.0051442704506577E-2</c:v>
                </c:pt>
                <c:pt idx="879">
                  <c:v>1.390963939135785E-2</c:v>
                </c:pt>
                <c:pt idx="880">
                  <c:v>1.8001796391182507E-2</c:v>
                </c:pt>
                <c:pt idx="881">
                  <c:v>1.6200182288353199E-2</c:v>
                </c:pt>
                <c:pt idx="882">
                  <c:v>1.0729014215921739E-2</c:v>
                </c:pt>
                <c:pt idx="883">
                  <c:v>1.4273481573858953E-2</c:v>
                </c:pt>
                <c:pt idx="884">
                  <c:v>1.2575938306504112E-2</c:v>
                </c:pt>
                <c:pt idx="885">
                  <c:v>1.7001045882918224E-2</c:v>
                </c:pt>
                <c:pt idx="886">
                  <c:v>1.0457552217227443E-2</c:v>
                </c:pt>
                <c:pt idx="887">
                  <c:v>1.020004936847505E-2</c:v>
                </c:pt>
                <c:pt idx="888">
                  <c:v>1.0304214798572258E-2</c:v>
                </c:pt>
                <c:pt idx="889">
                  <c:v>1.0206866714333995E-2</c:v>
                </c:pt>
                <c:pt idx="890">
                  <c:v>1.3640414807856069E-2</c:v>
                </c:pt>
                <c:pt idx="891">
                  <c:v>1.1863708145930605E-2</c:v>
                </c:pt>
                <c:pt idx="892">
                  <c:v>1.3429929163689722E-2</c:v>
                </c:pt>
                <c:pt idx="893">
                  <c:v>1.0850416461202859E-2</c:v>
                </c:pt>
                <c:pt idx="894">
                  <c:v>1.4107761123317455E-2</c:v>
                </c:pt>
                <c:pt idx="895">
                  <c:v>1.1668151988341318E-2</c:v>
                </c:pt>
                <c:pt idx="896">
                  <c:v>1.3044338301955736E-2</c:v>
                </c:pt>
                <c:pt idx="897">
                  <c:v>1.3900120420019861E-2</c:v>
                </c:pt>
                <c:pt idx="898">
                  <c:v>1.0977451207559594E-2</c:v>
                </c:pt>
                <c:pt idx="899">
                  <c:v>1.2775777626675748E-2</c:v>
                </c:pt>
                <c:pt idx="900">
                  <c:v>1.0883169457945992E-2</c:v>
                </c:pt>
                <c:pt idx="901">
                  <c:v>1.0556532643402264E-2</c:v>
                </c:pt>
                <c:pt idx="902">
                  <c:v>1.5998727079513643E-2</c:v>
                </c:pt>
                <c:pt idx="903">
                  <c:v>1.8928536094734424E-2</c:v>
                </c:pt>
                <c:pt idx="904">
                  <c:v>1.0108202031305797E-2</c:v>
                </c:pt>
                <c:pt idx="905">
                  <c:v>1.1526754040348287E-2</c:v>
                </c:pt>
                <c:pt idx="906">
                  <c:v>1.4273481573858949E-2</c:v>
                </c:pt>
                <c:pt idx="907">
                  <c:v>1.5344006605141125E-2</c:v>
                </c:pt>
                <c:pt idx="908">
                  <c:v>1.194726974926384E-2</c:v>
                </c:pt>
                <c:pt idx="909">
                  <c:v>1.1489209647230651E-2</c:v>
                </c:pt>
                <c:pt idx="910">
                  <c:v>1.0738752877259276E-2</c:v>
                </c:pt>
                <c:pt idx="911">
                  <c:v>9.1839692802579871E-3</c:v>
                </c:pt>
                <c:pt idx="912">
                  <c:v>1.5255066422544934E-2</c:v>
                </c:pt>
                <c:pt idx="913">
                  <c:v>1.3151819981509568E-2</c:v>
                </c:pt>
                <c:pt idx="914">
                  <c:v>1.3296815935497617E-2</c:v>
                </c:pt>
                <c:pt idx="915">
                  <c:v>1.0447636538556886E-2</c:v>
                </c:pt>
                <c:pt idx="916">
                  <c:v>1.076141786180595E-2</c:v>
                </c:pt>
                <c:pt idx="917">
                  <c:v>1.0473843234688167E-2</c:v>
                </c:pt>
                <c:pt idx="918">
                  <c:v>1.0043237985763611E-2</c:v>
                </c:pt>
                <c:pt idx="919">
                  <c:v>1.0972784808687778E-2</c:v>
                </c:pt>
                <c:pt idx="920">
                  <c:v>1.5255066422544934E-2</c:v>
                </c:pt>
                <c:pt idx="921">
                  <c:v>1.2653573775764926E-2</c:v>
                </c:pt>
                <c:pt idx="922">
                  <c:v>9.5795363962064995E-3</c:v>
                </c:pt>
                <c:pt idx="923">
                  <c:v>9.3750437785534522E-3</c:v>
                </c:pt>
                <c:pt idx="924">
                  <c:v>1.3474696834592237E-2</c:v>
                </c:pt>
                <c:pt idx="925">
                  <c:v>1.0977548684537798E-2</c:v>
                </c:pt>
                <c:pt idx="926">
                  <c:v>9.5973862690342821E-3</c:v>
                </c:pt>
                <c:pt idx="927">
                  <c:v>1.0654913118182561E-2</c:v>
                </c:pt>
                <c:pt idx="928">
                  <c:v>1.3009110546230461E-2</c:v>
                </c:pt>
                <c:pt idx="929">
                  <c:v>1.4057166436817375E-2</c:v>
                </c:pt>
                <c:pt idx="930">
                  <c:v>9.7394437849265582E-3</c:v>
                </c:pt>
                <c:pt idx="931">
                  <c:v>1.4579219008078452E-2</c:v>
                </c:pt>
                <c:pt idx="932">
                  <c:v>1.8132536690980538E-2</c:v>
                </c:pt>
                <c:pt idx="933">
                  <c:v>1.1530266089066507E-2</c:v>
                </c:pt>
                <c:pt idx="934">
                  <c:v>1.0267488646913093E-2</c:v>
                </c:pt>
                <c:pt idx="935">
                  <c:v>1.8026487575849275E-2</c:v>
                </c:pt>
                <c:pt idx="936">
                  <c:v>1.1847712451197557E-2</c:v>
                </c:pt>
                <c:pt idx="937">
                  <c:v>1.7103671905773409E-2</c:v>
                </c:pt>
                <c:pt idx="938">
                  <c:v>1.3112988436391915E-2</c:v>
                </c:pt>
                <c:pt idx="939">
                  <c:v>1.0794508160719118E-2</c:v>
                </c:pt>
                <c:pt idx="940">
                  <c:v>9.9803990432990614E-3</c:v>
                </c:pt>
                <c:pt idx="941">
                  <c:v>1.0857473299339521E-2</c:v>
                </c:pt>
                <c:pt idx="942">
                  <c:v>1.4442119867290834E-2</c:v>
                </c:pt>
                <c:pt idx="943">
                  <c:v>5.1856939532221591E-3</c:v>
                </c:pt>
                <c:pt idx="944">
                  <c:v>1.4434072448601476E-2</c:v>
                </c:pt>
                <c:pt idx="945">
                  <c:v>1.2176532509436731E-2</c:v>
                </c:pt>
                <c:pt idx="946">
                  <c:v>9.7033999791486351E-3</c:v>
                </c:pt>
                <c:pt idx="947">
                  <c:v>1.2927532193759682E-2</c:v>
                </c:pt>
                <c:pt idx="948">
                  <c:v>1.8528130402520309E-2</c:v>
                </c:pt>
                <c:pt idx="949">
                  <c:v>1.3316679604496166E-2</c:v>
                </c:pt>
                <c:pt idx="950">
                  <c:v>1.296142779781387E-2</c:v>
                </c:pt>
                <c:pt idx="951">
                  <c:v>1.8001796391182507E-2</c:v>
                </c:pt>
                <c:pt idx="952">
                  <c:v>1.5618520989042381E-2</c:v>
                </c:pt>
                <c:pt idx="953">
                  <c:v>1.2954703186351401E-2</c:v>
                </c:pt>
                <c:pt idx="954">
                  <c:v>1.0166449208827442E-2</c:v>
                </c:pt>
                <c:pt idx="955">
                  <c:v>1.2857868552415571E-2</c:v>
                </c:pt>
                <c:pt idx="956">
                  <c:v>1.0840390896534007E-2</c:v>
                </c:pt>
                <c:pt idx="957">
                  <c:v>1.0206866714333995E-2</c:v>
                </c:pt>
                <c:pt idx="958">
                  <c:v>1.1003620775674079E-2</c:v>
                </c:pt>
                <c:pt idx="959">
                  <c:v>1.0196705760860779E-2</c:v>
                </c:pt>
                <c:pt idx="960">
                  <c:v>1.0753666487159103E-2</c:v>
                </c:pt>
                <c:pt idx="961">
                  <c:v>1.0785756323386879E-2</c:v>
                </c:pt>
                <c:pt idx="962">
                  <c:v>1.3735378999056679E-2</c:v>
                </c:pt>
                <c:pt idx="963">
                  <c:v>9.9533208727755271E-3</c:v>
                </c:pt>
                <c:pt idx="964">
                  <c:v>1.7103671905773405E-2</c:v>
                </c:pt>
                <c:pt idx="965">
                  <c:v>1.0069275629952633E-2</c:v>
                </c:pt>
                <c:pt idx="966">
                  <c:v>1.0815420333215591E-2</c:v>
                </c:pt>
                <c:pt idx="967">
                  <c:v>1.0899293496276661E-2</c:v>
                </c:pt>
                <c:pt idx="968">
                  <c:v>1.2009980207731219E-2</c:v>
                </c:pt>
                <c:pt idx="969">
                  <c:v>1.384281010373742E-2</c:v>
                </c:pt>
                <c:pt idx="970">
                  <c:v>1.0967889516596763E-2</c:v>
                </c:pt>
                <c:pt idx="971">
                  <c:v>1.1571701745567788E-2</c:v>
                </c:pt>
                <c:pt idx="972">
                  <c:v>9.4430050215710132E-3</c:v>
                </c:pt>
                <c:pt idx="973">
                  <c:v>1.4523169030091784E-2</c:v>
                </c:pt>
                <c:pt idx="974">
                  <c:v>1.0985594049539721E-2</c:v>
                </c:pt>
                <c:pt idx="975">
                  <c:v>1.0737484730818526E-2</c:v>
                </c:pt>
                <c:pt idx="976">
                  <c:v>1.1801528314927633E-2</c:v>
                </c:pt>
                <c:pt idx="977">
                  <c:v>1.0933102399933914E-2</c:v>
                </c:pt>
                <c:pt idx="978">
                  <c:v>1.4178444144624632E-2</c:v>
                </c:pt>
                <c:pt idx="979">
                  <c:v>1.0323392482273817E-2</c:v>
                </c:pt>
                <c:pt idx="980">
                  <c:v>1.6852964635850839E-2</c:v>
                </c:pt>
                <c:pt idx="981">
                  <c:v>1.5998727079513646E-2</c:v>
                </c:pt>
                <c:pt idx="982">
                  <c:v>1.3785426222688036E-2</c:v>
                </c:pt>
                <c:pt idx="983">
                  <c:v>1.0963297157137083E-2</c:v>
                </c:pt>
                <c:pt idx="984">
                  <c:v>1.0764418774910672E-2</c:v>
                </c:pt>
                <c:pt idx="985">
                  <c:v>1.032247063989955E-2</c:v>
                </c:pt>
                <c:pt idx="986">
                  <c:v>1.0094980135772751E-2</c:v>
                </c:pt>
                <c:pt idx="987">
                  <c:v>1.8132536690980541E-2</c:v>
                </c:pt>
                <c:pt idx="988">
                  <c:v>1.4912738377618209E-2</c:v>
                </c:pt>
                <c:pt idx="989">
                  <c:v>1.3546289319762671E-2</c:v>
                </c:pt>
                <c:pt idx="990">
                  <c:v>9.5653657619813523E-3</c:v>
                </c:pt>
                <c:pt idx="991">
                  <c:v>9.9803650432070574E-3</c:v>
                </c:pt>
                <c:pt idx="992">
                  <c:v>1.3306023585005959E-2</c:v>
                </c:pt>
                <c:pt idx="993">
                  <c:v>1.0830165794776274E-2</c:v>
                </c:pt>
                <c:pt idx="994">
                  <c:v>1.1978865517337917E-2</c:v>
                </c:pt>
                <c:pt idx="995">
                  <c:v>1.29642486731527E-2</c:v>
                </c:pt>
                <c:pt idx="996">
                  <c:v>1.0502583005742475E-2</c:v>
                </c:pt>
                <c:pt idx="997">
                  <c:v>1.0187873581924065E-2</c:v>
                </c:pt>
                <c:pt idx="998">
                  <c:v>1.2608604184506246E-2</c:v>
                </c:pt>
                <c:pt idx="999">
                  <c:v>1.3262960628972897E-2</c:v>
                </c:pt>
                <c:pt idx="1000">
                  <c:v>1.1766506833316757E-2</c:v>
                </c:pt>
                <c:pt idx="1001">
                  <c:v>1.3233550764420348E-2</c:v>
                </c:pt>
                <c:pt idx="1002">
                  <c:v>1.1985052676928639E-2</c:v>
                </c:pt>
                <c:pt idx="1003">
                  <c:v>1.0907497346881834E-2</c:v>
                </c:pt>
                <c:pt idx="1004">
                  <c:v>1.0860578606190309E-2</c:v>
                </c:pt>
                <c:pt idx="1005">
                  <c:v>1.4087966762898614E-2</c:v>
                </c:pt>
                <c:pt idx="1006">
                  <c:v>1.385468174575776E-2</c:v>
                </c:pt>
                <c:pt idx="1007">
                  <c:v>9.0456362555927095E-3</c:v>
                </c:pt>
                <c:pt idx="1008">
                  <c:v>1.0622417067170098E-2</c:v>
                </c:pt>
                <c:pt idx="1009">
                  <c:v>1.2994685620591232E-2</c:v>
                </c:pt>
                <c:pt idx="1010">
                  <c:v>1.1132991022899377E-2</c:v>
                </c:pt>
                <c:pt idx="1011">
                  <c:v>1.4656858912891797E-2</c:v>
                </c:pt>
                <c:pt idx="1012">
                  <c:v>1.1295272650944804E-2</c:v>
                </c:pt>
                <c:pt idx="1013">
                  <c:v>9.5095049994802193E-3</c:v>
                </c:pt>
                <c:pt idx="1014">
                  <c:v>1.5528474120001454E-2</c:v>
                </c:pt>
                <c:pt idx="1015">
                  <c:v>1.4188266558946014E-2</c:v>
                </c:pt>
                <c:pt idx="1016">
                  <c:v>1.3599387788441792E-2</c:v>
                </c:pt>
                <c:pt idx="1017">
                  <c:v>1.3049957266674487E-2</c:v>
                </c:pt>
                <c:pt idx="1018">
                  <c:v>1.2882021024679042E-2</c:v>
                </c:pt>
                <c:pt idx="1019">
                  <c:v>1.5182902652220035E-2</c:v>
                </c:pt>
                <c:pt idx="1020">
                  <c:v>1.4442119867290834E-2</c:v>
                </c:pt>
                <c:pt idx="1021">
                  <c:v>1.4861488874477047E-2</c:v>
                </c:pt>
                <c:pt idx="1022">
                  <c:v>1.4068228960112806E-2</c:v>
                </c:pt>
                <c:pt idx="1023">
                  <c:v>1.1126261192309094E-2</c:v>
                </c:pt>
                <c:pt idx="1024">
                  <c:v>1.0185531169869786E-2</c:v>
                </c:pt>
                <c:pt idx="1025">
                  <c:v>1.1823816140259806E-2</c:v>
                </c:pt>
                <c:pt idx="1026">
                  <c:v>1.0283284436038655E-2</c:v>
                </c:pt>
                <c:pt idx="1027">
                  <c:v>1.0832554516863343E-2</c:v>
                </c:pt>
                <c:pt idx="1028">
                  <c:v>9.5799798832001421E-3</c:v>
                </c:pt>
                <c:pt idx="1029">
                  <c:v>1.0602495561197557E-2</c:v>
                </c:pt>
                <c:pt idx="1030">
                  <c:v>1.0128555720861736E-2</c:v>
                </c:pt>
                <c:pt idx="1031">
                  <c:v>1.264897677979584E-2</c:v>
                </c:pt>
                <c:pt idx="1032">
                  <c:v>1.054880974222004E-2</c:v>
                </c:pt>
                <c:pt idx="1033">
                  <c:v>1.029512132525741E-2</c:v>
                </c:pt>
                <c:pt idx="1034">
                  <c:v>1.6301105982438266E-2</c:v>
                </c:pt>
                <c:pt idx="1035">
                  <c:v>1.6536259231400802E-2</c:v>
                </c:pt>
                <c:pt idx="1036">
                  <c:v>1.3621378205520344E-2</c:v>
                </c:pt>
                <c:pt idx="1037">
                  <c:v>1.0499370196114879E-2</c:v>
                </c:pt>
                <c:pt idx="1038">
                  <c:v>1.1405326812685485E-2</c:v>
                </c:pt>
                <c:pt idx="1039">
                  <c:v>1.1201285029065523E-2</c:v>
                </c:pt>
                <c:pt idx="1040">
                  <c:v>1.4319271568267724E-2</c:v>
                </c:pt>
                <c:pt idx="1041">
                  <c:v>1.0508183830730449E-2</c:v>
                </c:pt>
                <c:pt idx="1042">
                  <c:v>1.0909084634781437E-2</c:v>
                </c:pt>
                <c:pt idx="1043">
                  <c:v>1.3383775525188497E-2</c:v>
                </c:pt>
                <c:pt idx="1044">
                  <c:v>1.0663276279045017E-2</c:v>
                </c:pt>
                <c:pt idx="1045">
                  <c:v>1.0849268270399207E-2</c:v>
                </c:pt>
                <c:pt idx="1046">
                  <c:v>1.2407068080502534E-2</c:v>
                </c:pt>
                <c:pt idx="1047">
                  <c:v>1.0473843234688167E-2</c:v>
                </c:pt>
                <c:pt idx="1048">
                  <c:v>1.0022910960874785E-2</c:v>
                </c:pt>
                <c:pt idx="1049">
                  <c:v>1.1668661475519987E-2</c:v>
                </c:pt>
                <c:pt idx="1050">
                  <c:v>1.1638714504403661E-2</c:v>
                </c:pt>
                <c:pt idx="1051">
                  <c:v>1.5072756399316824E-2</c:v>
                </c:pt>
                <c:pt idx="1052">
                  <c:v>1.0192156839305608E-2</c:v>
                </c:pt>
                <c:pt idx="1053">
                  <c:v>9.6068778415279218E-3</c:v>
                </c:pt>
                <c:pt idx="1054">
                  <c:v>1.7230052311804852E-2</c:v>
                </c:pt>
                <c:pt idx="1055">
                  <c:v>1.4368989816425544E-2</c:v>
                </c:pt>
                <c:pt idx="1056">
                  <c:v>1.3699090274319509E-2</c:v>
                </c:pt>
                <c:pt idx="1057">
                  <c:v>9.3010877751909787E-3</c:v>
                </c:pt>
                <c:pt idx="1058">
                  <c:v>1.244478131295846E-2</c:v>
                </c:pt>
                <c:pt idx="1059">
                  <c:v>1.697797094601055E-2</c:v>
                </c:pt>
                <c:pt idx="1060">
                  <c:v>9.6375102621556533E-3</c:v>
                </c:pt>
                <c:pt idx="1061">
                  <c:v>1.2710433999783685E-2</c:v>
                </c:pt>
                <c:pt idx="1062">
                  <c:v>1.0785346482839398E-2</c:v>
                </c:pt>
                <c:pt idx="1063">
                  <c:v>1.0678381654700331E-2</c:v>
                </c:pt>
                <c:pt idx="1064">
                  <c:v>1.4027511296019176E-2</c:v>
                </c:pt>
                <c:pt idx="1065">
                  <c:v>1.4129957579282985E-2</c:v>
                </c:pt>
                <c:pt idx="1066">
                  <c:v>1.0308163653819615E-2</c:v>
                </c:pt>
                <c:pt idx="1067">
                  <c:v>1.6482271217304091E-2</c:v>
                </c:pt>
                <c:pt idx="1068">
                  <c:v>1.1234592652910182E-2</c:v>
                </c:pt>
                <c:pt idx="1069">
                  <c:v>1.3065123935181406E-2</c:v>
                </c:pt>
                <c:pt idx="1070">
                  <c:v>1.0958733054285734E-2</c:v>
                </c:pt>
                <c:pt idx="1071">
                  <c:v>1.0239871705778869E-2</c:v>
                </c:pt>
                <c:pt idx="1072">
                  <c:v>1.1942093843263507E-2</c:v>
                </c:pt>
                <c:pt idx="1073">
                  <c:v>1.3241074744009689E-2</c:v>
                </c:pt>
                <c:pt idx="1074">
                  <c:v>1.4717497841985417E-2</c:v>
                </c:pt>
                <c:pt idx="1075">
                  <c:v>1.6200182288353199E-2</c:v>
                </c:pt>
                <c:pt idx="1076">
                  <c:v>1.0355187992500054E-2</c:v>
                </c:pt>
                <c:pt idx="1077">
                  <c:v>1.2953162917986181E-2</c:v>
                </c:pt>
                <c:pt idx="1078">
                  <c:v>1.441711545283081E-2</c:v>
                </c:pt>
                <c:pt idx="1079">
                  <c:v>1.8001796391182507E-2</c:v>
                </c:pt>
                <c:pt idx="1080">
                  <c:v>1.4156095171859336E-2</c:v>
                </c:pt>
                <c:pt idx="1081">
                  <c:v>1.5588506853553261E-2</c:v>
                </c:pt>
                <c:pt idx="1082">
                  <c:v>9.8891119479528142E-3</c:v>
                </c:pt>
                <c:pt idx="1083">
                  <c:v>1.3900120420019861E-2</c:v>
                </c:pt>
                <c:pt idx="1084">
                  <c:v>1.3984850690816109E-2</c:v>
                </c:pt>
                <c:pt idx="1085">
                  <c:v>1.4000173937607611E-2</c:v>
                </c:pt>
                <c:pt idx="1086">
                  <c:v>9.6115270906106613E-3</c:v>
                </c:pt>
                <c:pt idx="1087">
                  <c:v>1.6605098630716873E-2</c:v>
                </c:pt>
                <c:pt idx="1088">
                  <c:v>1.0569640821757332E-2</c:v>
                </c:pt>
                <c:pt idx="1089">
                  <c:v>9.8880402040913088E-3</c:v>
                </c:pt>
                <c:pt idx="1090">
                  <c:v>1.3940360091823891E-2</c:v>
                </c:pt>
                <c:pt idx="1091">
                  <c:v>1.8528130402520309E-2</c:v>
                </c:pt>
                <c:pt idx="1092">
                  <c:v>1.3520822457855124E-2</c:v>
                </c:pt>
                <c:pt idx="1093">
                  <c:v>9.5690768826218534E-3</c:v>
                </c:pt>
                <c:pt idx="1094">
                  <c:v>1.4589042670781174E-2</c:v>
                </c:pt>
                <c:pt idx="1095">
                  <c:v>1.4229806726489979E-2</c:v>
                </c:pt>
                <c:pt idx="1096">
                  <c:v>9.5799798832001421E-3</c:v>
                </c:pt>
                <c:pt idx="1097">
                  <c:v>1.2002879915162856E-2</c:v>
                </c:pt>
                <c:pt idx="1098">
                  <c:v>9.6555161853307987E-3</c:v>
                </c:pt>
                <c:pt idx="1099">
                  <c:v>9.6742806607821898E-3</c:v>
                </c:pt>
                <c:pt idx="1100">
                  <c:v>1.0267488646913093E-2</c:v>
                </c:pt>
                <c:pt idx="1101">
                  <c:v>1.3240733321162355E-2</c:v>
                </c:pt>
                <c:pt idx="1102">
                  <c:v>1.0584506584212327E-2</c:v>
                </c:pt>
                <c:pt idx="1103">
                  <c:v>1.1037677669451181E-2</c:v>
                </c:pt>
                <c:pt idx="1104">
                  <c:v>1.3268784103789988E-2</c:v>
                </c:pt>
                <c:pt idx="1105">
                  <c:v>9.4860708035234952E-3</c:v>
                </c:pt>
                <c:pt idx="1106">
                  <c:v>1.2862235271269505E-2</c:v>
                </c:pt>
                <c:pt idx="1107">
                  <c:v>9.890295855030564E-3</c:v>
                </c:pt>
                <c:pt idx="1108">
                  <c:v>1.6728668547775244E-2</c:v>
                </c:pt>
                <c:pt idx="1109">
                  <c:v>1.3517835691214475E-2</c:v>
                </c:pt>
                <c:pt idx="1110">
                  <c:v>1.044197815332653E-2</c:v>
                </c:pt>
                <c:pt idx="1111">
                  <c:v>1.05531112465891E-2</c:v>
                </c:pt>
                <c:pt idx="1112">
                  <c:v>1.2386504213483888E-2</c:v>
                </c:pt>
                <c:pt idx="1113">
                  <c:v>1.3112988436391915E-2</c:v>
                </c:pt>
                <c:pt idx="1114">
                  <c:v>1.0340378057050131E-2</c:v>
                </c:pt>
                <c:pt idx="1115">
                  <c:v>1.2204741121999488E-2</c:v>
                </c:pt>
                <c:pt idx="1116">
                  <c:v>1.2716782546971693E-2</c:v>
                </c:pt>
                <c:pt idx="1117">
                  <c:v>1.0326202908958365E-2</c:v>
                </c:pt>
                <c:pt idx="1118">
                  <c:v>1.0806032890644822E-2</c:v>
                </c:pt>
                <c:pt idx="1119">
                  <c:v>1.1814844800337022E-2</c:v>
                </c:pt>
                <c:pt idx="1120">
                  <c:v>1.0657284975144708E-2</c:v>
                </c:pt>
                <c:pt idx="1121">
                  <c:v>1.3839814913507121E-2</c:v>
                </c:pt>
                <c:pt idx="1122">
                  <c:v>1.0283284436038655E-2</c:v>
                </c:pt>
                <c:pt idx="1123">
                  <c:v>1.5916455935927176E-2</c:v>
                </c:pt>
                <c:pt idx="1124">
                  <c:v>9.8536848161496909E-3</c:v>
                </c:pt>
                <c:pt idx="1125">
                  <c:v>1.2384237874178323E-2</c:v>
                </c:pt>
                <c:pt idx="1126">
                  <c:v>9.8148128046402962E-3</c:v>
                </c:pt>
                <c:pt idx="1127">
                  <c:v>1.623891119323944E-2</c:v>
                </c:pt>
                <c:pt idx="1128">
                  <c:v>1.4107761123317455E-2</c:v>
                </c:pt>
                <c:pt idx="1129">
                  <c:v>1.0765004320996556E-2</c:v>
                </c:pt>
                <c:pt idx="1130">
                  <c:v>1.0444953040813672E-2</c:v>
                </c:pt>
                <c:pt idx="1131">
                  <c:v>9.9533208727755288E-3</c:v>
                </c:pt>
                <c:pt idx="1132">
                  <c:v>1.3674008432626252E-2</c:v>
                </c:pt>
                <c:pt idx="1133">
                  <c:v>1.3639721736025923E-2</c:v>
                </c:pt>
                <c:pt idx="1134">
                  <c:v>1.8794551774568874E-2</c:v>
                </c:pt>
                <c:pt idx="1135">
                  <c:v>1.1927869641723043E-2</c:v>
                </c:pt>
                <c:pt idx="1136">
                  <c:v>9.5875674124176469E-3</c:v>
                </c:pt>
                <c:pt idx="1137">
                  <c:v>1.0525577002473538E-2</c:v>
                </c:pt>
                <c:pt idx="1138">
                  <c:v>1.0148958558630881E-2</c:v>
                </c:pt>
                <c:pt idx="1139">
                  <c:v>1.218490184390905E-2</c:v>
                </c:pt>
                <c:pt idx="1140">
                  <c:v>1.0682716577707325E-2</c:v>
                </c:pt>
                <c:pt idx="1141">
                  <c:v>1.4367156485985239E-2</c:v>
                </c:pt>
                <c:pt idx="1142">
                  <c:v>1.4107761123317457E-2</c:v>
                </c:pt>
                <c:pt idx="1143">
                  <c:v>1.5434244138739563E-2</c:v>
                </c:pt>
                <c:pt idx="1144">
                  <c:v>1.1863708145930605E-2</c:v>
                </c:pt>
                <c:pt idx="1145">
                  <c:v>1.5998727079513643E-2</c:v>
                </c:pt>
                <c:pt idx="1146">
                  <c:v>1.3268784103789986E-2</c:v>
                </c:pt>
                <c:pt idx="1147">
                  <c:v>1.5588506853553263E-2</c:v>
                </c:pt>
                <c:pt idx="1148">
                  <c:v>1.0817047827010545E-2</c:v>
                </c:pt>
                <c:pt idx="1149">
                  <c:v>1.6207445807770234E-2</c:v>
                </c:pt>
                <c:pt idx="1150">
                  <c:v>1.0954984856222613E-2</c:v>
                </c:pt>
                <c:pt idx="1151">
                  <c:v>1.4054415181796755E-2</c:v>
                </c:pt>
                <c:pt idx="1152">
                  <c:v>1.3849894403893379E-2</c:v>
                </c:pt>
                <c:pt idx="1153">
                  <c:v>1.4653013140405671E-2</c:v>
                </c:pt>
                <c:pt idx="1154">
                  <c:v>9.1641367057785431E-3</c:v>
                </c:pt>
                <c:pt idx="1155">
                  <c:v>1.3242644144271795E-2</c:v>
                </c:pt>
                <c:pt idx="1156">
                  <c:v>1.5344006605141125E-2</c:v>
                </c:pt>
                <c:pt idx="1157">
                  <c:v>1.0187204148936788E-2</c:v>
                </c:pt>
                <c:pt idx="1158">
                  <c:v>1.3969791062900493E-2</c:v>
                </c:pt>
                <c:pt idx="1159">
                  <c:v>1.2410969142501617E-2</c:v>
                </c:pt>
                <c:pt idx="1160">
                  <c:v>1.5185250871918809E-2</c:v>
                </c:pt>
                <c:pt idx="1161">
                  <c:v>9.6232476208579359E-3</c:v>
                </c:pt>
                <c:pt idx="1162">
                  <c:v>1.1177941862189181E-2</c:v>
                </c:pt>
                <c:pt idx="1163">
                  <c:v>1.2673567372099338E-2</c:v>
                </c:pt>
                <c:pt idx="1164">
                  <c:v>9.5688548890340459E-3</c:v>
                </c:pt>
                <c:pt idx="1165">
                  <c:v>1.6120159367273554E-2</c:v>
                </c:pt>
                <c:pt idx="1166">
                  <c:v>1.2701366872964652E-2</c:v>
                </c:pt>
                <c:pt idx="1167">
                  <c:v>1.409250508640581E-2</c:v>
                </c:pt>
                <c:pt idx="1168">
                  <c:v>9.88101971399717E-3</c:v>
                </c:pt>
                <c:pt idx="1169">
                  <c:v>1.442392759755326E-2</c:v>
                </c:pt>
                <c:pt idx="1170">
                  <c:v>1.0031491481697635E-2</c:v>
                </c:pt>
                <c:pt idx="1171">
                  <c:v>1.077383584407612E-2</c:v>
                </c:pt>
                <c:pt idx="1172">
                  <c:v>1.73570973225694E-2</c:v>
                </c:pt>
                <c:pt idx="1173">
                  <c:v>1.67946623751388E-2</c:v>
                </c:pt>
                <c:pt idx="1174">
                  <c:v>1.0670216251762938E-2</c:v>
                </c:pt>
                <c:pt idx="1175">
                  <c:v>1.4773122813387355E-2</c:v>
                </c:pt>
                <c:pt idx="1176">
                  <c:v>1.5994472202412902E-2</c:v>
                </c:pt>
                <c:pt idx="1177">
                  <c:v>1.2892704871804054E-2</c:v>
                </c:pt>
                <c:pt idx="1178">
                  <c:v>9.722358899703713E-3</c:v>
                </c:pt>
                <c:pt idx="1179">
                  <c:v>1.0199118291272596E-2</c:v>
                </c:pt>
                <c:pt idx="1180">
                  <c:v>1.2888615543452749E-2</c:v>
                </c:pt>
                <c:pt idx="1181">
                  <c:v>1.0907497346881831E-2</c:v>
                </c:pt>
                <c:pt idx="1182">
                  <c:v>1.2573978720675961E-2</c:v>
                </c:pt>
                <c:pt idx="1183">
                  <c:v>1.0577507324306694E-2</c:v>
                </c:pt>
                <c:pt idx="1184">
                  <c:v>1.2579963803775318E-2</c:v>
                </c:pt>
                <c:pt idx="1185">
                  <c:v>1.3900120420019861E-2</c:v>
                </c:pt>
                <c:pt idx="1186">
                  <c:v>1.4035844410373872E-2</c:v>
                </c:pt>
                <c:pt idx="1187">
                  <c:v>1.1602063520216919E-2</c:v>
                </c:pt>
                <c:pt idx="1188">
                  <c:v>1.0691698224948348E-2</c:v>
                </c:pt>
                <c:pt idx="1189">
                  <c:v>1.05896648062781E-2</c:v>
                </c:pt>
                <c:pt idx="1190">
                  <c:v>1.1122182404385101E-2</c:v>
                </c:pt>
                <c:pt idx="1191">
                  <c:v>1.5185250871918809E-2</c:v>
                </c:pt>
                <c:pt idx="1192">
                  <c:v>1.4593023709096226E-2</c:v>
                </c:pt>
                <c:pt idx="1193">
                  <c:v>1.1947524524471453E-2</c:v>
                </c:pt>
                <c:pt idx="1194">
                  <c:v>1.0325770564802878E-2</c:v>
                </c:pt>
                <c:pt idx="1195">
                  <c:v>1.0891633390959929E-2</c:v>
                </c:pt>
                <c:pt idx="1196">
                  <c:v>1.2274123427838584E-2</c:v>
                </c:pt>
                <c:pt idx="1197">
                  <c:v>1.3186728509027308E-2</c:v>
                </c:pt>
                <c:pt idx="1198">
                  <c:v>1.2892704871804056E-2</c:v>
                </c:pt>
                <c:pt idx="1199">
                  <c:v>1.3331903566961718E-2</c:v>
                </c:pt>
                <c:pt idx="1200">
                  <c:v>1.0069275629952633E-2</c:v>
                </c:pt>
                <c:pt idx="1201">
                  <c:v>1.1208875674510224E-2</c:v>
                </c:pt>
                <c:pt idx="1202">
                  <c:v>1.2406435795538628E-2</c:v>
                </c:pt>
                <c:pt idx="1203">
                  <c:v>1.0457552217227443E-2</c:v>
                </c:pt>
                <c:pt idx="1204">
                  <c:v>1.3151710262340825E-2</c:v>
                </c:pt>
                <c:pt idx="1205">
                  <c:v>1.3866891629986425E-2</c:v>
                </c:pt>
                <c:pt idx="1206">
                  <c:v>9.7887249025119197E-3</c:v>
                </c:pt>
                <c:pt idx="1207">
                  <c:v>1.1150785629704592E-2</c:v>
                </c:pt>
                <c:pt idx="1208">
                  <c:v>1.8395715759419593E-2</c:v>
                </c:pt>
                <c:pt idx="1209">
                  <c:v>1.906302168500059E-2</c:v>
                </c:pt>
                <c:pt idx="1210">
                  <c:v>1.3036075604905167E-2</c:v>
                </c:pt>
                <c:pt idx="1211">
                  <c:v>1.4912738377618208E-2</c:v>
                </c:pt>
                <c:pt idx="1212">
                  <c:v>9.608987485392512E-3</c:v>
                </c:pt>
                <c:pt idx="1213">
                  <c:v>1.1209995833974272E-2</c:v>
                </c:pt>
                <c:pt idx="1214">
                  <c:v>1.5344006605141125E-2</c:v>
                </c:pt>
                <c:pt idx="1215">
                  <c:v>1.1097643466914638E-2</c:v>
                </c:pt>
                <c:pt idx="1216">
                  <c:v>1.67946623751388E-2</c:v>
                </c:pt>
                <c:pt idx="1217">
                  <c:v>1.4405383768247914E-2</c:v>
                </c:pt>
                <c:pt idx="1218">
                  <c:v>1.0134884458185387E-2</c:v>
                </c:pt>
                <c:pt idx="1219">
                  <c:v>1.3474696834592237E-2</c:v>
                </c:pt>
                <c:pt idx="1220">
                  <c:v>1.6675956965223615E-2</c:v>
                </c:pt>
                <c:pt idx="1221">
                  <c:v>1.7484792450961066E-2</c:v>
                </c:pt>
                <c:pt idx="1222">
                  <c:v>1.385373340409984E-2</c:v>
                </c:pt>
                <c:pt idx="1223">
                  <c:v>1.0192156839305608E-2</c:v>
                </c:pt>
                <c:pt idx="1224">
                  <c:v>1.4148879873072288E-2</c:v>
                </c:pt>
                <c:pt idx="1225">
                  <c:v>1.0220621362782869E-2</c:v>
                </c:pt>
                <c:pt idx="1226">
                  <c:v>1.0846598161076436E-2</c:v>
                </c:pt>
                <c:pt idx="1227">
                  <c:v>1.0850416461202861E-2</c:v>
                </c:pt>
                <c:pt idx="1228">
                  <c:v>1.0678381654700331E-2</c:v>
                </c:pt>
                <c:pt idx="1229">
                  <c:v>9.2747468866516518E-3</c:v>
                </c:pt>
                <c:pt idx="1230">
                  <c:v>1.0765944222458185E-2</c:v>
                </c:pt>
                <c:pt idx="1231">
                  <c:v>1.2008193257822314E-2</c:v>
                </c:pt>
                <c:pt idx="1232">
                  <c:v>1.4148646963034091E-2</c:v>
                </c:pt>
                <c:pt idx="1233">
                  <c:v>1.5072756399316824E-2</c:v>
                </c:pt>
                <c:pt idx="1234">
                  <c:v>1.6118413230157853E-2</c:v>
                </c:pt>
                <c:pt idx="1235">
                  <c:v>1.409250508640581E-2</c:v>
                </c:pt>
                <c:pt idx="1236">
                  <c:v>1.484691028274281E-2</c:v>
                </c:pt>
                <c:pt idx="1237">
                  <c:v>1.400516661870828E-2</c:v>
                </c:pt>
                <c:pt idx="1238">
                  <c:v>1.1571701745567788E-2</c:v>
                </c:pt>
                <c:pt idx="1239">
                  <c:v>9.2513385925061583E-3</c:v>
                </c:pt>
                <c:pt idx="1240">
                  <c:v>1.660509863071687E-2</c:v>
                </c:pt>
                <c:pt idx="1241">
                  <c:v>1.3760407071507568E-2</c:v>
                </c:pt>
                <c:pt idx="1242">
                  <c:v>1.0182155913553629E-2</c:v>
                </c:pt>
                <c:pt idx="1243">
                  <c:v>1.422980672648998E-2</c:v>
                </c:pt>
                <c:pt idx="1244">
                  <c:v>1.0568732654964177E-2</c:v>
                </c:pt>
                <c:pt idx="1245">
                  <c:v>1.0308960746862657E-2</c:v>
                </c:pt>
                <c:pt idx="1246">
                  <c:v>1.6100360939876667E-2</c:v>
                </c:pt>
                <c:pt idx="1247">
                  <c:v>1.0018854459894996E-2</c:v>
                </c:pt>
                <c:pt idx="1248">
                  <c:v>9.5408546572831304E-3</c:v>
                </c:pt>
                <c:pt idx="1249">
                  <c:v>1.8019843742304132E-2</c:v>
                </c:pt>
                <c:pt idx="1250">
                  <c:v>9.6732236482298221E-3</c:v>
                </c:pt>
                <c:pt idx="1251">
                  <c:v>1.8263847217394925E-2</c:v>
                </c:pt>
                <c:pt idx="1252">
                  <c:v>1.8794551774568877E-2</c:v>
                </c:pt>
                <c:pt idx="1253">
                  <c:v>1.395873396845901E-2</c:v>
                </c:pt>
                <c:pt idx="1254">
                  <c:v>1.3882356534975663E-2</c:v>
                </c:pt>
                <c:pt idx="1255">
                  <c:v>1.1939355062935347E-2</c:v>
                </c:pt>
                <c:pt idx="1256">
                  <c:v>1.0402271413090709E-2</c:v>
                </c:pt>
                <c:pt idx="1257">
                  <c:v>1.2921104220028226E-2</c:v>
                </c:pt>
                <c:pt idx="1258">
                  <c:v>1.1538589924204373E-2</c:v>
                </c:pt>
                <c:pt idx="1259">
                  <c:v>1.2781619687360071E-2</c:v>
                </c:pt>
                <c:pt idx="1260">
                  <c:v>1.4525629572576094E-2</c:v>
                </c:pt>
                <c:pt idx="1261">
                  <c:v>1.1155032780301373E-2</c:v>
                </c:pt>
                <c:pt idx="1262">
                  <c:v>1.1146564562637018E-2</c:v>
                </c:pt>
                <c:pt idx="1263">
                  <c:v>1.2373870324600727E-2</c:v>
                </c:pt>
                <c:pt idx="1264">
                  <c:v>1.1996066657376259E-2</c:v>
                </c:pt>
                <c:pt idx="1265">
                  <c:v>1.311584054921126E-2</c:v>
                </c:pt>
                <c:pt idx="1266">
                  <c:v>1.1166187997186647E-2</c:v>
                </c:pt>
                <c:pt idx="1267">
                  <c:v>9.8517444126806422E-3</c:v>
                </c:pt>
                <c:pt idx="1268">
                  <c:v>1.5163825745194537E-2</c:v>
                </c:pt>
                <c:pt idx="1269">
                  <c:v>1.1321177813029253E-2</c:v>
                </c:pt>
                <c:pt idx="1270">
                  <c:v>9.8211596976906772E-3</c:v>
                </c:pt>
                <c:pt idx="1271">
                  <c:v>1.171522493695186E-2</c:v>
                </c:pt>
                <c:pt idx="1272">
                  <c:v>1.4320087966792377E-2</c:v>
                </c:pt>
                <c:pt idx="1273">
                  <c:v>9.4699315681307135E-3</c:v>
                </c:pt>
                <c:pt idx="1274">
                  <c:v>1.4806659470202699E-2</c:v>
                </c:pt>
                <c:pt idx="1275">
                  <c:v>1.3368554515355707E-2</c:v>
                </c:pt>
                <c:pt idx="1276">
                  <c:v>9.9580718145197075E-3</c:v>
                </c:pt>
                <c:pt idx="1277">
                  <c:v>1.4516805794357721E-2</c:v>
                </c:pt>
                <c:pt idx="1278">
                  <c:v>1.0444953040813672E-2</c:v>
                </c:pt>
                <c:pt idx="1279">
                  <c:v>1.4054415181796755E-2</c:v>
                </c:pt>
                <c:pt idx="1280">
                  <c:v>1.0840390896534007E-2</c:v>
                </c:pt>
                <c:pt idx="1281">
                  <c:v>1.1234592652910182E-2</c:v>
                </c:pt>
                <c:pt idx="1282">
                  <c:v>1.6611384222606995E-2</c:v>
                </c:pt>
                <c:pt idx="1283">
                  <c:v>1.383981491350712E-2</c:v>
                </c:pt>
                <c:pt idx="1284">
                  <c:v>1.4013216223519356E-2</c:v>
                </c:pt>
                <c:pt idx="1285">
                  <c:v>1.6301105982438266E-2</c:v>
                </c:pt>
                <c:pt idx="1286">
                  <c:v>1.3537697187993997E-2</c:v>
                </c:pt>
                <c:pt idx="1287">
                  <c:v>1.0846598161076436E-2</c:v>
                </c:pt>
                <c:pt idx="1288">
                  <c:v>1.0801425397573302E-2</c:v>
                </c:pt>
                <c:pt idx="1289">
                  <c:v>1.774207684011481E-2</c:v>
                </c:pt>
                <c:pt idx="1290">
                  <c:v>1.3942508844043461E-2</c:v>
                </c:pt>
                <c:pt idx="1291">
                  <c:v>9.6223646147814996E-3</c:v>
                </c:pt>
                <c:pt idx="1292">
                  <c:v>1.3984850690816111E-2</c:v>
                </c:pt>
                <c:pt idx="1293">
                  <c:v>1.0311232922207451E-2</c:v>
                </c:pt>
                <c:pt idx="1294">
                  <c:v>1.0609211937929573E-2</c:v>
                </c:pt>
                <c:pt idx="1295">
                  <c:v>1.1107854694294931E-2</c:v>
                </c:pt>
                <c:pt idx="1296">
                  <c:v>1.0029424357690662E-2</c:v>
                </c:pt>
                <c:pt idx="1297">
                  <c:v>1.1942494761387734E-2</c:v>
                </c:pt>
                <c:pt idx="1298">
                  <c:v>1.4346044083519886E-2</c:v>
                </c:pt>
                <c:pt idx="1299">
                  <c:v>9.4777186827198559E-3</c:v>
                </c:pt>
                <c:pt idx="1300">
                  <c:v>1.3282519802930303E-2</c:v>
                </c:pt>
                <c:pt idx="1301">
                  <c:v>1.5644725188612919E-2</c:v>
                </c:pt>
                <c:pt idx="1302">
                  <c:v>1.3386296219863699E-2</c:v>
                </c:pt>
                <c:pt idx="1303">
                  <c:v>1.4254820485660069E-2</c:v>
                </c:pt>
                <c:pt idx="1304">
                  <c:v>1.1037677669451181E-2</c:v>
                </c:pt>
                <c:pt idx="1305">
                  <c:v>1.3235996229837137E-2</c:v>
                </c:pt>
                <c:pt idx="1306">
                  <c:v>9.4523365403246743E-3</c:v>
                </c:pt>
                <c:pt idx="1307">
                  <c:v>1.6118413230157853E-2</c:v>
                </c:pt>
                <c:pt idx="1308">
                  <c:v>1.3792814155974924E-2</c:v>
                </c:pt>
                <c:pt idx="1309">
                  <c:v>1.059619048207899E-2</c:v>
                </c:pt>
                <c:pt idx="1310">
                  <c:v>1.0862551636796093E-2</c:v>
                </c:pt>
                <c:pt idx="1311">
                  <c:v>9.0101647720090532E-3</c:v>
                </c:pt>
                <c:pt idx="1312">
                  <c:v>1.4227492800594425E-2</c:v>
                </c:pt>
                <c:pt idx="1313">
                  <c:v>1.4188266558946014E-2</c:v>
                </c:pt>
                <c:pt idx="1314">
                  <c:v>9.9515017739419814E-3</c:v>
                </c:pt>
                <c:pt idx="1315">
                  <c:v>1.3140044380384158E-2</c:v>
                </c:pt>
                <c:pt idx="1316">
                  <c:v>1.5009226438159115E-2</c:v>
                </c:pt>
                <c:pt idx="1317">
                  <c:v>1.3331903566961716E-2</c:v>
                </c:pt>
                <c:pt idx="1318">
                  <c:v>1.774207684011481E-2</c:v>
                </c:pt>
                <c:pt idx="1319">
                  <c:v>1.4273481573858949E-2</c:v>
                </c:pt>
                <c:pt idx="1320">
                  <c:v>1.3876992723142755E-2</c:v>
                </c:pt>
                <c:pt idx="1321">
                  <c:v>1.311222607108241E-2</c:v>
                </c:pt>
                <c:pt idx="1322">
                  <c:v>1.2127627103412192E-2</c:v>
                </c:pt>
                <c:pt idx="1323">
                  <c:v>1.4424381543904505E-2</c:v>
                </c:pt>
                <c:pt idx="1324">
                  <c:v>1.3055337979926206E-2</c:v>
                </c:pt>
                <c:pt idx="1325">
                  <c:v>1.2727914869352489E-2</c:v>
                </c:pt>
                <c:pt idx="1326">
                  <c:v>1.8928536094734424E-2</c:v>
                </c:pt>
                <c:pt idx="1327">
                  <c:v>1.066857799128024E-2</c:v>
                </c:pt>
                <c:pt idx="1328">
                  <c:v>9.6678964903074097E-3</c:v>
                </c:pt>
                <c:pt idx="1329">
                  <c:v>1.3842810103737418E-2</c:v>
                </c:pt>
                <c:pt idx="1330">
                  <c:v>1.1542606659934798E-2</c:v>
                </c:pt>
                <c:pt idx="1331">
                  <c:v>1.1450257298571178E-2</c:v>
                </c:pt>
                <c:pt idx="1332">
                  <c:v>1.1587741928176389E-2</c:v>
                </c:pt>
                <c:pt idx="1333">
                  <c:v>1.297975033704595E-2</c:v>
                </c:pt>
                <c:pt idx="1334">
                  <c:v>9.3257178490704726E-3</c:v>
                </c:pt>
                <c:pt idx="1335">
                  <c:v>1.5298716201155593E-2</c:v>
                </c:pt>
                <c:pt idx="1336">
                  <c:v>1.4639563893888013E-2</c:v>
                </c:pt>
                <c:pt idx="1337">
                  <c:v>1.1752377308224945E-2</c:v>
                </c:pt>
                <c:pt idx="1338">
                  <c:v>1.3427441715263081E-2</c:v>
                </c:pt>
                <c:pt idx="1339">
                  <c:v>1.2858534473618552E-2</c:v>
                </c:pt>
                <c:pt idx="1340">
                  <c:v>1.4123718142303428E-2</c:v>
                </c:pt>
                <c:pt idx="1341">
                  <c:v>1.4148879873072288E-2</c:v>
                </c:pt>
                <c:pt idx="1342">
                  <c:v>9.6663333915812076E-3</c:v>
                </c:pt>
                <c:pt idx="1343">
                  <c:v>1.4720182860170506E-2</c:v>
                </c:pt>
                <c:pt idx="1344">
                  <c:v>1.4302584555678085E-2</c:v>
                </c:pt>
                <c:pt idx="1345">
                  <c:v>1.1001611278064451E-2</c:v>
                </c:pt>
                <c:pt idx="1346">
                  <c:v>1.0267488646913093E-2</c:v>
                </c:pt>
                <c:pt idx="1347">
                  <c:v>1.0111038660449708E-2</c:v>
                </c:pt>
                <c:pt idx="1348">
                  <c:v>1.4054415181796755E-2</c:v>
                </c:pt>
                <c:pt idx="1349">
                  <c:v>1.136999368363986E-2</c:v>
                </c:pt>
                <c:pt idx="1350">
                  <c:v>1.0744266522931405E-2</c:v>
                </c:pt>
                <c:pt idx="1351">
                  <c:v>1.5757614238489263E-2</c:v>
                </c:pt>
                <c:pt idx="1352">
                  <c:v>1.3834362163160023E-2</c:v>
                </c:pt>
                <c:pt idx="1353">
                  <c:v>1.3876992723142755E-2</c:v>
                </c:pt>
                <c:pt idx="1354">
                  <c:v>1.561852098904238E-2</c:v>
                </c:pt>
                <c:pt idx="1355">
                  <c:v>1.2714261754007972E-2</c:v>
                </c:pt>
                <c:pt idx="1356">
                  <c:v>1.049835125197526E-2</c:v>
                </c:pt>
                <c:pt idx="1357">
                  <c:v>1.0032851212008101E-2</c:v>
                </c:pt>
                <c:pt idx="1358">
                  <c:v>1.5904108076560286E-2</c:v>
                </c:pt>
                <c:pt idx="1359">
                  <c:v>1.1107854694294931E-2</c:v>
                </c:pt>
                <c:pt idx="1360">
                  <c:v>9.4609605039112313E-3</c:v>
                </c:pt>
                <c:pt idx="1361">
                  <c:v>1.386228907498102E-2</c:v>
                </c:pt>
                <c:pt idx="1362">
                  <c:v>1.0602495561197554E-2</c:v>
                </c:pt>
                <c:pt idx="1363">
                  <c:v>1.0293138345401874E-2</c:v>
                </c:pt>
                <c:pt idx="1364">
                  <c:v>1.0672671067407683E-2</c:v>
                </c:pt>
                <c:pt idx="1365">
                  <c:v>1.2498435399144461E-2</c:v>
                </c:pt>
                <c:pt idx="1366">
                  <c:v>1.2425860470316605E-2</c:v>
                </c:pt>
                <c:pt idx="1367">
                  <c:v>1.4168542622972173E-2</c:v>
                </c:pt>
                <c:pt idx="1368">
                  <c:v>1.8661079521685268E-2</c:v>
                </c:pt>
                <c:pt idx="1369">
                  <c:v>1.2418371488511375E-2</c:v>
                </c:pt>
                <c:pt idx="1370">
                  <c:v>1.2161347700261043E-2</c:v>
                </c:pt>
                <c:pt idx="1371">
                  <c:v>1.5528474120001454E-2</c:v>
                </c:pt>
                <c:pt idx="1372">
                  <c:v>1.3386296219863699E-2</c:v>
                </c:pt>
                <c:pt idx="1373">
                  <c:v>1.278526533182937E-2</c:v>
                </c:pt>
                <c:pt idx="1374">
                  <c:v>1.0609211937929571E-2</c:v>
                </c:pt>
                <c:pt idx="1375">
                  <c:v>1.0697669917458966E-2</c:v>
                </c:pt>
                <c:pt idx="1376">
                  <c:v>1.3424167007732985E-2</c:v>
                </c:pt>
                <c:pt idx="1377">
                  <c:v>1.3834362163160021E-2</c:v>
                </c:pt>
                <c:pt idx="1378">
                  <c:v>1.2766285171527555E-2</c:v>
                </c:pt>
                <c:pt idx="1379">
                  <c:v>1.3920174483762862E-2</c:v>
                </c:pt>
                <c:pt idx="1380">
                  <c:v>1.0862551636796093E-2</c:v>
                </c:pt>
                <c:pt idx="1381">
                  <c:v>7.3437512477625665E-3</c:v>
                </c:pt>
                <c:pt idx="1382">
                  <c:v>1.3842810103737418E-2</c:v>
                </c:pt>
                <c:pt idx="1383">
                  <c:v>1.4912738377618208E-2</c:v>
                </c:pt>
                <c:pt idx="1384">
                  <c:v>9.9456205049447115E-3</c:v>
                </c:pt>
                <c:pt idx="1385">
                  <c:v>1.3140044380384162E-2</c:v>
                </c:pt>
                <c:pt idx="1386">
                  <c:v>1.6100360939876667E-2</c:v>
                </c:pt>
                <c:pt idx="1387">
                  <c:v>1.0073239684238847E-2</c:v>
                </c:pt>
                <c:pt idx="1388">
                  <c:v>1.6977970946010546E-2</c:v>
                </c:pt>
                <c:pt idx="1389">
                  <c:v>1.3598469547583389E-2</c:v>
                </c:pt>
                <c:pt idx="1390">
                  <c:v>1.0538832727703177E-2</c:v>
                </c:pt>
                <c:pt idx="1391">
                  <c:v>1.1155857379582856E-2</c:v>
                </c:pt>
                <c:pt idx="1392">
                  <c:v>1.2846248612708959E-2</c:v>
                </c:pt>
                <c:pt idx="1393">
                  <c:v>1.5963162740261098E-2</c:v>
                </c:pt>
                <c:pt idx="1394">
                  <c:v>1.227636452888764E-2</c:v>
                </c:pt>
                <c:pt idx="1395">
                  <c:v>9.886018503842452E-3</c:v>
                </c:pt>
                <c:pt idx="1396">
                  <c:v>1.0809734564319709E-2</c:v>
                </c:pt>
                <c:pt idx="1397">
                  <c:v>1.443994593090284E-2</c:v>
                </c:pt>
                <c:pt idx="1398">
                  <c:v>1.0536053449205284E-2</c:v>
                </c:pt>
                <c:pt idx="1399">
                  <c:v>1.4978885027308358E-2</c:v>
                </c:pt>
                <c:pt idx="1400">
                  <c:v>1.1066351096922188E-2</c:v>
                </c:pt>
                <c:pt idx="1401">
                  <c:v>1.0172992656396672E-2</c:v>
                </c:pt>
                <c:pt idx="1402">
                  <c:v>1.4054415181796754E-2</c:v>
                </c:pt>
                <c:pt idx="1403">
                  <c:v>1.5615715502582068E-2</c:v>
                </c:pt>
                <c:pt idx="1404">
                  <c:v>1.2864147753165829E-2</c:v>
                </c:pt>
                <c:pt idx="1405">
                  <c:v>1.3233498408664886E-2</c:v>
                </c:pt>
                <c:pt idx="1406">
                  <c:v>1.1752377308224945E-2</c:v>
                </c:pt>
                <c:pt idx="1407">
                  <c:v>9.6362040657184487E-3</c:v>
                </c:pt>
                <c:pt idx="1408">
                  <c:v>9.5330310345173221E-3</c:v>
                </c:pt>
                <c:pt idx="1409">
                  <c:v>1.3474696834592237E-2</c:v>
                </c:pt>
                <c:pt idx="1410">
                  <c:v>1.4043816940215014E-2</c:v>
                </c:pt>
                <c:pt idx="1411">
                  <c:v>1.3044338301955732E-2</c:v>
                </c:pt>
                <c:pt idx="1412">
                  <c:v>1.2186377844044595E-2</c:v>
                </c:pt>
                <c:pt idx="1413">
                  <c:v>1.429807178266535E-2</c:v>
                </c:pt>
                <c:pt idx="1414">
                  <c:v>1.5425894668362876E-2</c:v>
                </c:pt>
                <c:pt idx="1415">
                  <c:v>1.0187873581924065E-2</c:v>
                </c:pt>
                <c:pt idx="1416">
                  <c:v>1.0111038660449708E-2</c:v>
                </c:pt>
                <c:pt idx="1417">
                  <c:v>1.4334860516373144E-2</c:v>
                </c:pt>
                <c:pt idx="1418">
                  <c:v>1.1926086045174134E-2</c:v>
                </c:pt>
                <c:pt idx="1419">
                  <c:v>1.0540716386334026E-2</c:v>
                </c:pt>
                <c:pt idx="1420">
                  <c:v>1.3253436773710978E-2</c:v>
                </c:pt>
                <c:pt idx="1421">
                  <c:v>1.3834362163160023E-2</c:v>
                </c:pt>
                <c:pt idx="1422">
                  <c:v>1.3974092198420055E-2</c:v>
                </c:pt>
                <c:pt idx="1423">
                  <c:v>1.0864898757308375E-2</c:v>
                </c:pt>
                <c:pt idx="1424">
                  <c:v>1.73570973225694E-2</c:v>
                </c:pt>
                <c:pt idx="1425">
                  <c:v>1.0154326017134093E-2</c:v>
                </c:pt>
                <c:pt idx="1426">
                  <c:v>1.0032851212008101E-2</c:v>
                </c:pt>
                <c:pt idx="1427">
                  <c:v>1.1078226110210934E-2</c:v>
                </c:pt>
                <c:pt idx="1428">
                  <c:v>1.1503998773573372E-2</c:v>
                </c:pt>
                <c:pt idx="1429">
                  <c:v>9.588121303623345E-3</c:v>
                </c:pt>
                <c:pt idx="1430">
                  <c:v>1.3824281704775374E-2</c:v>
                </c:pt>
                <c:pt idx="1431">
                  <c:v>1.0602495561197554E-2</c:v>
                </c:pt>
                <c:pt idx="1432">
                  <c:v>1.623891119323944E-2</c:v>
                </c:pt>
                <c:pt idx="1433">
                  <c:v>9.9533208727755288E-3</c:v>
                </c:pt>
                <c:pt idx="1434">
                  <c:v>1.1520132678004879E-2</c:v>
                </c:pt>
                <c:pt idx="1435">
                  <c:v>1.5269985189170514E-2</c:v>
                </c:pt>
                <c:pt idx="1436">
                  <c:v>1.5133029800759952E-2</c:v>
                </c:pt>
                <c:pt idx="1437">
                  <c:v>1.0795981222029259E-2</c:v>
                </c:pt>
                <c:pt idx="1438">
                  <c:v>1.5904108076560286E-2</c:v>
                </c:pt>
                <c:pt idx="1439">
                  <c:v>1.4292403745251791E-2</c:v>
                </c:pt>
                <c:pt idx="1440">
                  <c:v>1.0045687080579737E-2</c:v>
                </c:pt>
                <c:pt idx="1441">
                  <c:v>1.329749581902435E-2</c:v>
                </c:pt>
                <c:pt idx="1442">
                  <c:v>1.7439700267599393E-2</c:v>
                </c:pt>
                <c:pt idx="1443">
                  <c:v>1.5079729532936405E-2</c:v>
                </c:pt>
                <c:pt idx="1444">
                  <c:v>1.171522493695186E-2</c:v>
                </c:pt>
                <c:pt idx="1445">
                  <c:v>1.3025664141353185E-2</c:v>
                </c:pt>
                <c:pt idx="1446">
                  <c:v>1.409250508640581E-2</c:v>
                </c:pt>
                <c:pt idx="1447">
                  <c:v>1.323355076442035E-2</c:v>
                </c:pt>
                <c:pt idx="1448">
                  <c:v>1.8132536690980541E-2</c:v>
                </c:pt>
                <c:pt idx="1449">
                  <c:v>1.5434244138739563E-2</c:v>
                </c:pt>
                <c:pt idx="1450">
                  <c:v>1.441711545283081E-2</c:v>
                </c:pt>
                <c:pt idx="1451">
                  <c:v>1.4452811593038477E-2</c:v>
                </c:pt>
                <c:pt idx="1452">
                  <c:v>1.4368989816425544E-2</c:v>
                </c:pt>
                <c:pt idx="1453">
                  <c:v>1.0231291145667851E-2</c:v>
                </c:pt>
                <c:pt idx="1454">
                  <c:v>1.0840390896534003E-2</c:v>
                </c:pt>
                <c:pt idx="1455">
                  <c:v>1.1234592652910182E-2</c:v>
                </c:pt>
                <c:pt idx="1456">
                  <c:v>1.4206750705193845E-2</c:v>
                </c:pt>
                <c:pt idx="1457">
                  <c:v>1.383981491350712E-2</c:v>
                </c:pt>
                <c:pt idx="1458">
                  <c:v>1.3876992723142755E-2</c:v>
                </c:pt>
                <c:pt idx="1459">
                  <c:v>1.4027511296019176E-2</c:v>
                </c:pt>
                <c:pt idx="1460">
                  <c:v>1.126400210754119E-2</c:v>
                </c:pt>
                <c:pt idx="1461">
                  <c:v>1.8528130402520309E-2</c:v>
                </c:pt>
                <c:pt idx="1462">
                  <c:v>1.0311235047610693E-2</c:v>
                </c:pt>
                <c:pt idx="1463">
                  <c:v>1.5904108076560286E-2</c:v>
                </c:pt>
                <c:pt idx="1464">
                  <c:v>1.8288945665152503E-2</c:v>
                </c:pt>
                <c:pt idx="1465">
                  <c:v>1.2132778421920141E-2</c:v>
                </c:pt>
                <c:pt idx="1466">
                  <c:v>1.0240603744911918E-2</c:v>
                </c:pt>
                <c:pt idx="1467">
                  <c:v>1.0293138345401874E-2</c:v>
                </c:pt>
                <c:pt idx="1468">
                  <c:v>1.0374307735152282E-2</c:v>
                </c:pt>
                <c:pt idx="1469">
                  <c:v>1.1710101176523404E-2</c:v>
                </c:pt>
                <c:pt idx="1470">
                  <c:v>1.4111664700453743E-2</c:v>
                </c:pt>
                <c:pt idx="1471">
                  <c:v>1.3009110546230461E-2</c:v>
                </c:pt>
                <c:pt idx="1472">
                  <c:v>1.1441471998014405E-2</c:v>
                </c:pt>
                <c:pt idx="1473">
                  <c:v>1.29389878774267E-2</c:v>
                </c:pt>
                <c:pt idx="1474">
                  <c:v>1.1146254156210249E-2</c:v>
                </c:pt>
                <c:pt idx="1475">
                  <c:v>1.1443542192633299E-2</c:v>
                </c:pt>
                <c:pt idx="1476">
                  <c:v>1.1103742306070523E-2</c:v>
                </c:pt>
                <c:pt idx="1477">
                  <c:v>1.1037677669451181E-2</c:v>
                </c:pt>
                <c:pt idx="1478">
                  <c:v>1.2886241582534257E-2</c:v>
                </c:pt>
                <c:pt idx="1479">
                  <c:v>1.2000009016157286E-2</c:v>
                </c:pt>
                <c:pt idx="1480">
                  <c:v>1.0444953040813672E-2</c:v>
                </c:pt>
                <c:pt idx="1481">
                  <c:v>1.5807718646568842E-2</c:v>
                </c:pt>
                <c:pt idx="1482">
                  <c:v>9.7409704201740031E-3</c:v>
                </c:pt>
                <c:pt idx="1483">
                  <c:v>1.4076638263943288E-2</c:v>
                </c:pt>
                <c:pt idx="1484">
                  <c:v>1.2695033824683762E-2</c:v>
                </c:pt>
                <c:pt idx="1485">
                  <c:v>1.1105349198803046E-2</c:v>
                </c:pt>
                <c:pt idx="1486">
                  <c:v>1.0192156839305608E-2</c:v>
                </c:pt>
                <c:pt idx="1487">
                  <c:v>1.2680069304551221E-2</c:v>
                </c:pt>
                <c:pt idx="1488">
                  <c:v>9.8089701147830027E-3</c:v>
                </c:pt>
                <c:pt idx="1489">
                  <c:v>1.4201752820903987E-2</c:v>
                </c:pt>
                <c:pt idx="1490">
                  <c:v>1.3253436773710983E-2</c:v>
                </c:pt>
                <c:pt idx="1491">
                  <c:v>1.3942508844043463E-2</c:v>
                </c:pt>
                <c:pt idx="1492">
                  <c:v>1.3734505458571657E-2</c:v>
                </c:pt>
                <c:pt idx="1493">
                  <c:v>1.0029055968474527E-2</c:v>
                </c:pt>
                <c:pt idx="1494">
                  <c:v>1.6605098630716873E-2</c:v>
                </c:pt>
                <c:pt idx="1495">
                  <c:v>1.0154326017134093E-2</c:v>
                </c:pt>
                <c:pt idx="1496">
                  <c:v>1.0368329954033128E-2</c:v>
                </c:pt>
                <c:pt idx="1497">
                  <c:v>1.0864015822688188E-2</c:v>
                </c:pt>
                <c:pt idx="1498">
                  <c:v>1.2773124075694867E-2</c:v>
                </c:pt>
                <c:pt idx="1499">
                  <c:v>9.886018503842452E-3</c:v>
                </c:pt>
                <c:pt idx="1500">
                  <c:v>1.1050488904892273E-2</c:v>
                </c:pt>
                <c:pt idx="1501">
                  <c:v>1.0622417067170096E-2</c:v>
                </c:pt>
                <c:pt idx="1502">
                  <c:v>1.3126097599401285E-2</c:v>
                </c:pt>
                <c:pt idx="1503">
                  <c:v>1.4107761123317457E-2</c:v>
                </c:pt>
                <c:pt idx="1504">
                  <c:v>1.1271429270821276E-2</c:v>
                </c:pt>
                <c:pt idx="1505">
                  <c:v>1.4879817046544608E-2</c:v>
                </c:pt>
                <c:pt idx="1506">
                  <c:v>1.1452331726292215E-2</c:v>
                </c:pt>
                <c:pt idx="1507">
                  <c:v>1.1078226110210934E-2</c:v>
                </c:pt>
                <c:pt idx="1508">
                  <c:v>1.3743442670077471E-2</c:v>
                </c:pt>
                <c:pt idx="1509">
                  <c:v>1.3834362163160023E-2</c:v>
                </c:pt>
                <c:pt idx="1510">
                  <c:v>1.4135952359691161E-2</c:v>
                </c:pt>
                <c:pt idx="1511">
                  <c:v>1.623891119323944E-2</c:v>
                </c:pt>
                <c:pt idx="1512">
                  <c:v>1.0338154838642933E-2</c:v>
                </c:pt>
                <c:pt idx="1513">
                  <c:v>1.23453440931807E-2</c:v>
                </c:pt>
                <c:pt idx="1514">
                  <c:v>1.3945961497563776E-2</c:v>
                </c:pt>
                <c:pt idx="1515">
                  <c:v>1.032247063989955E-2</c:v>
                </c:pt>
                <c:pt idx="1516">
                  <c:v>1.0556532643402264E-2</c:v>
                </c:pt>
                <c:pt idx="1517">
                  <c:v>1.3728471703233706E-2</c:v>
                </c:pt>
                <c:pt idx="1518">
                  <c:v>1.312819471213825E-2</c:v>
                </c:pt>
                <c:pt idx="1519">
                  <c:v>1.3065123935181406E-2</c:v>
                </c:pt>
                <c:pt idx="1520">
                  <c:v>1.3075606813184711E-2</c:v>
                </c:pt>
                <c:pt idx="1521">
                  <c:v>1.0322470639899549E-2</c:v>
                </c:pt>
                <c:pt idx="1522">
                  <c:v>1.1104904177471439E-2</c:v>
                </c:pt>
                <c:pt idx="1523">
                  <c:v>9.7409704201740031E-3</c:v>
                </c:pt>
                <c:pt idx="1524">
                  <c:v>1.4442119867290834E-2</c:v>
                </c:pt>
                <c:pt idx="1525">
                  <c:v>1.0541995785273607E-2</c:v>
                </c:pt>
                <c:pt idx="1526">
                  <c:v>1.3834362163160023E-2</c:v>
                </c:pt>
                <c:pt idx="1527">
                  <c:v>1.3876992723142755E-2</c:v>
                </c:pt>
                <c:pt idx="1528">
                  <c:v>1.3674008432626252E-2</c:v>
                </c:pt>
                <c:pt idx="1529">
                  <c:v>1.2667346861034422E-2</c:v>
                </c:pt>
                <c:pt idx="1530">
                  <c:v>1.3262960628972897E-2</c:v>
                </c:pt>
                <c:pt idx="1531">
                  <c:v>1.390452838941523E-2</c:v>
                </c:pt>
                <c:pt idx="1532">
                  <c:v>1.395873396845901E-2</c:v>
                </c:pt>
                <c:pt idx="1533">
                  <c:v>1.2010773885012309E-2</c:v>
                </c:pt>
                <c:pt idx="1534">
                  <c:v>1.1664955862090074E-2</c:v>
                </c:pt>
                <c:pt idx="1535">
                  <c:v>1.1078226110210934E-2</c:v>
                </c:pt>
                <c:pt idx="1536">
                  <c:v>1.1253776388295516E-2</c:v>
                </c:pt>
                <c:pt idx="1537">
                  <c:v>9.2415416993420034E-3</c:v>
                </c:pt>
                <c:pt idx="1538">
                  <c:v>1.3876782910384536E-2</c:v>
                </c:pt>
                <c:pt idx="1539">
                  <c:v>1.1383691064210773E-2</c:v>
                </c:pt>
                <c:pt idx="1540">
                  <c:v>1.7895134265593464E-2</c:v>
                </c:pt>
                <c:pt idx="1541">
                  <c:v>1.1103742306070523E-2</c:v>
                </c:pt>
                <c:pt idx="1542">
                  <c:v>1.4772438770044513E-2</c:v>
                </c:pt>
                <c:pt idx="1543">
                  <c:v>9.5111898281597541E-3</c:v>
                </c:pt>
                <c:pt idx="1544">
                  <c:v>1.0666632172008018E-2</c:v>
                </c:pt>
                <c:pt idx="1545">
                  <c:v>1.0666632172008018E-2</c:v>
                </c:pt>
                <c:pt idx="1546">
                  <c:v>1.3073094975834842E-2</c:v>
                </c:pt>
                <c:pt idx="1547">
                  <c:v>9.6526355733381961E-3</c:v>
                </c:pt>
                <c:pt idx="1548">
                  <c:v>1.0111038660449708E-2</c:v>
                </c:pt>
                <c:pt idx="1549">
                  <c:v>1.5213885686341586E-2</c:v>
                </c:pt>
                <c:pt idx="1550">
                  <c:v>1.1637126067539824E-2</c:v>
                </c:pt>
                <c:pt idx="1551">
                  <c:v>1.1170957929046488E-2</c:v>
                </c:pt>
                <c:pt idx="1552">
                  <c:v>1.3570602348951239E-2</c:v>
                </c:pt>
                <c:pt idx="1553">
                  <c:v>1.3203902615933136E-2</c:v>
                </c:pt>
                <c:pt idx="1554">
                  <c:v>1.0258850148799393E-2</c:v>
                </c:pt>
                <c:pt idx="1555">
                  <c:v>1.5154474237182466E-2</c:v>
                </c:pt>
                <c:pt idx="1556">
                  <c:v>1.1037677669451181E-2</c:v>
                </c:pt>
                <c:pt idx="1557">
                  <c:v>9.5799798832001421E-3</c:v>
                </c:pt>
                <c:pt idx="1558">
                  <c:v>1.3009110546230463E-2</c:v>
                </c:pt>
                <c:pt idx="1559">
                  <c:v>1.0933102399933914E-2</c:v>
                </c:pt>
                <c:pt idx="1560">
                  <c:v>1.1766506833316759E-2</c:v>
                </c:pt>
                <c:pt idx="1561">
                  <c:v>1.4043816940215016E-2</c:v>
                </c:pt>
                <c:pt idx="1562">
                  <c:v>9.8035940648196918E-3</c:v>
                </c:pt>
                <c:pt idx="1563">
                  <c:v>1.0432702372816917E-2</c:v>
                </c:pt>
                <c:pt idx="1564">
                  <c:v>9.8839769893505937E-3</c:v>
                </c:pt>
                <c:pt idx="1565">
                  <c:v>1.3600758615372213E-2</c:v>
                </c:pt>
                <c:pt idx="1566">
                  <c:v>1.5009356418005538E-2</c:v>
                </c:pt>
                <c:pt idx="1567">
                  <c:v>9.8919490727714873E-3</c:v>
                </c:pt>
                <c:pt idx="1568">
                  <c:v>1.3728471703233706E-2</c:v>
                </c:pt>
                <c:pt idx="1569">
                  <c:v>9.7939735866188482E-3</c:v>
                </c:pt>
                <c:pt idx="1570">
                  <c:v>1.4961254683134251E-2</c:v>
                </c:pt>
                <c:pt idx="1571">
                  <c:v>1.774207684011481E-2</c:v>
                </c:pt>
                <c:pt idx="1572">
                  <c:v>1.3709273138729028E-2</c:v>
                </c:pt>
                <c:pt idx="1573">
                  <c:v>1.0416425364298374E-2</c:v>
                </c:pt>
                <c:pt idx="1574">
                  <c:v>1.4830630810695749E-2</c:v>
                </c:pt>
                <c:pt idx="1575">
                  <c:v>1.0674197646582072E-2</c:v>
                </c:pt>
                <c:pt idx="1576">
                  <c:v>1.3817115536563637E-2</c:v>
                </c:pt>
                <c:pt idx="1577">
                  <c:v>1.5550991247703696E-2</c:v>
                </c:pt>
                <c:pt idx="1578">
                  <c:v>1.2675983482620766E-2</c:v>
                </c:pt>
                <c:pt idx="1579">
                  <c:v>1.1009969090567276E-2</c:v>
                </c:pt>
                <c:pt idx="1580">
                  <c:v>1.0355187992500054E-2</c:v>
                </c:pt>
                <c:pt idx="1581">
                  <c:v>1.8001796391182504E-2</c:v>
                </c:pt>
                <c:pt idx="1582">
                  <c:v>1.107717491882939E-2</c:v>
                </c:pt>
                <c:pt idx="1583">
                  <c:v>1.2898781891490772E-2</c:v>
                </c:pt>
                <c:pt idx="1584">
                  <c:v>1.0211542800587918E-2</c:v>
                </c:pt>
                <c:pt idx="1585">
                  <c:v>1.0850416461202859E-2</c:v>
                </c:pt>
                <c:pt idx="1586">
                  <c:v>1.3842810103737418E-2</c:v>
                </c:pt>
                <c:pt idx="1587">
                  <c:v>1.3289818453485482E-2</c:v>
                </c:pt>
                <c:pt idx="1588">
                  <c:v>1.2982396460022395E-2</c:v>
                </c:pt>
                <c:pt idx="1589">
                  <c:v>1.3411338526887927E-2</c:v>
                </c:pt>
                <c:pt idx="1590">
                  <c:v>1.0211542800587916E-2</c:v>
                </c:pt>
                <c:pt idx="1591">
                  <c:v>9.3173916069911981E-3</c:v>
                </c:pt>
                <c:pt idx="1592">
                  <c:v>1.1731097917938286E-2</c:v>
                </c:pt>
                <c:pt idx="1593">
                  <c:v>1.0607858293898596E-2</c:v>
                </c:pt>
                <c:pt idx="1594">
                  <c:v>1.2759741951601719E-2</c:v>
                </c:pt>
                <c:pt idx="1595">
                  <c:v>1.386687517209978E-2</c:v>
                </c:pt>
                <c:pt idx="1596">
                  <c:v>1.3407037912920691E-2</c:v>
                </c:pt>
                <c:pt idx="1597">
                  <c:v>1.4148879873072288E-2</c:v>
                </c:pt>
                <c:pt idx="1598">
                  <c:v>1.697797094601055E-2</c:v>
                </c:pt>
                <c:pt idx="1599">
                  <c:v>1.1332645137896341E-2</c:v>
                </c:pt>
                <c:pt idx="1600">
                  <c:v>1.1316847661369096E-2</c:v>
                </c:pt>
                <c:pt idx="1601">
                  <c:v>1.6852964635850839E-2</c:v>
                </c:pt>
                <c:pt idx="1602">
                  <c:v>1.0314307473461182E-2</c:v>
                </c:pt>
                <c:pt idx="1603">
                  <c:v>1.0689905421202399E-2</c:v>
                </c:pt>
                <c:pt idx="1604">
                  <c:v>1.5761864063279733E-2</c:v>
                </c:pt>
                <c:pt idx="1605">
                  <c:v>1.3380764778258654E-2</c:v>
                </c:pt>
                <c:pt idx="1606">
                  <c:v>1.4541465188934373E-2</c:v>
                </c:pt>
                <c:pt idx="1607">
                  <c:v>1.6268407243488124E-2</c:v>
                </c:pt>
                <c:pt idx="1608">
                  <c:v>1.0768413817846758E-2</c:v>
                </c:pt>
                <c:pt idx="1609">
                  <c:v>1.0376704329242765E-2</c:v>
                </c:pt>
                <c:pt idx="1610">
                  <c:v>1.2917703666357539E-2</c:v>
                </c:pt>
                <c:pt idx="1611">
                  <c:v>1.1013139255500079E-2</c:v>
                </c:pt>
                <c:pt idx="1612">
                  <c:v>1.0476342711946841E-2</c:v>
                </c:pt>
                <c:pt idx="1613">
                  <c:v>1.0785346482839398E-2</c:v>
                </c:pt>
                <c:pt idx="1614">
                  <c:v>1.0392937603379622E-2</c:v>
                </c:pt>
                <c:pt idx="1615">
                  <c:v>1.3449453196283344E-2</c:v>
                </c:pt>
                <c:pt idx="1616">
                  <c:v>9.2984666996335022E-3</c:v>
                </c:pt>
                <c:pt idx="1617">
                  <c:v>1.0977548684537798E-2</c:v>
                </c:pt>
                <c:pt idx="1618">
                  <c:v>1.4227492800594425E-2</c:v>
                </c:pt>
                <c:pt idx="1619">
                  <c:v>1.2026988114448998E-2</c:v>
                </c:pt>
                <c:pt idx="1620">
                  <c:v>1.0909084634781437E-2</c:v>
                </c:pt>
                <c:pt idx="1621">
                  <c:v>1.0609211937929571E-2</c:v>
                </c:pt>
                <c:pt idx="1622">
                  <c:v>9.7813836156165207E-3</c:v>
                </c:pt>
                <c:pt idx="1623">
                  <c:v>9.5662104058997343E-3</c:v>
                </c:pt>
                <c:pt idx="1624">
                  <c:v>1.1868773272744935E-2</c:v>
                </c:pt>
                <c:pt idx="1625">
                  <c:v>1.3911471960527933E-2</c:v>
                </c:pt>
                <c:pt idx="1626">
                  <c:v>9.5795363962064995E-3</c:v>
                </c:pt>
                <c:pt idx="1627">
                  <c:v>1.4244000335516104E-2</c:v>
                </c:pt>
                <c:pt idx="1628">
                  <c:v>9.8839769893505937E-3</c:v>
                </c:pt>
                <c:pt idx="1629">
                  <c:v>9.851744412680644E-3</c:v>
                </c:pt>
                <c:pt idx="1630">
                  <c:v>1.3639193202238902E-2</c:v>
                </c:pt>
                <c:pt idx="1631">
                  <c:v>1.2392993848140344E-2</c:v>
                </c:pt>
                <c:pt idx="1632">
                  <c:v>1.0555089034216413E-2</c:v>
                </c:pt>
                <c:pt idx="1633">
                  <c:v>1.206492048453863E-2</c:v>
                </c:pt>
                <c:pt idx="1634">
                  <c:v>1.334525241386334E-2</c:v>
                </c:pt>
                <c:pt idx="1635">
                  <c:v>1.0748688424549627E-2</c:v>
                </c:pt>
                <c:pt idx="1636">
                  <c:v>1.0415862908379364E-2</c:v>
                </c:pt>
                <c:pt idx="1637">
                  <c:v>1.1436722096455498E-2</c:v>
                </c:pt>
                <c:pt idx="1638">
                  <c:v>1.3993973667379783E-2</c:v>
                </c:pt>
                <c:pt idx="1639">
                  <c:v>1.697797094601055E-2</c:v>
                </c:pt>
                <c:pt idx="1640">
                  <c:v>1.3063840172900756E-2</c:v>
                </c:pt>
                <c:pt idx="1641">
                  <c:v>1.0477330465954676E-2</c:v>
                </c:pt>
                <c:pt idx="1642">
                  <c:v>1.4368989816425544E-2</c:v>
                </c:pt>
                <c:pt idx="1643">
                  <c:v>1.1319308434906555E-2</c:v>
                </c:pt>
                <c:pt idx="1644">
                  <c:v>1.0430911482542394E-2</c:v>
                </c:pt>
                <c:pt idx="1645">
                  <c:v>1.347933893020231E-2</c:v>
                </c:pt>
                <c:pt idx="1646">
                  <c:v>9.8229980169859416E-3</c:v>
                </c:pt>
                <c:pt idx="1647">
                  <c:v>1.6172703269239704E-2</c:v>
                </c:pt>
                <c:pt idx="1648">
                  <c:v>1.0122213374407616E-2</c:v>
                </c:pt>
                <c:pt idx="1649">
                  <c:v>1.3455136205421844E-2</c:v>
                </c:pt>
                <c:pt idx="1650">
                  <c:v>1.2578296819483187E-2</c:v>
                </c:pt>
                <c:pt idx="1651">
                  <c:v>1.282311173578528E-2</c:v>
                </c:pt>
                <c:pt idx="1652">
                  <c:v>9.6223646147814996E-3</c:v>
                </c:pt>
                <c:pt idx="1653">
                  <c:v>1.0740332282378575E-2</c:v>
                </c:pt>
                <c:pt idx="1654">
                  <c:v>1.6746865963179959E-2</c:v>
                </c:pt>
                <c:pt idx="1655">
                  <c:v>1.623891119323944E-2</c:v>
                </c:pt>
                <c:pt idx="1656">
                  <c:v>1.4111664700453743E-2</c:v>
                </c:pt>
                <c:pt idx="1657">
                  <c:v>1.0977548684537796E-2</c:v>
                </c:pt>
                <c:pt idx="1658">
                  <c:v>1.0087967049080116E-2</c:v>
                </c:pt>
                <c:pt idx="1659">
                  <c:v>1.2353993517528685E-2</c:v>
                </c:pt>
                <c:pt idx="1660">
                  <c:v>1.0237955221876791E-2</c:v>
                </c:pt>
                <c:pt idx="1661">
                  <c:v>1.3200772375992638E-2</c:v>
                </c:pt>
                <c:pt idx="1662">
                  <c:v>1.05531112465891E-2</c:v>
                </c:pt>
                <c:pt idx="1663">
                  <c:v>1.1103742306070523E-2</c:v>
                </c:pt>
                <c:pt idx="1664">
                  <c:v>1.5904108076560286E-2</c:v>
                </c:pt>
                <c:pt idx="1665">
                  <c:v>1.6728668547775244E-2</c:v>
                </c:pt>
                <c:pt idx="1666">
                  <c:v>1.4749960029107695E-2</c:v>
                </c:pt>
                <c:pt idx="1667">
                  <c:v>1.3849894403893379E-2</c:v>
                </c:pt>
                <c:pt idx="1668">
                  <c:v>1.2343833159464669E-2</c:v>
                </c:pt>
                <c:pt idx="1669">
                  <c:v>1.3822732602834387E-2</c:v>
                </c:pt>
                <c:pt idx="1670">
                  <c:v>1.0116512217137269E-2</c:v>
                </c:pt>
                <c:pt idx="1671">
                  <c:v>1.344193340744042E-2</c:v>
                </c:pt>
                <c:pt idx="1672">
                  <c:v>1.0430911482542393E-2</c:v>
                </c:pt>
                <c:pt idx="1673">
                  <c:v>1.3307788349045261E-2</c:v>
                </c:pt>
                <c:pt idx="1674">
                  <c:v>1.497910255253441E-2</c:v>
                </c:pt>
                <c:pt idx="1675">
                  <c:v>1.5734989479162343E-2</c:v>
                </c:pt>
                <c:pt idx="1676">
                  <c:v>1.4912738377618209E-2</c:v>
                </c:pt>
                <c:pt idx="1677">
                  <c:v>1.5167446413524818E-2</c:v>
                </c:pt>
                <c:pt idx="1678">
                  <c:v>1.457921900807845E-2</c:v>
                </c:pt>
                <c:pt idx="1679">
                  <c:v>1.2620375391897363E-2</c:v>
                </c:pt>
                <c:pt idx="1680">
                  <c:v>1.0344331406666659E-2</c:v>
                </c:pt>
                <c:pt idx="1681">
                  <c:v>1.3601447740303677E-2</c:v>
                </c:pt>
                <c:pt idx="1682">
                  <c:v>1.7484792450961066E-2</c:v>
                </c:pt>
                <c:pt idx="1683">
                  <c:v>1.6605098630716873E-2</c:v>
                </c:pt>
                <c:pt idx="1684">
                  <c:v>1.0701366878899454E-2</c:v>
                </c:pt>
                <c:pt idx="1685">
                  <c:v>1.8661079521685268E-2</c:v>
                </c:pt>
                <c:pt idx="1686">
                  <c:v>9.9533208727755271E-3</c:v>
                </c:pt>
                <c:pt idx="1687">
                  <c:v>1.039134687011423E-2</c:v>
                </c:pt>
                <c:pt idx="1688">
                  <c:v>1.1216130983474473E-2</c:v>
                </c:pt>
                <c:pt idx="1689">
                  <c:v>1.7613123556929056E-2</c:v>
                </c:pt>
                <c:pt idx="1690">
                  <c:v>1.314004438038416E-2</c:v>
                </c:pt>
                <c:pt idx="1691">
                  <c:v>1.2499584727109892E-2</c:v>
                </c:pt>
                <c:pt idx="1692">
                  <c:v>9.573297719846819E-3</c:v>
                </c:pt>
                <c:pt idx="1693">
                  <c:v>9.1638620706115878E-3</c:v>
                </c:pt>
                <c:pt idx="1694">
                  <c:v>1.7423690015184391E-2</c:v>
                </c:pt>
                <c:pt idx="1695">
                  <c:v>9.3185419224888367E-3</c:v>
                </c:pt>
                <c:pt idx="1696">
                  <c:v>1.4541465188934373E-2</c:v>
                </c:pt>
                <c:pt idx="1697">
                  <c:v>9.6934705756580048E-3</c:v>
                </c:pt>
                <c:pt idx="1698">
                  <c:v>9.6730729121530818E-3</c:v>
                </c:pt>
                <c:pt idx="1699">
                  <c:v>1.1671651481763246E-2</c:v>
                </c:pt>
                <c:pt idx="1700">
                  <c:v>1.5269985189170514E-2</c:v>
                </c:pt>
                <c:pt idx="1701">
                  <c:v>1.0283168771642428E-2</c:v>
                </c:pt>
                <c:pt idx="1702">
                  <c:v>1.4419436350020146E-2</c:v>
                </c:pt>
                <c:pt idx="1703">
                  <c:v>1.1401739475669198E-2</c:v>
                </c:pt>
                <c:pt idx="1704">
                  <c:v>1.3112988436391915E-2</c:v>
                </c:pt>
                <c:pt idx="1705">
                  <c:v>1.1258881127697516E-2</c:v>
                </c:pt>
                <c:pt idx="1706">
                  <c:v>9.6097611956754737E-3</c:v>
                </c:pt>
                <c:pt idx="1707">
                  <c:v>1.0981662283534352E-2</c:v>
                </c:pt>
                <c:pt idx="1708">
                  <c:v>1.3703341961693198E-2</c:v>
                </c:pt>
                <c:pt idx="1709">
                  <c:v>9.4537584062651028E-3</c:v>
                </c:pt>
                <c:pt idx="1710">
                  <c:v>1.0867634966813016E-2</c:v>
                </c:pt>
                <c:pt idx="1711">
                  <c:v>1.3902640725373946E-2</c:v>
                </c:pt>
                <c:pt idx="1712">
                  <c:v>1.0192156839305607E-2</c:v>
                </c:pt>
                <c:pt idx="1713">
                  <c:v>1.8308472326935072E-2</c:v>
                </c:pt>
                <c:pt idx="1714">
                  <c:v>1.0430911482542393E-2</c:v>
                </c:pt>
                <c:pt idx="1715">
                  <c:v>1.4523169030091784E-2</c:v>
                </c:pt>
                <c:pt idx="1716">
                  <c:v>1.446912698500487E-2</c:v>
                </c:pt>
                <c:pt idx="1717">
                  <c:v>1.3261192710867578E-2</c:v>
                </c:pt>
                <c:pt idx="1718">
                  <c:v>1.3853733404099839E-2</c:v>
                </c:pt>
                <c:pt idx="1719">
                  <c:v>1.4961254683134249E-2</c:v>
                </c:pt>
                <c:pt idx="1720">
                  <c:v>1.350132252723896E-2</c:v>
                </c:pt>
                <c:pt idx="1721">
                  <c:v>1.1871384886332407E-2</c:v>
                </c:pt>
                <c:pt idx="1722">
                  <c:v>1.3117729138183799E-2</c:v>
                </c:pt>
                <c:pt idx="1723">
                  <c:v>9.6089874853925138E-3</c:v>
                </c:pt>
                <c:pt idx="1724">
                  <c:v>1.0740332282378575E-2</c:v>
                </c:pt>
                <c:pt idx="1725">
                  <c:v>1.6193429348153428E-2</c:v>
                </c:pt>
                <c:pt idx="1726">
                  <c:v>1.5413130945862857E-2</c:v>
                </c:pt>
                <c:pt idx="1727">
                  <c:v>1.4749960029107697E-2</c:v>
                </c:pt>
                <c:pt idx="1728">
                  <c:v>1.0977548684537796E-2</c:v>
                </c:pt>
                <c:pt idx="1729">
                  <c:v>1.0086589952797122E-2</c:v>
                </c:pt>
                <c:pt idx="1730">
                  <c:v>1.2154408942960866E-2</c:v>
                </c:pt>
                <c:pt idx="1731">
                  <c:v>1.0237955221876788E-2</c:v>
                </c:pt>
                <c:pt idx="1732">
                  <c:v>1.0768264667655209E-2</c:v>
                </c:pt>
                <c:pt idx="1733">
                  <c:v>9.5690768826218534E-3</c:v>
                </c:pt>
                <c:pt idx="1734">
                  <c:v>1.0502583005742475E-2</c:v>
                </c:pt>
                <c:pt idx="1735">
                  <c:v>1.0199118291272595E-2</c:v>
                </c:pt>
                <c:pt idx="1736">
                  <c:v>1.1484025901896058E-2</c:v>
                </c:pt>
                <c:pt idx="1737">
                  <c:v>1.906302168500059E-2</c:v>
                </c:pt>
                <c:pt idx="1738">
                  <c:v>1.1553487955234259E-2</c:v>
                </c:pt>
                <c:pt idx="1739">
                  <c:v>1.0883770663921452E-2</c:v>
                </c:pt>
                <c:pt idx="1740">
                  <c:v>6.7596346968057741E-3</c:v>
                </c:pt>
                <c:pt idx="1741">
                  <c:v>1.3420329923904859E-2</c:v>
                </c:pt>
                <c:pt idx="1742">
                  <c:v>1.039134687011423E-2</c:v>
                </c:pt>
                <c:pt idx="1743">
                  <c:v>1.4148879873072288E-2</c:v>
                </c:pt>
                <c:pt idx="1744">
                  <c:v>1.3709273138729028E-2</c:v>
                </c:pt>
                <c:pt idx="1745">
                  <c:v>1.4996259129818388E-2</c:v>
                </c:pt>
                <c:pt idx="1746">
                  <c:v>1.4912738377618209E-2</c:v>
                </c:pt>
                <c:pt idx="1747">
                  <c:v>1.3077945144471975E-2</c:v>
                </c:pt>
                <c:pt idx="1748">
                  <c:v>1.3876782910384536E-2</c:v>
                </c:pt>
                <c:pt idx="1749">
                  <c:v>1.660509863071687E-2</c:v>
                </c:pt>
                <c:pt idx="1750">
                  <c:v>1.0530410879417352E-2</c:v>
                </c:pt>
                <c:pt idx="1751">
                  <c:v>1.5933010011191032E-2</c:v>
                </c:pt>
                <c:pt idx="1752">
                  <c:v>1.3695046519854162E-2</c:v>
                </c:pt>
                <c:pt idx="1753">
                  <c:v>1.6605098630716873E-2</c:v>
                </c:pt>
                <c:pt idx="1754">
                  <c:v>1.5761864063279733E-2</c:v>
                </c:pt>
                <c:pt idx="1755">
                  <c:v>1.0675494975338448E-2</c:v>
                </c:pt>
                <c:pt idx="1756">
                  <c:v>1.8661079521685268E-2</c:v>
                </c:pt>
                <c:pt idx="1757">
                  <c:v>1.5298716201155593E-2</c:v>
                </c:pt>
                <c:pt idx="1758">
                  <c:v>1.0226624994773982E-2</c:v>
                </c:pt>
                <c:pt idx="1759">
                  <c:v>1.1216130983474473E-2</c:v>
                </c:pt>
                <c:pt idx="1760">
                  <c:v>1.7613123556929056E-2</c:v>
                </c:pt>
                <c:pt idx="1761">
                  <c:v>1.314004438038416E-2</c:v>
                </c:pt>
                <c:pt idx="1762">
                  <c:v>1.361267785531301E-2</c:v>
                </c:pt>
                <c:pt idx="1763">
                  <c:v>9.4228058477785707E-3</c:v>
                </c:pt>
                <c:pt idx="1764">
                  <c:v>1.432288996885827E-2</c:v>
                </c:pt>
                <c:pt idx="1765">
                  <c:v>1.2820046932267709E-2</c:v>
                </c:pt>
                <c:pt idx="1766">
                  <c:v>1.3517835691214475E-2</c:v>
                </c:pt>
                <c:pt idx="1767">
                  <c:v>1.4979102552534412E-2</c:v>
                </c:pt>
                <c:pt idx="1768">
                  <c:v>9.6934705756580048E-3</c:v>
                </c:pt>
                <c:pt idx="1769">
                  <c:v>9.6730729121530818E-3</c:v>
                </c:pt>
                <c:pt idx="1770">
                  <c:v>1.1671651481763246E-2</c:v>
                </c:pt>
                <c:pt idx="1771">
                  <c:v>1.5269985189170512E-2</c:v>
                </c:pt>
                <c:pt idx="1772">
                  <c:v>1.0624193770682274E-2</c:v>
                </c:pt>
                <c:pt idx="1773">
                  <c:v>9.955561542518308E-3</c:v>
                </c:pt>
                <c:pt idx="1774">
                  <c:v>1.0211542800587916E-2</c:v>
                </c:pt>
                <c:pt idx="1775">
                  <c:v>1.5255066422544934E-2</c:v>
                </c:pt>
                <c:pt idx="1776">
                  <c:v>1.3476815384015758E-2</c:v>
                </c:pt>
                <c:pt idx="1777">
                  <c:v>9.7409704201740031E-3</c:v>
                </c:pt>
                <c:pt idx="1778">
                  <c:v>1.0981662283534352E-2</c:v>
                </c:pt>
                <c:pt idx="1779">
                  <c:v>1.3703341961693198E-2</c:v>
                </c:pt>
                <c:pt idx="1780">
                  <c:v>9.4537584062651028E-3</c:v>
                </c:pt>
                <c:pt idx="1781">
                  <c:v>1.4637253852239254E-2</c:v>
                </c:pt>
                <c:pt idx="1782">
                  <c:v>1.3061675215031328E-2</c:v>
                </c:pt>
                <c:pt idx="1783">
                  <c:v>1.1126261192309094E-2</c:v>
                </c:pt>
                <c:pt idx="1784">
                  <c:v>1.4523169030091784E-2</c:v>
                </c:pt>
                <c:pt idx="1785">
                  <c:v>1.0785346482839398E-2</c:v>
                </c:pt>
                <c:pt idx="1786">
                  <c:v>1.3905988543486665E-2</c:v>
                </c:pt>
                <c:pt idx="1787">
                  <c:v>1.8528130402520309E-2</c:v>
                </c:pt>
                <c:pt idx="1788">
                  <c:v>9.7928345651080318E-3</c:v>
                </c:pt>
                <c:pt idx="1789">
                  <c:v>1.2975315664322718E-2</c:v>
                </c:pt>
                <c:pt idx="1790">
                  <c:v>1.009784628961722E-2</c:v>
                </c:pt>
                <c:pt idx="1791">
                  <c:v>1.3817706763828257E-2</c:v>
                </c:pt>
                <c:pt idx="1792">
                  <c:v>1.1871384886332407E-2</c:v>
                </c:pt>
                <c:pt idx="1793">
                  <c:v>1.3167485848265475E-2</c:v>
                </c:pt>
                <c:pt idx="1794">
                  <c:v>9.5662104058997343E-3</c:v>
                </c:pt>
                <c:pt idx="1795">
                  <c:v>1.0052365874674207E-2</c:v>
                </c:pt>
                <c:pt idx="1796">
                  <c:v>1.1882796521238392E-2</c:v>
                </c:pt>
                <c:pt idx="1797">
                  <c:v>1.5413130945862857E-2</c:v>
                </c:pt>
                <c:pt idx="1798">
                  <c:v>1.4749960029107697E-2</c:v>
                </c:pt>
                <c:pt idx="1799">
                  <c:v>9.5608274947831615E-3</c:v>
                </c:pt>
                <c:pt idx="1800">
                  <c:v>1.2496229554702792E-2</c:v>
                </c:pt>
                <c:pt idx="1801">
                  <c:v>1.4319271568267724E-2</c:v>
                </c:pt>
                <c:pt idx="1802">
                  <c:v>1.0457552217227443E-2</c:v>
                </c:pt>
                <c:pt idx="1803">
                  <c:v>1.2336677564730397E-2</c:v>
                </c:pt>
                <c:pt idx="1804">
                  <c:v>9.6232476208579377E-3</c:v>
                </c:pt>
                <c:pt idx="1805">
                  <c:v>9.638502077334056E-3</c:v>
                </c:pt>
                <c:pt idx="1806">
                  <c:v>1.0154326017134094E-2</c:v>
                </c:pt>
                <c:pt idx="1807">
                  <c:v>1.1403870520971056E-2</c:v>
                </c:pt>
                <c:pt idx="1808">
                  <c:v>1.2294357665936088E-2</c:v>
                </c:pt>
                <c:pt idx="1809">
                  <c:v>1.299360268841895E-2</c:v>
                </c:pt>
                <c:pt idx="1810">
                  <c:v>1.3882356534975659E-2</c:v>
                </c:pt>
                <c:pt idx="1811">
                  <c:v>6.6040016551829981E-3</c:v>
                </c:pt>
                <c:pt idx="1812">
                  <c:v>1.2412062784855063E-2</c:v>
                </c:pt>
                <c:pt idx="1813">
                  <c:v>1.2348515866267099E-2</c:v>
                </c:pt>
                <c:pt idx="1814">
                  <c:v>9.3687438560835501E-3</c:v>
                </c:pt>
                <c:pt idx="1815">
                  <c:v>1.4996259129818388E-2</c:v>
                </c:pt>
                <c:pt idx="1816">
                  <c:v>1.1489209647230651E-2</c:v>
                </c:pt>
                <c:pt idx="1817">
                  <c:v>1.8001796391182507E-2</c:v>
                </c:pt>
                <c:pt idx="1818">
                  <c:v>1.3822732602834386E-2</c:v>
                </c:pt>
                <c:pt idx="1819">
                  <c:v>1.6001662566933018E-2</c:v>
                </c:pt>
                <c:pt idx="1820">
                  <c:v>1.0293138345401874E-2</c:v>
                </c:pt>
                <c:pt idx="1821">
                  <c:v>1.0177233858724235E-2</c:v>
                </c:pt>
                <c:pt idx="1822">
                  <c:v>1.1152376924825272E-2</c:v>
                </c:pt>
                <c:pt idx="1823">
                  <c:v>1.1963198236748265E-2</c:v>
                </c:pt>
                <c:pt idx="1824">
                  <c:v>1.0031491481697635E-2</c:v>
                </c:pt>
                <c:pt idx="1825">
                  <c:v>1.0914319076660338E-2</c:v>
                </c:pt>
                <c:pt idx="1826">
                  <c:v>1.4934040216122451E-2</c:v>
                </c:pt>
                <c:pt idx="1827">
                  <c:v>1.4800485635640624E-2</c:v>
                </c:pt>
                <c:pt idx="1828">
                  <c:v>1.0283284436038655E-2</c:v>
                </c:pt>
                <c:pt idx="1829">
                  <c:v>1.4013216223519354E-2</c:v>
                </c:pt>
                <c:pt idx="1830">
                  <c:v>1.0237955221876789E-2</c:v>
                </c:pt>
                <c:pt idx="1831">
                  <c:v>1.2738613894634708E-2</c:v>
                </c:pt>
                <c:pt idx="1832">
                  <c:v>9.7939735866188482E-3</c:v>
                </c:pt>
                <c:pt idx="1833">
                  <c:v>1.3411338526887924E-2</c:v>
                </c:pt>
                <c:pt idx="1834">
                  <c:v>9.4066846312104175E-3</c:v>
                </c:pt>
                <c:pt idx="1835">
                  <c:v>1.0447296111951864E-2</c:v>
                </c:pt>
                <c:pt idx="1836">
                  <c:v>9.490354605163941E-3</c:v>
                </c:pt>
                <c:pt idx="1837">
                  <c:v>1.0779296469785584E-2</c:v>
                </c:pt>
                <c:pt idx="1838">
                  <c:v>1.4314377025050458E-2</c:v>
                </c:pt>
                <c:pt idx="1839">
                  <c:v>9.5795363962064995E-3</c:v>
                </c:pt>
                <c:pt idx="1840">
                  <c:v>1.049835125197526E-2</c:v>
                </c:pt>
                <c:pt idx="1841">
                  <c:v>1.4291358939396825E-2</c:v>
                </c:pt>
                <c:pt idx="1842">
                  <c:v>1.0624193770682274E-2</c:v>
                </c:pt>
                <c:pt idx="1843">
                  <c:v>1.1668151988341317E-2</c:v>
                </c:pt>
                <c:pt idx="1844">
                  <c:v>9.608987485392512E-3</c:v>
                </c:pt>
                <c:pt idx="1845">
                  <c:v>1.0622417067170096E-2</c:v>
                </c:pt>
                <c:pt idx="1846">
                  <c:v>1.2364586391395911E-2</c:v>
                </c:pt>
                <c:pt idx="1847">
                  <c:v>1.0752730874939699E-2</c:v>
                </c:pt>
                <c:pt idx="1848">
                  <c:v>1.0591420989987827E-2</c:v>
                </c:pt>
                <c:pt idx="1849">
                  <c:v>1.0125954606534251E-2</c:v>
                </c:pt>
                <c:pt idx="1850">
                  <c:v>1.561852098904238E-2</c:v>
                </c:pt>
                <c:pt idx="1851">
                  <c:v>1.3130109418637157E-2</c:v>
                </c:pt>
                <c:pt idx="1852">
                  <c:v>1.1432677532255608E-2</c:v>
                </c:pt>
                <c:pt idx="1853">
                  <c:v>1.457921900807845E-2</c:v>
                </c:pt>
                <c:pt idx="1854">
                  <c:v>1.0910271995469836E-2</c:v>
                </c:pt>
                <c:pt idx="1855">
                  <c:v>1.4912738377618209E-2</c:v>
                </c:pt>
                <c:pt idx="1856">
                  <c:v>1.4273481573858953E-2</c:v>
                </c:pt>
                <c:pt idx="1857">
                  <c:v>1.3495614118070109E-2</c:v>
                </c:pt>
                <c:pt idx="1858">
                  <c:v>1.3942508844043463E-2</c:v>
                </c:pt>
                <c:pt idx="1859">
                  <c:v>1.4161652659714676E-2</c:v>
                </c:pt>
                <c:pt idx="1860">
                  <c:v>1.3919925430335359E-2</c:v>
                </c:pt>
                <c:pt idx="1861">
                  <c:v>1.441711545283081E-2</c:v>
                </c:pt>
                <c:pt idx="1862">
                  <c:v>1.2418371488511375E-2</c:v>
                </c:pt>
                <c:pt idx="1863">
                  <c:v>1.1654999524262253E-2</c:v>
                </c:pt>
                <c:pt idx="1864">
                  <c:v>1.34825240825391E-2</c:v>
                </c:pt>
                <c:pt idx="1865">
                  <c:v>1.167389593188722E-2</c:v>
                </c:pt>
                <c:pt idx="1866">
                  <c:v>1.4850768084664567E-2</c:v>
                </c:pt>
                <c:pt idx="1867">
                  <c:v>1.4368989816425544E-2</c:v>
                </c:pt>
                <c:pt idx="1868">
                  <c:v>9.3442471555363806E-3</c:v>
                </c:pt>
                <c:pt idx="1869">
                  <c:v>1.184514800516435E-2</c:v>
                </c:pt>
                <c:pt idx="1870">
                  <c:v>1.8528130402520309E-2</c:v>
                </c:pt>
                <c:pt idx="1871">
                  <c:v>9.5980502546850286E-3</c:v>
                </c:pt>
                <c:pt idx="1872">
                  <c:v>1.1700517778063657E-2</c:v>
                </c:pt>
                <c:pt idx="1873">
                  <c:v>9.6947853400666199E-3</c:v>
                </c:pt>
                <c:pt idx="1874">
                  <c:v>9.7170192067497843E-3</c:v>
                </c:pt>
                <c:pt idx="1875">
                  <c:v>9.9903983160641897E-3</c:v>
                </c:pt>
                <c:pt idx="1876">
                  <c:v>1.5740839928933402E-2</c:v>
                </c:pt>
                <c:pt idx="1877">
                  <c:v>1.1983299741503275E-2</c:v>
                </c:pt>
                <c:pt idx="1878">
                  <c:v>1.0909084634781437E-2</c:v>
                </c:pt>
                <c:pt idx="1879">
                  <c:v>1.3429607498338993E-2</c:v>
                </c:pt>
                <c:pt idx="1880">
                  <c:v>1.5133029800759949E-2</c:v>
                </c:pt>
                <c:pt idx="1881">
                  <c:v>1.0918575402345719E-2</c:v>
                </c:pt>
                <c:pt idx="1882">
                  <c:v>1.4637253852239254E-2</c:v>
                </c:pt>
                <c:pt idx="1883">
                  <c:v>9.9787302056700486E-3</c:v>
                </c:pt>
                <c:pt idx="1884">
                  <c:v>1.499625912981839E-2</c:v>
                </c:pt>
                <c:pt idx="1885">
                  <c:v>1.3241074744009689E-2</c:v>
                </c:pt>
                <c:pt idx="1886">
                  <c:v>1.4670749734442233E-2</c:v>
                </c:pt>
                <c:pt idx="1887">
                  <c:v>1.1078226110210934E-2</c:v>
                </c:pt>
                <c:pt idx="1888">
                  <c:v>1.4076638263943288E-2</c:v>
                </c:pt>
                <c:pt idx="1889">
                  <c:v>1.383205566507556E-2</c:v>
                </c:pt>
                <c:pt idx="1890">
                  <c:v>1.1401739475669198E-2</c:v>
                </c:pt>
                <c:pt idx="1891">
                  <c:v>1.6482271217304095E-2</c:v>
                </c:pt>
                <c:pt idx="1892">
                  <c:v>1.3549413122192863E-2</c:v>
                </c:pt>
                <c:pt idx="1893">
                  <c:v>1.3913296519489133E-2</c:v>
                </c:pt>
                <c:pt idx="1894">
                  <c:v>1.5998964363932871E-2</c:v>
                </c:pt>
                <c:pt idx="1895">
                  <c:v>1.012522828928868E-2</c:v>
                </c:pt>
                <c:pt idx="1896">
                  <c:v>1.4314377025050458E-2</c:v>
                </c:pt>
                <c:pt idx="1897">
                  <c:v>1.193444993747452E-2</c:v>
                </c:pt>
                <c:pt idx="1898">
                  <c:v>1.8001796391182504E-2</c:v>
                </c:pt>
                <c:pt idx="1899">
                  <c:v>1.4850768084664569E-2</c:v>
                </c:pt>
                <c:pt idx="1900">
                  <c:v>9.6544161042757554E-3</c:v>
                </c:pt>
                <c:pt idx="1901">
                  <c:v>1.3875585654343915E-2</c:v>
                </c:pt>
                <c:pt idx="1902">
                  <c:v>1.623891119323944E-2</c:v>
                </c:pt>
                <c:pt idx="1903">
                  <c:v>1.0257401128973167E-2</c:v>
                </c:pt>
                <c:pt idx="1904">
                  <c:v>1.4229806726489979E-2</c:v>
                </c:pt>
                <c:pt idx="1905">
                  <c:v>1.3035174686474771E-2</c:v>
                </c:pt>
                <c:pt idx="1906">
                  <c:v>1.0337830322201249E-2</c:v>
                </c:pt>
                <c:pt idx="1907">
                  <c:v>1.3068941308332358E-2</c:v>
                </c:pt>
                <c:pt idx="1908">
                  <c:v>1.3151710262340825E-2</c:v>
                </c:pt>
                <c:pt idx="1909">
                  <c:v>1.2968557061063663E-2</c:v>
                </c:pt>
                <c:pt idx="1910">
                  <c:v>1.3905988543486666E-2</c:v>
                </c:pt>
                <c:pt idx="1911">
                  <c:v>1.3806985054193307E-2</c:v>
                </c:pt>
                <c:pt idx="1912">
                  <c:v>1.0293138345401874E-2</c:v>
                </c:pt>
                <c:pt idx="1913">
                  <c:v>1.4763399935781052E-2</c:v>
                </c:pt>
                <c:pt idx="1914">
                  <c:v>1.4244000335516106E-2</c:v>
                </c:pt>
                <c:pt idx="1915">
                  <c:v>1.1484025901896058E-2</c:v>
                </c:pt>
                <c:pt idx="1916">
                  <c:v>9.573297719846819E-3</c:v>
                </c:pt>
                <c:pt idx="1917">
                  <c:v>1.0737484730818526E-2</c:v>
                </c:pt>
                <c:pt idx="1918">
                  <c:v>1.2651308537340053E-2</c:v>
                </c:pt>
                <c:pt idx="1919">
                  <c:v>9.8860185038424538E-3</c:v>
                </c:pt>
                <c:pt idx="1920">
                  <c:v>1.1740736142857745E-2</c:v>
                </c:pt>
                <c:pt idx="1921">
                  <c:v>1.906302168500059E-2</c:v>
                </c:pt>
                <c:pt idx="1922">
                  <c:v>9.8545854861259927E-3</c:v>
                </c:pt>
                <c:pt idx="1923">
                  <c:v>1.5904108076560286E-2</c:v>
                </c:pt>
                <c:pt idx="1924">
                  <c:v>1.3184560557547005E-2</c:v>
                </c:pt>
                <c:pt idx="1925">
                  <c:v>9.4176252751269479E-3</c:v>
                </c:pt>
                <c:pt idx="1926">
                  <c:v>1.774207684011481E-2</c:v>
                </c:pt>
                <c:pt idx="1927">
                  <c:v>9.6553716729263911E-3</c:v>
                </c:pt>
                <c:pt idx="1928">
                  <c:v>1.8001796391182504E-2</c:v>
                </c:pt>
                <c:pt idx="1929">
                  <c:v>1.8395715759419593E-2</c:v>
                </c:pt>
                <c:pt idx="1930">
                  <c:v>1.3913296519489133E-2</c:v>
                </c:pt>
                <c:pt idx="1931">
                  <c:v>1.3942508844043463E-2</c:v>
                </c:pt>
                <c:pt idx="1932">
                  <c:v>1.4161652659714676E-2</c:v>
                </c:pt>
                <c:pt idx="1933">
                  <c:v>1.3919925430335361E-2</c:v>
                </c:pt>
                <c:pt idx="1934">
                  <c:v>1.4111664700453743E-2</c:v>
                </c:pt>
                <c:pt idx="1935">
                  <c:v>1.2007938807189322E-2</c:v>
                </c:pt>
                <c:pt idx="1936">
                  <c:v>1.1613911000034081E-2</c:v>
                </c:pt>
                <c:pt idx="1937">
                  <c:v>1.3602697069245854E-2</c:v>
                </c:pt>
                <c:pt idx="1938">
                  <c:v>1.0540243546742658E-2</c:v>
                </c:pt>
                <c:pt idx="1939">
                  <c:v>9.6092764874167649E-3</c:v>
                </c:pt>
                <c:pt idx="1940">
                  <c:v>1.3964215445300288E-2</c:v>
                </c:pt>
                <c:pt idx="1941">
                  <c:v>9.3201890655085756E-3</c:v>
                </c:pt>
                <c:pt idx="1942">
                  <c:v>1.184514800516435E-2</c:v>
                </c:pt>
                <c:pt idx="1943">
                  <c:v>1.4111664700453743E-2</c:v>
                </c:pt>
                <c:pt idx="1944">
                  <c:v>9.6586033358054407E-3</c:v>
                </c:pt>
                <c:pt idx="1945">
                  <c:v>1.8263847217394925E-2</c:v>
                </c:pt>
                <c:pt idx="1946">
                  <c:v>1.0029055968474527E-2</c:v>
                </c:pt>
                <c:pt idx="1947">
                  <c:v>1.0444953040813672E-2</c:v>
                </c:pt>
                <c:pt idx="1948">
                  <c:v>1.0430911482542391E-2</c:v>
                </c:pt>
                <c:pt idx="1949">
                  <c:v>1.2003136761639031E-2</c:v>
                </c:pt>
                <c:pt idx="1950">
                  <c:v>1.4076638263943286E-2</c:v>
                </c:pt>
                <c:pt idx="1951">
                  <c:v>1.3397000955843669E-2</c:v>
                </c:pt>
                <c:pt idx="1952">
                  <c:v>1.0977548684537798E-2</c:v>
                </c:pt>
                <c:pt idx="1953">
                  <c:v>1.4087966762898614E-2</c:v>
                </c:pt>
                <c:pt idx="1954">
                  <c:v>1.422980672648998E-2</c:v>
                </c:pt>
                <c:pt idx="1955">
                  <c:v>1.0448206544426552E-2</c:v>
                </c:pt>
                <c:pt idx="1956">
                  <c:v>1.4637253852239254E-2</c:v>
                </c:pt>
                <c:pt idx="1957">
                  <c:v>9.8028202393402823E-3</c:v>
                </c:pt>
                <c:pt idx="1958">
                  <c:v>1.8001796391182504E-2</c:v>
                </c:pt>
                <c:pt idx="1959">
                  <c:v>1.3102028074088138E-2</c:v>
                </c:pt>
                <c:pt idx="1960">
                  <c:v>1.0678381654700331E-2</c:v>
                </c:pt>
                <c:pt idx="1961">
                  <c:v>1.0258850148799393E-2</c:v>
                </c:pt>
                <c:pt idx="1962">
                  <c:v>1.2688560252848494E-2</c:v>
                </c:pt>
                <c:pt idx="1963">
                  <c:v>1.4593023709096226E-2</c:v>
                </c:pt>
                <c:pt idx="1964">
                  <c:v>1.1027190106479311E-2</c:v>
                </c:pt>
                <c:pt idx="1965">
                  <c:v>1.3849894403893379E-2</c:v>
                </c:pt>
                <c:pt idx="1966">
                  <c:v>1.3893998017793646E-2</c:v>
                </c:pt>
                <c:pt idx="1967">
                  <c:v>1.5807718646568842E-2</c:v>
                </c:pt>
                <c:pt idx="1968">
                  <c:v>1.5298716201155593E-2</c:v>
                </c:pt>
                <c:pt idx="1969">
                  <c:v>1.5185250871918811E-2</c:v>
                </c:pt>
                <c:pt idx="1970">
                  <c:v>9.4479531347925784E-3</c:v>
                </c:pt>
                <c:pt idx="1971">
                  <c:v>1.7230052311804852E-2</c:v>
                </c:pt>
                <c:pt idx="1972">
                  <c:v>1.4107761123317457E-2</c:v>
                </c:pt>
                <c:pt idx="1973">
                  <c:v>9.5795363962064995E-3</c:v>
                </c:pt>
                <c:pt idx="1974">
                  <c:v>1.3875585654343915E-2</c:v>
                </c:pt>
                <c:pt idx="1975">
                  <c:v>1.623891119323944E-2</c:v>
                </c:pt>
                <c:pt idx="1976">
                  <c:v>1.017202943000442E-2</c:v>
                </c:pt>
                <c:pt idx="1977">
                  <c:v>1.3984850690816109E-2</c:v>
                </c:pt>
                <c:pt idx="1978">
                  <c:v>1.2399321196224366E-2</c:v>
                </c:pt>
                <c:pt idx="1979">
                  <c:v>1.0337830322201249E-2</c:v>
                </c:pt>
                <c:pt idx="1980">
                  <c:v>1.2768256615989187E-2</c:v>
                </c:pt>
                <c:pt idx="1981">
                  <c:v>1.0899938212146883E-2</c:v>
                </c:pt>
                <c:pt idx="1982">
                  <c:v>9.4282374842945445E-3</c:v>
                </c:pt>
                <c:pt idx="1983">
                  <c:v>1.3806985054193307E-2</c:v>
                </c:pt>
                <c:pt idx="1984">
                  <c:v>1.0293138345401876E-2</c:v>
                </c:pt>
                <c:pt idx="1985">
                  <c:v>1.2708863800604613E-2</c:v>
                </c:pt>
                <c:pt idx="1986">
                  <c:v>1.1134973829989556E-2</c:v>
                </c:pt>
                <c:pt idx="1987">
                  <c:v>1.0154326017134094E-2</c:v>
                </c:pt>
                <c:pt idx="1988">
                  <c:v>1.1204808091547395E-2</c:v>
                </c:pt>
                <c:pt idx="1989">
                  <c:v>9.2347566355688165E-3</c:v>
                </c:pt>
                <c:pt idx="1990">
                  <c:v>1.1314243361346843E-2</c:v>
                </c:pt>
                <c:pt idx="1991">
                  <c:v>1.2850982533966864E-2</c:v>
                </c:pt>
                <c:pt idx="1992">
                  <c:v>1.0957366075622027E-2</c:v>
                </c:pt>
                <c:pt idx="1993">
                  <c:v>1.5255066422544934E-2</c:v>
                </c:pt>
                <c:pt idx="1994">
                  <c:v>1.1671651481763246E-2</c:v>
                </c:pt>
                <c:pt idx="1995">
                  <c:v>1.5072756399316824E-2</c:v>
                </c:pt>
                <c:pt idx="1996">
                  <c:v>1.320033963082907E-2</c:v>
                </c:pt>
                <c:pt idx="1997">
                  <c:v>1.6301105982438266E-2</c:v>
                </c:pt>
                <c:pt idx="1998">
                  <c:v>9.9266447412409628E-3</c:v>
                </c:pt>
                <c:pt idx="1999">
                  <c:v>1.7103671905773409E-2</c:v>
                </c:pt>
                <c:pt idx="2000">
                  <c:v>1.4111664700453741E-2</c:v>
                </c:pt>
                <c:pt idx="2001">
                  <c:v>1.3913296519489133E-2</c:v>
                </c:pt>
                <c:pt idx="2002">
                  <c:v>1.4123718142303428E-2</c:v>
                </c:pt>
                <c:pt idx="2003">
                  <c:v>1.4486757263997844E-2</c:v>
                </c:pt>
                <c:pt idx="2004">
                  <c:v>1.4608462456178039E-2</c:v>
                </c:pt>
                <c:pt idx="2005">
                  <c:v>1.4111664700453743E-2</c:v>
                </c:pt>
                <c:pt idx="2006">
                  <c:v>1.1946223398719471E-2</c:v>
                </c:pt>
                <c:pt idx="2007">
                  <c:v>1.1853105527408076E-2</c:v>
                </c:pt>
                <c:pt idx="2008">
                  <c:v>1.8263847217394928E-2</c:v>
                </c:pt>
                <c:pt idx="2009">
                  <c:v>1.2062853811856041E-2</c:v>
                </c:pt>
                <c:pt idx="2010">
                  <c:v>9.6092764874167649E-3</c:v>
                </c:pt>
                <c:pt idx="2011">
                  <c:v>1.3902640725373948E-2</c:v>
                </c:pt>
                <c:pt idx="2012">
                  <c:v>9.3871312952509035E-3</c:v>
                </c:pt>
                <c:pt idx="2013">
                  <c:v>1.2622832054285287E-2</c:v>
                </c:pt>
                <c:pt idx="2014">
                  <c:v>1.2519744047863164E-2</c:v>
                </c:pt>
                <c:pt idx="2015">
                  <c:v>1.0925095581246791E-2</c:v>
                </c:pt>
                <c:pt idx="2016">
                  <c:v>9.8860185038424503E-3</c:v>
                </c:pt>
                <c:pt idx="2017">
                  <c:v>9.9199829762252525E-3</c:v>
                </c:pt>
                <c:pt idx="2018">
                  <c:v>1.4741319428931792E-2</c:v>
                </c:pt>
                <c:pt idx="2019">
                  <c:v>1.476536687159734E-2</c:v>
                </c:pt>
                <c:pt idx="2020">
                  <c:v>1.1676621788385912E-2</c:v>
                </c:pt>
                <c:pt idx="2021">
                  <c:v>1.3669625864542198E-2</c:v>
                </c:pt>
                <c:pt idx="2022">
                  <c:v>1.070812405201544E-2</c:v>
                </c:pt>
                <c:pt idx="2023">
                  <c:v>1.3088010981072573E-2</c:v>
                </c:pt>
                <c:pt idx="2024">
                  <c:v>1.4188266558946016E-2</c:v>
                </c:pt>
                <c:pt idx="2025">
                  <c:v>1.0510567262662817E-2</c:v>
                </c:pt>
                <c:pt idx="2026">
                  <c:v>1.441711545283081E-2</c:v>
                </c:pt>
                <c:pt idx="2027">
                  <c:v>1.0910386607229009E-2</c:v>
                </c:pt>
                <c:pt idx="2028">
                  <c:v>1.7871638832514841E-2</c:v>
                </c:pt>
                <c:pt idx="2029">
                  <c:v>1.3194738899190291E-2</c:v>
                </c:pt>
                <c:pt idx="2030">
                  <c:v>1.4027511296019176E-2</c:v>
                </c:pt>
                <c:pt idx="2031">
                  <c:v>1.3770462700025417E-2</c:v>
                </c:pt>
                <c:pt idx="2032">
                  <c:v>1.3429607498338995E-2</c:v>
                </c:pt>
                <c:pt idx="2033">
                  <c:v>1.0864898757308375E-2</c:v>
                </c:pt>
                <c:pt idx="2034">
                  <c:v>1.5644725188612919E-2</c:v>
                </c:pt>
                <c:pt idx="2035">
                  <c:v>1.148920964723065E-2</c:v>
                </c:pt>
                <c:pt idx="2036">
                  <c:v>1.1572125496125593E-2</c:v>
                </c:pt>
                <c:pt idx="2037">
                  <c:v>1.5167446413524818E-2</c:v>
                </c:pt>
                <c:pt idx="2038">
                  <c:v>1.5298716201155593E-2</c:v>
                </c:pt>
                <c:pt idx="2039">
                  <c:v>1.396711256181948E-2</c:v>
                </c:pt>
                <c:pt idx="2040">
                  <c:v>1.4302584555678087E-2</c:v>
                </c:pt>
                <c:pt idx="2041">
                  <c:v>1.3501322527238957E-2</c:v>
                </c:pt>
                <c:pt idx="2042">
                  <c:v>1.2947521129222744E-2</c:v>
                </c:pt>
                <c:pt idx="2043">
                  <c:v>9.4884400386773139E-3</c:v>
                </c:pt>
                <c:pt idx="2044">
                  <c:v>1.2502492365468238E-2</c:v>
                </c:pt>
                <c:pt idx="2045">
                  <c:v>1.007993661046739E-2</c:v>
                </c:pt>
                <c:pt idx="2046">
                  <c:v>1.0365393041919023E-2</c:v>
                </c:pt>
                <c:pt idx="2047">
                  <c:v>1.3984850690816111E-2</c:v>
                </c:pt>
                <c:pt idx="2048">
                  <c:v>1.2479136611515082E-2</c:v>
                </c:pt>
                <c:pt idx="2049">
                  <c:v>1.5120985748206335E-2</c:v>
                </c:pt>
                <c:pt idx="2050">
                  <c:v>1.2426623554274478E-2</c:v>
                </c:pt>
                <c:pt idx="2051">
                  <c:v>1.0755545310177562E-2</c:v>
                </c:pt>
                <c:pt idx="2052">
                  <c:v>1.2717055932910611E-2</c:v>
                </c:pt>
                <c:pt idx="2053">
                  <c:v>1.1081212417192716E-2</c:v>
                </c:pt>
                <c:pt idx="2054">
                  <c:v>1.0311232922207449E-2</c:v>
                </c:pt>
                <c:pt idx="2055">
                  <c:v>1.4780066221291193E-2</c:v>
                </c:pt>
                <c:pt idx="2056">
                  <c:v>1.3259280766055436E-2</c:v>
                </c:pt>
                <c:pt idx="2057">
                  <c:v>1.0786415683433446E-2</c:v>
                </c:pt>
                <c:pt idx="2058">
                  <c:v>9.2939660600660223E-3</c:v>
                </c:pt>
                <c:pt idx="2059">
                  <c:v>1.3900120420019859E-2</c:v>
                </c:pt>
                <c:pt idx="2060">
                  <c:v>1.4579219008078452E-2</c:v>
                </c:pt>
                <c:pt idx="2061">
                  <c:v>1.1718519282438365E-2</c:v>
                </c:pt>
                <c:pt idx="2062">
                  <c:v>9.7586937938565592E-3</c:v>
                </c:pt>
                <c:pt idx="2063">
                  <c:v>1.0501689351200317E-2</c:v>
                </c:pt>
                <c:pt idx="2064">
                  <c:v>1.3182209850980601E-2</c:v>
                </c:pt>
                <c:pt idx="2065">
                  <c:v>1.4670749734442235E-2</c:v>
                </c:pt>
                <c:pt idx="2066">
                  <c:v>1.1671651481763246E-2</c:v>
                </c:pt>
                <c:pt idx="2067">
                  <c:v>1.4961254683134249E-2</c:v>
                </c:pt>
                <c:pt idx="2068">
                  <c:v>1.3025664141353184E-2</c:v>
                </c:pt>
                <c:pt idx="2069">
                  <c:v>1.1401739475669198E-2</c:v>
                </c:pt>
                <c:pt idx="2070">
                  <c:v>1.4289034563790739E-2</c:v>
                </c:pt>
                <c:pt idx="2071">
                  <c:v>1.7103671905773409E-2</c:v>
                </c:pt>
                <c:pt idx="2072">
                  <c:v>1.4076638263943288E-2</c:v>
                </c:pt>
                <c:pt idx="2073">
                  <c:v>1.3826620564832233E-2</c:v>
                </c:pt>
                <c:pt idx="2074">
                  <c:v>1.3874442384911178E-2</c:v>
                </c:pt>
                <c:pt idx="2075">
                  <c:v>1.1826169977914521E-2</c:v>
                </c:pt>
                <c:pt idx="2076">
                  <c:v>1.6728668547775244E-2</c:v>
                </c:pt>
                <c:pt idx="2077">
                  <c:v>1.0852678159299384E-2</c:v>
                </c:pt>
                <c:pt idx="2078">
                  <c:v>9.8969298569770853E-3</c:v>
                </c:pt>
                <c:pt idx="2079">
                  <c:v>1.4076638263943286E-2</c:v>
                </c:pt>
                <c:pt idx="2080">
                  <c:v>1.2187304984168498E-2</c:v>
                </c:pt>
                <c:pt idx="2081">
                  <c:v>1.0227164694760552E-2</c:v>
                </c:pt>
                <c:pt idx="2082">
                  <c:v>1.3570602348951239E-2</c:v>
                </c:pt>
                <c:pt idx="2083">
                  <c:v>1.0694074461660083E-2</c:v>
                </c:pt>
                <c:pt idx="2084">
                  <c:v>1.446912698500487E-2</c:v>
                </c:pt>
                <c:pt idx="2085">
                  <c:v>1.3056918132044064E-2</c:v>
                </c:pt>
                <c:pt idx="2086">
                  <c:v>9.3586582083277619E-3</c:v>
                </c:pt>
                <c:pt idx="2087">
                  <c:v>1.3250583885097486E-2</c:v>
                </c:pt>
                <c:pt idx="2088">
                  <c:v>1.0410866991623347E-2</c:v>
                </c:pt>
                <c:pt idx="2089">
                  <c:v>1.0226624994773982E-2</c:v>
                </c:pt>
                <c:pt idx="2090">
                  <c:v>1.1148940334963813E-2</c:v>
                </c:pt>
                <c:pt idx="2091">
                  <c:v>1.4159173434704696E-2</c:v>
                </c:pt>
                <c:pt idx="2092">
                  <c:v>1.0609211937929571E-2</c:v>
                </c:pt>
                <c:pt idx="2093">
                  <c:v>1.2804500288582678E-2</c:v>
                </c:pt>
                <c:pt idx="2094">
                  <c:v>1.2976330874770197E-2</c:v>
                </c:pt>
                <c:pt idx="2095">
                  <c:v>1.3521701753187084E-2</c:v>
                </c:pt>
                <c:pt idx="2096">
                  <c:v>1.4111664700453741E-2</c:v>
                </c:pt>
                <c:pt idx="2097">
                  <c:v>1.3964215445300288E-2</c:v>
                </c:pt>
                <c:pt idx="2098">
                  <c:v>1.1324548026741738E-2</c:v>
                </c:pt>
                <c:pt idx="2099">
                  <c:v>1.7103671905773405E-2</c:v>
                </c:pt>
                <c:pt idx="2100">
                  <c:v>1.27148386476381E-2</c:v>
                </c:pt>
                <c:pt idx="2101">
                  <c:v>1.018720414893679E-2</c:v>
                </c:pt>
                <c:pt idx="2102">
                  <c:v>1.045586291939038E-2</c:v>
                </c:pt>
                <c:pt idx="2103">
                  <c:v>1.3429607498338995E-2</c:v>
                </c:pt>
                <c:pt idx="2104">
                  <c:v>1.0589308974980189E-2</c:v>
                </c:pt>
                <c:pt idx="2105">
                  <c:v>1.1571701745567788E-2</c:v>
                </c:pt>
                <c:pt idx="2106">
                  <c:v>1.3900120420019861E-2</c:v>
                </c:pt>
                <c:pt idx="2107">
                  <c:v>1.3492710124228629E-2</c:v>
                </c:pt>
                <c:pt idx="2108">
                  <c:v>1.1004230292705927E-2</c:v>
                </c:pt>
                <c:pt idx="2109">
                  <c:v>1.051366653280935E-2</c:v>
                </c:pt>
                <c:pt idx="2110">
                  <c:v>1.1154226512445008E-2</c:v>
                </c:pt>
                <c:pt idx="2111">
                  <c:v>1.5255066422544934E-2</c:v>
                </c:pt>
                <c:pt idx="2112">
                  <c:v>1.3510978451013404E-2</c:v>
                </c:pt>
                <c:pt idx="2113">
                  <c:v>9.5799798832001404E-3</c:v>
                </c:pt>
                <c:pt idx="2114">
                  <c:v>1.255175683661737E-2</c:v>
                </c:pt>
                <c:pt idx="2115">
                  <c:v>1.2184117549085138E-2</c:v>
                </c:pt>
                <c:pt idx="2116">
                  <c:v>1.1286071671928853E-2</c:v>
                </c:pt>
                <c:pt idx="2117">
                  <c:v>1.5774664080520265E-2</c:v>
                </c:pt>
                <c:pt idx="2118">
                  <c:v>1.2526449391603595E-2</c:v>
                </c:pt>
                <c:pt idx="2119">
                  <c:v>1.3293412707075857E-2</c:v>
                </c:pt>
                <c:pt idx="2120">
                  <c:v>1.0779117330497776E-2</c:v>
                </c:pt>
                <c:pt idx="2121">
                  <c:v>1.279270426078964E-2</c:v>
                </c:pt>
                <c:pt idx="2122">
                  <c:v>1.1363109310323347E-2</c:v>
                </c:pt>
                <c:pt idx="2123">
                  <c:v>1.5528474120001454E-2</c:v>
                </c:pt>
                <c:pt idx="2124">
                  <c:v>1.3840410336459698E-2</c:v>
                </c:pt>
                <c:pt idx="2125">
                  <c:v>9.9601423372020024E-3</c:v>
                </c:pt>
                <c:pt idx="2126">
                  <c:v>9.7155981301437367E-3</c:v>
                </c:pt>
                <c:pt idx="2127">
                  <c:v>1.1859624877726689E-2</c:v>
                </c:pt>
                <c:pt idx="2128">
                  <c:v>1.422980672648998E-2</c:v>
                </c:pt>
                <c:pt idx="2129">
                  <c:v>1.1030350429934188E-2</c:v>
                </c:pt>
                <c:pt idx="2130">
                  <c:v>1.2418371488511373E-2</c:v>
                </c:pt>
                <c:pt idx="2131">
                  <c:v>1.0912978398749273E-2</c:v>
                </c:pt>
                <c:pt idx="2132">
                  <c:v>1.6023001798703872E-2</c:v>
                </c:pt>
                <c:pt idx="2133">
                  <c:v>1.3570602348951239E-2</c:v>
                </c:pt>
                <c:pt idx="2134">
                  <c:v>1.4516805794357721E-2</c:v>
                </c:pt>
                <c:pt idx="2135">
                  <c:v>1.0124346513617766E-2</c:v>
                </c:pt>
                <c:pt idx="2136">
                  <c:v>1.1126261192309094E-2</c:v>
                </c:pt>
                <c:pt idx="2137">
                  <c:v>1.0864898757308374E-2</c:v>
                </c:pt>
                <c:pt idx="2138">
                  <c:v>1.4329717972314342E-2</c:v>
                </c:pt>
                <c:pt idx="2139">
                  <c:v>1.386228907498102E-2</c:v>
                </c:pt>
                <c:pt idx="2140">
                  <c:v>1.3913296519489131E-2</c:v>
                </c:pt>
                <c:pt idx="2141">
                  <c:v>1.3784746290399724E-2</c:v>
                </c:pt>
                <c:pt idx="2142">
                  <c:v>1.2682928115473353E-2</c:v>
                </c:pt>
                <c:pt idx="2143">
                  <c:v>1.1766506833316757E-2</c:v>
                </c:pt>
                <c:pt idx="2144">
                  <c:v>1.0074982223260288E-2</c:v>
                </c:pt>
                <c:pt idx="2145">
                  <c:v>1.6100360939876667E-2</c:v>
                </c:pt>
                <c:pt idx="2146">
                  <c:v>1.2034265731843885E-2</c:v>
                </c:pt>
                <c:pt idx="2147">
                  <c:v>1.3811215636459413E-2</c:v>
                </c:pt>
                <c:pt idx="2148">
                  <c:v>1.0031491481697635E-2</c:v>
                </c:pt>
                <c:pt idx="2149">
                  <c:v>1.0392937603379624E-2</c:v>
                </c:pt>
                <c:pt idx="2150">
                  <c:v>9.8334059489317057E-3</c:v>
                </c:pt>
                <c:pt idx="2151">
                  <c:v>1.2808183960481218E-2</c:v>
                </c:pt>
                <c:pt idx="2152">
                  <c:v>1.1020495488525017E-2</c:v>
                </c:pt>
                <c:pt idx="2153">
                  <c:v>1.0737484730818526E-2</c:v>
                </c:pt>
                <c:pt idx="2154">
                  <c:v>1.1730447987458138E-2</c:v>
                </c:pt>
                <c:pt idx="2155">
                  <c:v>1.1004230292705927E-2</c:v>
                </c:pt>
                <c:pt idx="2156">
                  <c:v>1.349365162936114E-2</c:v>
                </c:pt>
                <c:pt idx="2157">
                  <c:v>1.2275056160251751E-2</c:v>
                </c:pt>
                <c:pt idx="2158">
                  <c:v>1.697797094601055E-2</c:v>
                </c:pt>
                <c:pt idx="2159">
                  <c:v>1.6118413230157853E-2</c:v>
                </c:pt>
                <c:pt idx="2160">
                  <c:v>1.1429473454397758E-2</c:v>
                </c:pt>
                <c:pt idx="2161">
                  <c:v>1.2161274978144907E-2</c:v>
                </c:pt>
                <c:pt idx="2162">
                  <c:v>9.7922382850035954E-3</c:v>
                </c:pt>
                <c:pt idx="2163">
                  <c:v>1.0267488646913093E-2</c:v>
                </c:pt>
                <c:pt idx="2164">
                  <c:v>9.6618380921751085E-3</c:v>
                </c:pt>
                <c:pt idx="2165">
                  <c:v>1.7103671905773405E-2</c:v>
                </c:pt>
                <c:pt idx="2166">
                  <c:v>1.4749960029107697E-2</c:v>
                </c:pt>
                <c:pt idx="2167">
                  <c:v>1.3525196168835034E-2</c:v>
                </c:pt>
                <c:pt idx="2168">
                  <c:v>9.5663214340211758E-3</c:v>
                </c:pt>
                <c:pt idx="2169">
                  <c:v>9.7958402726293289E-3</c:v>
                </c:pt>
                <c:pt idx="2170">
                  <c:v>1.2877259406238479E-2</c:v>
                </c:pt>
                <c:pt idx="2171">
                  <c:v>9.7394437849265582E-3</c:v>
                </c:pt>
                <c:pt idx="2172">
                  <c:v>1.1905216375172735E-2</c:v>
                </c:pt>
                <c:pt idx="2173">
                  <c:v>9.6223646147815013E-3</c:v>
                </c:pt>
                <c:pt idx="2174">
                  <c:v>9.608987485392512E-3</c:v>
                </c:pt>
                <c:pt idx="2175">
                  <c:v>1.1863708145930605E-2</c:v>
                </c:pt>
                <c:pt idx="2176">
                  <c:v>1.2418371488511373E-2</c:v>
                </c:pt>
                <c:pt idx="2177">
                  <c:v>1.084063784495717E-2</c:v>
                </c:pt>
                <c:pt idx="2178">
                  <c:v>1.7103671905773405E-2</c:v>
                </c:pt>
                <c:pt idx="2179">
                  <c:v>1.1078226110210934E-2</c:v>
                </c:pt>
                <c:pt idx="2180">
                  <c:v>1.3200339630829068E-2</c:v>
                </c:pt>
                <c:pt idx="2181">
                  <c:v>1.1732238806170107E-2</c:v>
                </c:pt>
                <c:pt idx="2182">
                  <c:v>1.0379223682767946E-2</c:v>
                </c:pt>
                <c:pt idx="2183">
                  <c:v>1.2545157697099048E-2</c:v>
                </c:pt>
                <c:pt idx="2184">
                  <c:v>1.3656939195353462E-2</c:v>
                </c:pt>
                <c:pt idx="2185">
                  <c:v>1.0858593828743398E-2</c:v>
                </c:pt>
                <c:pt idx="2186">
                  <c:v>1.3299565419438806E-2</c:v>
                </c:pt>
                <c:pt idx="2187">
                  <c:v>1.2956551174077428E-2</c:v>
                </c:pt>
                <c:pt idx="2188">
                  <c:v>1.4319271568267724E-2</c:v>
                </c:pt>
                <c:pt idx="2189">
                  <c:v>1.4717497841985415E-2</c:v>
                </c:pt>
                <c:pt idx="2190">
                  <c:v>1.1719600580907154E-2</c:v>
                </c:pt>
                <c:pt idx="2191">
                  <c:v>9.7780238302219193E-3</c:v>
                </c:pt>
                <c:pt idx="2192">
                  <c:v>1.7319952818756659E-2</c:v>
                </c:pt>
                <c:pt idx="2193">
                  <c:v>1.5298716201155594E-2</c:v>
                </c:pt>
                <c:pt idx="2194">
                  <c:v>1.4148879873072288E-2</c:v>
                </c:pt>
                <c:pt idx="2195">
                  <c:v>1.3651225834269712E-2</c:v>
                </c:pt>
                <c:pt idx="2196">
                  <c:v>1.3043650475989517E-2</c:v>
                </c:pt>
                <c:pt idx="2197">
                  <c:v>1.0546001567947496E-2</c:v>
                </c:pt>
                <c:pt idx="2198">
                  <c:v>1.1612086704872638E-2</c:v>
                </c:pt>
                <c:pt idx="2199">
                  <c:v>1.039134687011423E-2</c:v>
                </c:pt>
                <c:pt idx="2200">
                  <c:v>1.472335671566647E-2</c:v>
                </c:pt>
                <c:pt idx="2201">
                  <c:v>1.1612990586536162E-2</c:v>
                </c:pt>
                <c:pt idx="2202">
                  <c:v>1.0111038660449708E-2</c:v>
                </c:pt>
                <c:pt idx="2203">
                  <c:v>9.5795363962064995E-3</c:v>
                </c:pt>
                <c:pt idx="2204">
                  <c:v>1.2067284507675202E-2</c:v>
                </c:pt>
                <c:pt idx="2205">
                  <c:v>1.3339230760895628E-2</c:v>
                </c:pt>
                <c:pt idx="2206">
                  <c:v>9.6089874853925138E-3</c:v>
                </c:pt>
                <c:pt idx="2207">
                  <c:v>1.5844538952984325E-2</c:v>
                </c:pt>
                <c:pt idx="2208">
                  <c:v>9.588121303623345E-3</c:v>
                </c:pt>
                <c:pt idx="2209">
                  <c:v>9.5980502546850321E-3</c:v>
                </c:pt>
                <c:pt idx="2210">
                  <c:v>1.0112915214688326E-2</c:v>
                </c:pt>
                <c:pt idx="2211">
                  <c:v>1.3619903290550236E-2</c:v>
                </c:pt>
                <c:pt idx="2212">
                  <c:v>1.052146977832474E-2</c:v>
                </c:pt>
                <c:pt idx="2213">
                  <c:v>1.02758525951304E-2</c:v>
                </c:pt>
                <c:pt idx="2214">
                  <c:v>1.6100360939876667E-2</c:v>
                </c:pt>
                <c:pt idx="2215">
                  <c:v>1.6259373975126574E-2</c:v>
                </c:pt>
                <c:pt idx="2216">
                  <c:v>1.3481829792556259E-2</c:v>
                </c:pt>
                <c:pt idx="2217">
                  <c:v>1.1928806710928903E-2</c:v>
                </c:pt>
                <c:pt idx="2218">
                  <c:v>1.2253662841769203E-2</c:v>
                </c:pt>
                <c:pt idx="2219">
                  <c:v>8.065786899942173E-3</c:v>
                </c:pt>
                <c:pt idx="2220">
                  <c:v>1.372847170323371E-2</c:v>
                </c:pt>
                <c:pt idx="2221">
                  <c:v>1.0502583005742475E-2</c:v>
                </c:pt>
                <c:pt idx="2222">
                  <c:v>1.0982072966765875E-2</c:v>
                </c:pt>
                <c:pt idx="2223">
                  <c:v>1.5259975320533931E-2</c:v>
                </c:pt>
                <c:pt idx="2224">
                  <c:v>1.2298655881437654E-2</c:v>
                </c:pt>
                <c:pt idx="2225">
                  <c:v>1.039134687011423E-2</c:v>
                </c:pt>
                <c:pt idx="2226">
                  <c:v>1.0057455252710108E-2</c:v>
                </c:pt>
                <c:pt idx="2227">
                  <c:v>1.0489852780820355E-2</c:v>
                </c:pt>
                <c:pt idx="2228">
                  <c:v>1.1451529275837563E-2</c:v>
                </c:pt>
                <c:pt idx="2229">
                  <c:v>9.9927369620703664E-3</c:v>
                </c:pt>
                <c:pt idx="2230">
                  <c:v>1.3485989866464937E-2</c:v>
                </c:pt>
                <c:pt idx="2231">
                  <c:v>9.5662104058997343E-3</c:v>
                </c:pt>
                <c:pt idx="2232">
                  <c:v>1.5600212068608784E-2</c:v>
                </c:pt>
                <c:pt idx="2233">
                  <c:v>9.7170192067497843E-3</c:v>
                </c:pt>
                <c:pt idx="2234">
                  <c:v>1.3240656084121526E-2</c:v>
                </c:pt>
                <c:pt idx="2235">
                  <c:v>9.7770456478138545E-3</c:v>
                </c:pt>
                <c:pt idx="2236">
                  <c:v>1.5998727079513643E-2</c:v>
                </c:pt>
                <c:pt idx="2237">
                  <c:v>9.6223646147815031E-3</c:v>
                </c:pt>
                <c:pt idx="2238">
                  <c:v>1.2807017532517239E-2</c:v>
                </c:pt>
                <c:pt idx="2239">
                  <c:v>1.0725350755565655E-2</c:v>
                </c:pt>
                <c:pt idx="2240">
                  <c:v>9.8839769893505937E-3</c:v>
                </c:pt>
                <c:pt idx="2241">
                  <c:v>1.3621378205520342E-2</c:v>
                </c:pt>
                <c:pt idx="2242">
                  <c:v>1.4048102074228694E-2</c:v>
                </c:pt>
                <c:pt idx="2243">
                  <c:v>1.0211567450277403E-2</c:v>
                </c:pt>
                <c:pt idx="2244">
                  <c:v>1.6360203031018032E-2</c:v>
                </c:pt>
                <c:pt idx="2245">
                  <c:v>1.0199118291272596E-2</c:v>
                </c:pt>
                <c:pt idx="2246">
                  <c:v>1.1126261192309094E-2</c:v>
                </c:pt>
                <c:pt idx="2247">
                  <c:v>1.0849346626157526E-2</c:v>
                </c:pt>
                <c:pt idx="2248">
                  <c:v>1.0253572581984368E-2</c:v>
                </c:pt>
                <c:pt idx="2249">
                  <c:v>1.0740485990422446E-2</c:v>
                </c:pt>
                <c:pt idx="2250">
                  <c:v>1.4637253852239254E-2</c:v>
                </c:pt>
                <c:pt idx="2251">
                  <c:v>1.0649514419269838E-2</c:v>
                </c:pt>
                <c:pt idx="2252">
                  <c:v>1.6001961399278085E-2</c:v>
                </c:pt>
                <c:pt idx="2253">
                  <c:v>1.0044882921374444E-2</c:v>
                </c:pt>
                <c:pt idx="2254">
                  <c:v>1.320033963082907E-2</c:v>
                </c:pt>
                <c:pt idx="2255">
                  <c:v>1.4651822233877232E-2</c:v>
                </c:pt>
                <c:pt idx="2256">
                  <c:v>1.4015612023787392E-2</c:v>
                </c:pt>
                <c:pt idx="2257">
                  <c:v>1.5757614238489259E-2</c:v>
                </c:pt>
                <c:pt idx="2258">
                  <c:v>1.1244101630738343E-2</c:v>
                </c:pt>
                <c:pt idx="2259">
                  <c:v>1.3920174483762864E-2</c:v>
                </c:pt>
                <c:pt idx="2260">
                  <c:v>1.3958733968459012E-2</c:v>
                </c:pt>
                <c:pt idx="2261">
                  <c:v>1.395575332880573E-2</c:v>
                </c:pt>
                <c:pt idx="2262">
                  <c:v>1.7212436750593748E-2</c:v>
                </c:pt>
                <c:pt idx="2263">
                  <c:v>1.2071617542513473E-2</c:v>
                </c:pt>
                <c:pt idx="2264">
                  <c:v>1.339389290226113E-2</c:v>
                </c:pt>
                <c:pt idx="2265">
                  <c:v>1.4430436359523981E-2</c:v>
                </c:pt>
                <c:pt idx="2266">
                  <c:v>1.0226624994773982E-2</c:v>
                </c:pt>
                <c:pt idx="2267">
                  <c:v>1.3857643765036315E-2</c:v>
                </c:pt>
                <c:pt idx="2268">
                  <c:v>1.3147947168640168E-2</c:v>
                </c:pt>
                <c:pt idx="2269">
                  <c:v>1.1579199744869626E-2</c:v>
                </c:pt>
                <c:pt idx="2270">
                  <c:v>9.5799798832001421E-3</c:v>
                </c:pt>
                <c:pt idx="2271">
                  <c:v>1.4548701404477725E-2</c:v>
                </c:pt>
                <c:pt idx="2272">
                  <c:v>1.4148879873072288E-2</c:v>
                </c:pt>
                <c:pt idx="2273">
                  <c:v>9.6947853400666199E-3</c:v>
                </c:pt>
                <c:pt idx="2274">
                  <c:v>1.1805398178212714E-2</c:v>
                </c:pt>
                <c:pt idx="2275">
                  <c:v>9.6947853400666199E-3</c:v>
                </c:pt>
                <c:pt idx="2276">
                  <c:v>9.717019206749786E-3</c:v>
                </c:pt>
                <c:pt idx="2277">
                  <c:v>1.8928536094734424E-2</c:v>
                </c:pt>
                <c:pt idx="2278">
                  <c:v>1.5049141803377429E-2</c:v>
                </c:pt>
                <c:pt idx="2279">
                  <c:v>1.5043829103151952E-2</c:v>
                </c:pt>
                <c:pt idx="2280">
                  <c:v>1.474131942893179E-2</c:v>
                </c:pt>
                <c:pt idx="2281">
                  <c:v>1.0909084634781437E-2</c:v>
                </c:pt>
                <c:pt idx="2282">
                  <c:v>1.320033963082907E-2</c:v>
                </c:pt>
                <c:pt idx="2283">
                  <c:v>8.540503964919793E-3</c:v>
                </c:pt>
                <c:pt idx="2284">
                  <c:v>1.2619275008995021E-2</c:v>
                </c:pt>
                <c:pt idx="2285">
                  <c:v>9.858841158288013E-3</c:v>
                </c:pt>
                <c:pt idx="2286">
                  <c:v>1.0331056360141123E-2</c:v>
                </c:pt>
                <c:pt idx="2287">
                  <c:v>1.0054144903339482E-2</c:v>
                </c:pt>
                <c:pt idx="2288">
                  <c:v>1.0444953040813672E-2</c:v>
                </c:pt>
                <c:pt idx="2289">
                  <c:v>1.2105905668207359E-2</c:v>
                </c:pt>
                <c:pt idx="2290">
                  <c:v>1.0977548684537796E-2</c:v>
                </c:pt>
                <c:pt idx="2291">
                  <c:v>9.9090188335902961E-3</c:v>
                </c:pt>
                <c:pt idx="2292">
                  <c:v>1.0507202556790394E-2</c:v>
                </c:pt>
                <c:pt idx="2293">
                  <c:v>1.2711061811732781E-2</c:v>
                </c:pt>
                <c:pt idx="2294">
                  <c:v>1.0476620356201099E-2</c:v>
                </c:pt>
                <c:pt idx="2295">
                  <c:v>1.4168542622972173E-2</c:v>
                </c:pt>
                <c:pt idx="2296">
                  <c:v>1.2068147811239242E-2</c:v>
                </c:pt>
                <c:pt idx="2297">
                  <c:v>1.0555248049966059E-2</c:v>
                </c:pt>
                <c:pt idx="2298">
                  <c:v>1.0584480732840736E-2</c:v>
                </c:pt>
                <c:pt idx="2299">
                  <c:v>1.1422363775271905E-2</c:v>
                </c:pt>
                <c:pt idx="2300">
                  <c:v>1.5761864063279733E-2</c:v>
                </c:pt>
                <c:pt idx="2301">
                  <c:v>1.4013216223519356E-2</c:v>
                </c:pt>
                <c:pt idx="2302">
                  <c:v>1.2479136611515082E-2</c:v>
                </c:pt>
                <c:pt idx="2303">
                  <c:v>1.1398615152969197E-2</c:v>
                </c:pt>
                <c:pt idx="2304">
                  <c:v>1.5998727079513643E-2</c:v>
                </c:pt>
                <c:pt idx="2305">
                  <c:v>1.3905988543486663E-2</c:v>
                </c:pt>
                <c:pt idx="2306">
                  <c:v>1.5879871097141299E-2</c:v>
                </c:pt>
                <c:pt idx="2307">
                  <c:v>1.0342325803158048E-2</c:v>
                </c:pt>
                <c:pt idx="2308">
                  <c:v>9.7155981301437367E-3</c:v>
                </c:pt>
                <c:pt idx="2309">
                  <c:v>1.3570602348951239E-2</c:v>
                </c:pt>
                <c:pt idx="2310">
                  <c:v>1.3475117798662246E-2</c:v>
                </c:pt>
                <c:pt idx="2311">
                  <c:v>1.441711545283081E-2</c:v>
                </c:pt>
                <c:pt idx="2312">
                  <c:v>1.2108729476825474E-2</c:v>
                </c:pt>
                <c:pt idx="2313">
                  <c:v>9.3065685947860081E-3</c:v>
                </c:pt>
                <c:pt idx="2314">
                  <c:v>1.3824281704775376E-2</c:v>
                </c:pt>
                <c:pt idx="2315">
                  <c:v>1.020195687555365E-2</c:v>
                </c:pt>
                <c:pt idx="2316">
                  <c:v>1.1970001500584901E-2</c:v>
                </c:pt>
                <c:pt idx="2317">
                  <c:v>1.5761864063279733E-2</c:v>
                </c:pt>
                <c:pt idx="2318">
                  <c:v>1.2712651553740751E-2</c:v>
                </c:pt>
                <c:pt idx="2319">
                  <c:v>1.2968557061063663E-2</c:v>
                </c:pt>
                <c:pt idx="2320">
                  <c:v>1.5344006605141125E-2</c:v>
                </c:pt>
                <c:pt idx="2321">
                  <c:v>9.6934705756580048E-3</c:v>
                </c:pt>
                <c:pt idx="2322">
                  <c:v>1.1214886936722263E-2</c:v>
                </c:pt>
                <c:pt idx="2323">
                  <c:v>1.5712515718385011E-2</c:v>
                </c:pt>
                <c:pt idx="2324">
                  <c:v>1.2071580208830594E-2</c:v>
                </c:pt>
                <c:pt idx="2325">
                  <c:v>1.6301847562708853E-2</c:v>
                </c:pt>
                <c:pt idx="2326">
                  <c:v>1.4265946702981518E-2</c:v>
                </c:pt>
                <c:pt idx="2327">
                  <c:v>1.0500565917555851E-2</c:v>
                </c:pt>
                <c:pt idx="2328">
                  <c:v>1.4688522082506449E-2</c:v>
                </c:pt>
                <c:pt idx="2329">
                  <c:v>1.798915162531552E-2</c:v>
                </c:pt>
                <c:pt idx="2330">
                  <c:v>1.1488893362622824E-2</c:v>
                </c:pt>
                <c:pt idx="2331">
                  <c:v>1.0220621362782867E-2</c:v>
                </c:pt>
                <c:pt idx="2332">
                  <c:v>1.5255066422544934E-2</c:v>
                </c:pt>
                <c:pt idx="2333">
                  <c:v>1.0196705760860779E-2</c:v>
                </c:pt>
                <c:pt idx="2334">
                  <c:v>1.4006666312249947E-2</c:v>
                </c:pt>
                <c:pt idx="2335">
                  <c:v>1.0912978398749273E-2</c:v>
                </c:pt>
                <c:pt idx="2336">
                  <c:v>1.1004230292705927E-2</c:v>
                </c:pt>
                <c:pt idx="2337">
                  <c:v>9.281192807567111E-3</c:v>
                </c:pt>
                <c:pt idx="2338">
                  <c:v>1.1102743687968868E-2</c:v>
                </c:pt>
                <c:pt idx="2339">
                  <c:v>1.1914588792090822E-2</c:v>
                </c:pt>
                <c:pt idx="2340">
                  <c:v>1.0712848267462575E-2</c:v>
                </c:pt>
                <c:pt idx="2341">
                  <c:v>9.8536848161496909E-3</c:v>
                </c:pt>
                <c:pt idx="2342">
                  <c:v>9.8860185038424538E-3</c:v>
                </c:pt>
                <c:pt idx="2343">
                  <c:v>1.8132536690980538E-2</c:v>
                </c:pt>
                <c:pt idx="2344">
                  <c:v>1.4807664375462442E-2</c:v>
                </c:pt>
                <c:pt idx="2345">
                  <c:v>9.8898306209774696E-3</c:v>
                </c:pt>
                <c:pt idx="2346">
                  <c:v>1.073791125316164E-2</c:v>
                </c:pt>
                <c:pt idx="2347">
                  <c:v>1.6360203031018032E-2</c:v>
                </c:pt>
                <c:pt idx="2348">
                  <c:v>1.3817706763828257E-2</c:v>
                </c:pt>
                <c:pt idx="2349">
                  <c:v>1.0503447111689088E-2</c:v>
                </c:pt>
                <c:pt idx="2350">
                  <c:v>1.4469126985004868E-2</c:v>
                </c:pt>
                <c:pt idx="2351">
                  <c:v>1.100981778965179E-2</c:v>
                </c:pt>
                <c:pt idx="2352">
                  <c:v>1.0376190289103924E-2</c:v>
                </c:pt>
                <c:pt idx="2353">
                  <c:v>1.6001662566933018E-2</c:v>
                </c:pt>
                <c:pt idx="2354">
                  <c:v>9.9158357900278205E-3</c:v>
                </c:pt>
                <c:pt idx="2355">
                  <c:v>1.1369993683639858E-2</c:v>
                </c:pt>
                <c:pt idx="2356">
                  <c:v>1.4367156485985239E-2</c:v>
                </c:pt>
                <c:pt idx="2357">
                  <c:v>1.7871638832514841E-2</c:v>
                </c:pt>
                <c:pt idx="2358">
                  <c:v>1.3612880609491219E-2</c:v>
                </c:pt>
                <c:pt idx="2359">
                  <c:v>1.8928536094734424E-2</c:v>
                </c:pt>
                <c:pt idx="2360">
                  <c:v>1.060425586229344E-2</c:v>
                </c:pt>
                <c:pt idx="2361">
                  <c:v>1.2530721152727511E-2</c:v>
                </c:pt>
                <c:pt idx="2362">
                  <c:v>1.4123718142303425E-2</c:v>
                </c:pt>
                <c:pt idx="2363">
                  <c:v>1.1287998316155281E-2</c:v>
                </c:pt>
                <c:pt idx="2364">
                  <c:v>1.446912698500487E-2</c:v>
                </c:pt>
                <c:pt idx="2365">
                  <c:v>1.4267112810062082E-2</c:v>
                </c:pt>
                <c:pt idx="2366">
                  <c:v>9.2627884578536934E-3</c:v>
                </c:pt>
                <c:pt idx="2367">
                  <c:v>9.3821978072528983E-3</c:v>
                </c:pt>
                <c:pt idx="2368">
                  <c:v>1.4705500628470931E-2</c:v>
                </c:pt>
                <c:pt idx="2369">
                  <c:v>1.0201929652973661E-2</c:v>
                </c:pt>
                <c:pt idx="2370">
                  <c:v>1.1579199744869626E-2</c:v>
                </c:pt>
                <c:pt idx="2371">
                  <c:v>1.107899643424921E-2</c:v>
                </c:pt>
                <c:pt idx="2372">
                  <c:v>1.1247768536987354E-2</c:v>
                </c:pt>
                <c:pt idx="2373">
                  <c:v>1.2086426985467219E-2</c:v>
                </c:pt>
                <c:pt idx="2374">
                  <c:v>1.3253436773710979E-2</c:v>
                </c:pt>
                <c:pt idx="2375">
                  <c:v>1.2727914869352489E-2</c:v>
                </c:pt>
                <c:pt idx="2376">
                  <c:v>1.258382032641641E-2</c:v>
                </c:pt>
                <c:pt idx="2377">
                  <c:v>9.3803609921091595E-3</c:v>
                </c:pt>
                <c:pt idx="2378">
                  <c:v>1.4148879873072288E-2</c:v>
                </c:pt>
                <c:pt idx="2379">
                  <c:v>1.3183505771747737E-2</c:v>
                </c:pt>
                <c:pt idx="2380">
                  <c:v>9.4508110421944094E-3</c:v>
                </c:pt>
                <c:pt idx="2381">
                  <c:v>1.3882356534975663E-2</c:v>
                </c:pt>
                <c:pt idx="2382">
                  <c:v>1.4579219008078452E-2</c:v>
                </c:pt>
                <c:pt idx="2383">
                  <c:v>1.0656930623754711E-2</c:v>
                </c:pt>
                <c:pt idx="2384">
                  <c:v>1.4961254683134249E-2</c:v>
                </c:pt>
                <c:pt idx="2385">
                  <c:v>1.390452838941523E-2</c:v>
                </c:pt>
                <c:pt idx="2386">
                  <c:v>9.73533600225851E-3</c:v>
                </c:pt>
                <c:pt idx="2387">
                  <c:v>1.4749960029107695E-2</c:v>
                </c:pt>
                <c:pt idx="2388">
                  <c:v>1.1155032780301371E-2</c:v>
                </c:pt>
                <c:pt idx="2389">
                  <c:v>1.396711256181948E-2</c:v>
                </c:pt>
                <c:pt idx="2390">
                  <c:v>1.1126261192309094E-2</c:v>
                </c:pt>
                <c:pt idx="2391">
                  <c:v>1.1401739475669198E-2</c:v>
                </c:pt>
                <c:pt idx="2392">
                  <c:v>1.6611768868410374E-2</c:v>
                </c:pt>
                <c:pt idx="2393">
                  <c:v>1.3501322527238957E-2</c:v>
                </c:pt>
                <c:pt idx="2394">
                  <c:v>1.3102028074088135E-2</c:v>
                </c:pt>
                <c:pt idx="2395">
                  <c:v>1.0609343074313528E-2</c:v>
                </c:pt>
                <c:pt idx="2396">
                  <c:v>1.384281010373742E-2</c:v>
                </c:pt>
                <c:pt idx="2397">
                  <c:v>1.1671651481763246E-2</c:v>
                </c:pt>
                <c:pt idx="2398">
                  <c:v>1.6207445807770234E-2</c:v>
                </c:pt>
                <c:pt idx="2399">
                  <c:v>1.7357097322569404E-2</c:v>
                </c:pt>
                <c:pt idx="2400">
                  <c:v>1.3882356534975663E-2</c:v>
                </c:pt>
                <c:pt idx="2401">
                  <c:v>9.6730729121530835E-3</c:v>
                </c:pt>
                <c:pt idx="2402">
                  <c:v>1.4076638263943286E-2</c:v>
                </c:pt>
                <c:pt idx="2403">
                  <c:v>1.0258850148799391E-2</c:v>
                </c:pt>
                <c:pt idx="2404">
                  <c:v>1.0444953040813672E-2</c:v>
                </c:pt>
                <c:pt idx="2405">
                  <c:v>1.0912978398749273E-2</c:v>
                </c:pt>
                <c:pt idx="2406">
                  <c:v>1.0622417067170096E-2</c:v>
                </c:pt>
                <c:pt idx="2407">
                  <c:v>9.3126479968672956E-3</c:v>
                </c:pt>
                <c:pt idx="2408">
                  <c:v>1.0729928702979804E-2</c:v>
                </c:pt>
                <c:pt idx="2409">
                  <c:v>1.1556210822378815E-2</c:v>
                </c:pt>
                <c:pt idx="2410">
                  <c:v>1.4293254517721555E-2</c:v>
                </c:pt>
                <c:pt idx="2411">
                  <c:v>1.4850768084664567E-2</c:v>
                </c:pt>
                <c:pt idx="2412">
                  <c:v>1.5998727079513646E-2</c:v>
                </c:pt>
                <c:pt idx="2413">
                  <c:v>1.3530030108669471E-2</c:v>
                </c:pt>
                <c:pt idx="2414">
                  <c:v>1.4629353581355038E-2</c:v>
                </c:pt>
                <c:pt idx="2415">
                  <c:v>9.968657470737663E-3</c:v>
                </c:pt>
                <c:pt idx="2416">
                  <c:v>9.2989298434311488E-3</c:v>
                </c:pt>
                <c:pt idx="2417">
                  <c:v>1.3822732602834389E-2</c:v>
                </c:pt>
                <c:pt idx="2418">
                  <c:v>1.3662889720974567E-2</c:v>
                </c:pt>
                <c:pt idx="2419">
                  <c:v>1.3822732602834386E-2</c:v>
                </c:pt>
                <c:pt idx="2420">
                  <c:v>1.3388915534961418E-2</c:v>
                </c:pt>
                <c:pt idx="2421">
                  <c:v>1.2285065207425365E-2</c:v>
                </c:pt>
                <c:pt idx="2422">
                  <c:v>1.5344006605141125E-2</c:v>
                </c:pt>
                <c:pt idx="2423">
                  <c:v>1.0081385286938228E-2</c:v>
                </c:pt>
                <c:pt idx="2424">
                  <c:v>9.4643963122513809E-3</c:v>
                </c:pt>
                <c:pt idx="2425">
                  <c:v>1.4367156485985239E-2</c:v>
                </c:pt>
                <c:pt idx="2426">
                  <c:v>1.0937632444288031E-2</c:v>
                </c:pt>
                <c:pt idx="2427">
                  <c:v>1.8132536690980538E-2</c:v>
                </c:pt>
                <c:pt idx="2428">
                  <c:v>1.8528130402520309E-2</c:v>
                </c:pt>
                <c:pt idx="2429">
                  <c:v>1.393487870060163E-2</c:v>
                </c:pt>
                <c:pt idx="2430">
                  <c:v>1.2542076480767978E-2</c:v>
                </c:pt>
                <c:pt idx="2431">
                  <c:v>1.2580023617299657E-2</c:v>
                </c:pt>
                <c:pt idx="2432">
                  <c:v>1.4008711437082941E-2</c:v>
                </c:pt>
                <c:pt idx="2433">
                  <c:v>1.3261565933931428E-2</c:v>
                </c:pt>
                <c:pt idx="2434">
                  <c:v>1.2977494831131907E-2</c:v>
                </c:pt>
                <c:pt idx="2435">
                  <c:v>1.8395715759419593E-2</c:v>
                </c:pt>
                <c:pt idx="2436">
                  <c:v>1.3310222834203609E-2</c:v>
                </c:pt>
                <c:pt idx="2437">
                  <c:v>1.4331328245721685E-2</c:v>
                </c:pt>
                <c:pt idx="2438">
                  <c:v>1.1078226110210934E-2</c:v>
                </c:pt>
                <c:pt idx="2439">
                  <c:v>1.0946377624686272E-2</c:v>
                </c:pt>
                <c:pt idx="2440">
                  <c:v>1.0081838169449964E-2</c:v>
                </c:pt>
                <c:pt idx="2441">
                  <c:v>1.2006696559515199E-2</c:v>
                </c:pt>
                <c:pt idx="2442">
                  <c:v>1.3076966787683192E-2</c:v>
                </c:pt>
                <c:pt idx="2443">
                  <c:v>9.4025070697224804E-3</c:v>
                </c:pt>
                <c:pt idx="2444">
                  <c:v>1.5072756399316824E-2</c:v>
                </c:pt>
                <c:pt idx="2445">
                  <c:v>1.5303357528099196E-2</c:v>
                </c:pt>
                <c:pt idx="2446">
                  <c:v>1.1377346603453225E-2</c:v>
                </c:pt>
                <c:pt idx="2447">
                  <c:v>9.6375102621556533E-3</c:v>
                </c:pt>
                <c:pt idx="2448">
                  <c:v>1.1490811259078616E-2</c:v>
                </c:pt>
                <c:pt idx="2449">
                  <c:v>1.4276901268105184E-2</c:v>
                </c:pt>
                <c:pt idx="2450">
                  <c:v>9.492338848731581E-3</c:v>
                </c:pt>
                <c:pt idx="2451">
                  <c:v>1.4637253852239256E-2</c:v>
                </c:pt>
                <c:pt idx="2452">
                  <c:v>1.4702540258630888E-2</c:v>
                </c:pt>
                <c:pt idx="2453">
                  <c:v>1.8395715759419593E-2</c:v>
                </c:pt>
                <c:pt idx="2454">
                  <c:v>1.3186728509027308E-2</c:v>
                </c:pt>
                <c:pt idx="2455">
                  <c:v>1.0520100903489368E-2</c:v>
                </c:pt>
                <c:pt idx="2456">
                  <c:v>9.5662104058997343E-3</c:v>
                </c:pt>
                <c:pt idx="2457">
                  <c:v>1.1654316640715178E-2</c:v>
                </c:pt>
                <c:pt idx="2458">
                  <c:v>1.4830630810695749E-2</c:v>
                </c:pt>
                <c:pt idx="2459">
                  <c:v>1.27438321674989E-2</c:v>
                </c:pt>
                <c:pt idx="2460">
                  <c:v>1.3826620564832233E-2</c:v>
                </c:pt>
                <c:pt idx="2461">
                  <c:v>1.3849894403893379E-2</c:v>
                </c:pt>
                <c:pt idx="2462">
                  <c:v>1.5525756402284051E-2</c:v>
                </c:pt>
                <c:pt idx="2463">
                  <c:v>1.2729269205409699E-2</c:v>
                </c:pt>
                <c:pt idx="2464">
                  <c:v>1.0785346482839398E-2</c:v>
                </c:pt>
                <c:pt idx="2465">
                  <c:v>9.9894402387009865E-3</c:v>
                </c:pt>
                <c:pt idx="2466">
                  <c:v>1.5712515718385011E-2</c:v>
                </c:pt>
                <c:pt idx="2467">
                  <c:v>1.1243555625401903E-2</c:v>
                </c:pt>
                <c:pt idx="2468">
                  <c:v>1.0602495561197555E-2</c:v>
                </c:pt>
                <c:pt idx="2469">
                  <c:v>1.4368030558458979E-2</c:v>
                </c:pt>
                <c:pt idx="2470">
                  <c:v>1.0377555350026029E-2</c:v>
                </c:pt>
                <c:pt idx="2471">
                  <c:v>1.6852964635850839E-2</c:v>
                </c:pt>
                <c:pt idx="2472">
                  <c:v>1.0597061084906611E-2</c:v>
                </c:pt>
                <c:pt idx="2473">
                  <c:v>1.329821212832802E-2</c:v>
                </c:pt>
                <c:pt idx="2474">
                  <c:v>1.1406154864287345E-2</c:v>
                </c:pt>
                <c:pt idx="2475">
                  <c:v>1.4437932783201683E-2</c:v>
                </c:pt>
                <c:pt idx="2476">
                  <c:v>1.8528130402520309E-2</c:v>
                </c:pt>
                <c:pt idx="2477">
                  <c:v>1.280950118159367E-2</c:v>
                </c:pt>
                <c:pt idx="2478">
                  <c:v>1.3053192888412812E-2</c:v>
                </c:pt>
                <c:pt idx="2479">
                  <c:v>1.5413130945862857E-2</c:v>
                </c:pt>
                <c:pt idx="2480">
                  <c:v>1.3372134718446595E-2</c:v>
                </c:pt>
                <c:pt idx="2481">
                  <c:v>1.2837505339332395E-2</c:v>
                </c:pt>
                <c:pt idx="2482">
                  <c:v>1.0909084634781437E-2</c:v>
                </c:pt>
                <c:pt idx="2483">
                  <c:v>1.3184430635172514E-2</c:v>
                </c:pt>
                <c:pt idx="2484">
                  <c:v>9.5246772009719219E-3</c:v>
                </c:pt>
                <c:pt idx="2485">
                  <c:v>1.3842888435093081E-2</c:v>
                </c:pt>
                <c:pt idx="2486">
                  <c:v>1.3485857369708526E-2</c:v>
                </c:pt>
                <c:pt idx="2487">
                  <c:v>1.3842888435093079E-2</c:v>
                </c:pt>
                <c:pt idx="2488">
                  <c:v>1.102296697914755E-2</c:v>
                </c:pt>
                <c:pt idx="2489">
                  <c:v>6.5618186042070504E-3</c:v>
                </c:pt>
                <c:pt idx="2490">
                  <c:v>1.3728471703233706E-2</c:v>
                </c:pt>
                <c:pt idx="2491">
                  <c:v>1.5344006605141125E-2</c:v>
                </c:pt>
                <c:pt idx="2492">
                  <c:v>9.9336763487368699E-3</c:v>
                </c:pt>
                <c:pt idx="2493">
                  <c:v>1.3088010981072573E-2</c:v>
                </c:pt>
                <c:pt idx="2494">
                  <c:v>1.1671651481763246E-2</c:v>
                </c:pt>
                <c:pt idx="2495">
                  <c:v>9.7976607698238658E-3</c:v>
                </c:pt>
                <c:pt idx="2496">
                  <c:v>1.7613123556929056E-2</c:v>
                </c:pt>
                <c:pt idx="2497">
                  <c:v>1.4229806726489979E-2</c:v>
                </c:pt>
                <c:pt idx="2498">
                  <c:v>1.386228907498102E-2</c:v>
                </c:pt>
                <c:pt idx="2499">
                  <c:v>1.1893113697909664E-2</c:v>
                </c:pt>
                <c:pt idx="2500">
                  <c:v>1.2351557765181917E-2</c:v>
                </c:pt>
                <c:pt idx="2501">
                  <c:v>1.4576987451591781E-2</c:v>
                </c:pt>
                <c:pt idx="2502">
                  <c:v>1.1544577945224241E-2</c:v>
                </c:pt>
                <c:pt idx="2503">
                  <c:v>1.2647977234014287E-2</c:v>
                </c:pt>
                <c:pt idx="2504">
                  <c:v>1.4188266558946014E-2</c:v>
                </c:pt>
                <c:pt idx="2505">
                  <c:v>1.0824708676105669E-2</c:v>
                </c:pt>
                <c:pt idx="2506">
                  <c:v>9.8157632441974799E-3</c:v>
                </c:pt>
                <c:pt idx="2507">
                  <c:v>1.3784746290399722E-2</c:v>
                </c:pt>
                <c:pt idx="2508">
                  <c:v>1.0595590861497351E-2</c:v>
                </c:pt>
                <c:pt idx="2509">
                  <c:v>1.0181242440432413E-2</c:v>
                </c:pt>
                <c:pt idx="2510">
                  <c:v>1.1192416186184499E-2</c:v>
                </c:pt>
                <c:pt idx="2511">
                  <c:v>1.5547056802993744E-2</c:v>
                </c:pt>
                <c:pt idx="2512">
                  <c:v>1.2727204059789336E-2</c:v>
                </c:pt>
                <c:pt idx="2513">
                  <c:v>1.2817445103249541E-2</c:v>
                </c:pt>
                <c:pt idx="2514">
                  <c:v>1.386228907498102E-2</c:v>
                </c:pt>
                <c:pt idx="2515">
                  <c:v>1.0984586739622933E-2</c:v>
                </c:pt>
                <c:pt idx="2516">
                  <c:v>1.4169065335155748E-2</c:v>
                </c:pt>
                <c:pt idx="2517">
                  <c:v>9.5875674124176469E-3</c:v>
                </c:pt>
                <c:pt idx="2518">
                  <c:v>1.3674008432626254E-2</c:v>
                </c:pt>
                <c:pt idx="2519">
                  <c:v>1.4229806726489977E-2</c:v>
                </c:pt>
                <c:pt idx="2520">
                  <c:v>1.3025664141353187E-2</c:v>
                </c:pt>
                <c:pt idx="2521">
                  <c:v>1.2398507132343244E-2</c:v>
                </c:pt>
                <c:pt idx="2522">
                  <c:v>1.4437932783201681E-2</c:v>
                </c:pt>
                <c:pt idx="2523">
                  <c:v>1.1257646204755263E-2</c:v>
                </c:pt>
                <c:pt idx="2524">
                  <c:v>1.0245280101872246E-2</c:v>
                </c:pt>
                <c:pt idx="2525">
                  <c:v>1.0029055968474525E-2</c:v>
                </c:pt>
                <c:pt idx="2526">
                  <c:v>1.4383432973996019E-2</c:v>
                </c:pt>
                <c:pt idx="2527">
                  <c:v>1.1456515705688708E-2</c:v>
                </c:pt>
                <c:pt idx="2528">
                  <c:v>1.0650230570646676E-2</c:v>
                </c:pt>
                <c:pt idx="2529">
                  <c:v>1.3102028074088138E-2</c:v>
                </c:pt>
                <c:pt idx="2530">
                  <c:v>1.385373340409984E-2</c:v>
                </c:pt>
                <c:pt idx="2531">
                  <c:v>1.3913935553365104E-2</c:v>
                </c:pt>
                <c:pt idx="2532">
                  <c:v>1.1234592652910182E-2</c:v>
                </c:pt>
                <c:pt idx="2533">
                  <c:v>1.8001796391182504E-2</c:v>
                </c:pt>
                <c:pt idx="2534">
                  <c:v>1.0392937603379624E-2</c:v>
                </c:pt>
                <c:pt idx="2535">
                  <c:v>1.0066522833277258E-2</c:v>
                </c:pt>
                <c:pt idx="2536">
                  <c:v>1.1004230292705927E-2</c:v>
                </c:pt>
                <c:pt idx="2537">
                  <c:v>1.1243555625401903E-2</c:v>
                </c:pt>
                <c:pt idx="2538">
                  <c:v>9.3402654532638851E-3</c:v>
                </c:pt>
                <c:pt idx="2539">
                  <c:v>1.383981491350712E-2</c:v>
                </c:pt>
                <c:pt idx="2540">
                  <c:v>1.0715231547860402E-2</c:v>
                </c:pt>
                <c:pt idx="2541">
                  <c:v>1.6852964635850839E-2</c:v>
                </c:pt>
                <c:pt idx="2542">
                  <c:v>1.0597061084906613E-2</c:v>
                </c:pt>
                <c:pt idx="2543">
                  <c:v>1.2203446686908479E-2</c:v>
                </c:pt>
                <c:pt idx="2544">
                  <c:v>1.2488826877913374E-2</c:v>
                </c:pt>
                <c:pt idx="2545">
                  <c:v>1.4437932783201679E-2</c:v>
                </c:pt>
                <c:pt idx="2546">
                  <c:v>1.8528130402520309E-2</c:v>
                </c:pt>
                <c:pt idx="2547">
                  <c:v>1.23453440931807E-2</c:v>
                </c:pt>
                <c:pt idx="2548">
                  <c:v>1.6301105982438266E-2</c:v>
                </c:pt>
                <c:pt idx="2549">
                  <c:v>1.0811938064209681E-2</c:v>
                </c:pt>
                <c:pt idx="2550">
                  <c:v>1.1926086045174134E-2</c:v>
                </c:pt>
                <c:pt idx="2551">
                  <c:v>1.1183558571427926E-2</c:v>
                </c:pt>
                <c:pt idx="2552">
                  <c:v>1.3025664141353184E-2</c:v>
                </c:pt>
                <c:pt idx="2553">
                  <c:v>1.3075012453742449E-2</c:v>
                </c:pt>
                <c:pt idx="2554">
                  <c:v>1.5528474120001454E-2</c:v>
                </c:pt>
                <c:pt idx="2555">
                  <c:v>1.1456515705688709E-2</c:v>
                </c:pt>
                <c:pt idx="2556">
                  <c:v>1.4722064422719092E-2</c:v>
                </c:pt>
                <c:pt idx="2557">
                  <c:v>1.0768071010647508E-2</c:v>
                </c:pt>
                <c:pt idx="2558">
                  <c:v>1.1037677669451181E-2</c:v>
                </c:pt>
                <c:pt idx="2559">
                  <c:v>1.6001662566933018E-2</c:v>
                </c:pt>
                <c:pt idx="2560">
                  <c:v>1.2490834586678304E-2</c:v>
                </c:pt>
                <c:pt idx="2561">
                  <c:v>1.4912738377618208E-2</c:v>
                </c:pt>
                <c:pt idx="2562">
                  <c:v>1.8132536690980538E-2</c:v>
                </c:pt>
                <c:pt idx="2563">
                  <c:v>1.4632932006181711E-2</c:v>
                </c:pt>
                <c:pt idx="2564">
                  <c:v>1.3088010981072573E-2</c:v>
                </c:pt>
                <c:pt idx="2565">
                  <c:v>1.1671651481763246E-2</c:v>
                </c:pt>
                <c:pt idx="2566">
                  <c:v>1.0194092753179477E-2</c:v>
                </c:pt>
                <c:pt idx="2567">
                  <c:v>1.672866854777524E-2</c:v>
                </c:pt>
                <c:pt idx="2568">
                  <c:v>1.3290442570939812E-2</c:v>
                </c:pt>
                <c:pt idx="2569">
                  <c:v>1.1111823586721359E-2</c:v>
                </c:pt>
                <c:pt idx="2570">
                  <c:v>1.1037677669451181E-2</c:v>
                </c:pt>
                <c:pt idx="2571">
                  <c:v>1.6360203031018032E-2</c:v>
                </c:pt>
                <c:pt idx="2572">
                  <c:v>1.6397669149737778E-2</c:v>
                </c:pt>
                <c:pt idx="2573">
                  <c:v>1.2050583350997703E-2</c:v>
                </c:pt>
                <c:pt idx="2574">
                  <c:v>9.955561542518308E-3</c:v>
                </c:pt>
                <c:pt idx="2575">
                  <c:v>1.0732432473869223E-2</c:v>
                </c:pt>
                <c:pt idx="2576">
                  <c:v>1.6301105982438266E-2</c:v>
                </c:pt>
                <c:pt idx="2577">
                  <c:v>1.2848318871008697E-2</c:v>
                </c:pt>
                <c:pt idx="2578">
                  <c:v>1.0737484730818526E-2</c:v>
                </c:pt>
                <c:pt idx="2579">
                  <c:v>1.0418709339591409E-2</c:v>
                </c:pt>
                <c:pt idx="2580">
                  <c:v>9.8290825102241332E-3</c:v>
                </c:pt>
                <c:pt idx="2581">
                  <c:v>1.1192416186184499E-2</c:v>
                </c:pt>
                <c:pt idx="2582">
                  <c:v>1.5576925965881862E-2</c:v>
                </c:pt>
                <c:pt idx="2583">
                  <c:v>1.2693397082408919E-2</c:v>
                </c:pt>
                <c:pt idx="2584">
                  <c:v>1.315701390982028E-2</c:v>
                </c:pt>
                <c:pt idx="2585">
                  <c:v>1.1612189663822794E-2</c:v>
                </c:pt>
                <c:pt idx="2586">
                  <c:v>9.401668460175816E-3</c:v>
                </c:pt>
                <c:pt idx="2587">
                  <c:v>9.6591586271567668E-3</c:v>
                </c:pt>
                <c:pt idx="2588">
                  <c:v>1.3386453101100431E-2</c:v>
                </c:pt>
                <c:pt idx="2589">
                  <c:v>1.4013216223519354E-2</c:v>
                </c:pt>
                <c:pt idx="2590">
                  <c:v>1.3009110546230459E-2</c:v>
                </c:pt>
                <c:pt idx="2591">
                  <c:v>1.2615273671739079E-2</c:v>
                </c:pt>
                <c:pt idx="2592">
                  <c:v>1.4235265734569159E-2</c:v>
                </c:pt>
                <c:pt idx="2593">
                  <c:v>1.5506375898355894E-2</c:v>
                </c:pt>
                <c:pt idx="2594">
                  <c:v>1.0245280101872246E-2</c:v>
                </c:pt>
                <c:pt idx="2595">
                  <c:v>1.0029055968474528E-2</c:v>
                </c:pt>
                <c:pt idx="2596">
                  <c:v>1.4434072448601473E-2</c:v>
                </c:pt>
                <c:pt idx="2597">
                  <c:v>1.2130087016171161E-2</c:v>
                </c:pt>
                <c:pt idx="2598">
                  <c:v>1.0308280977094915E-2</c:v>
                </c:pt>
                <c:pt idx="2599">
                  <c:v>1.3102028074088138E-2</c:v>
                </c:pt>
                <c:pt idx="2600">
                  <c:v>1.385373340409984E-2</c:v>
                </c:pt>
                <c:pt idx="2601">
                  <c:v>1.3862288581503074E-2</c:v>
                </c:pt>
                <c:pt idx="2602">
                  <c:v>1.0245395744649558E-2</c:v>
                </c:pt>
                <c:pt idx="2603">
                  <c:v>1.7230052311804852E-2</c:v>
                </c:pt>
                <c:pt idx="2604">
                  <c:v>1.0392937603379624E-2</c:v>
                </c:pt>
                <c:pt idx="2605">
                  <c:v>1.009671539335835E-2</c:v>
                </c:pt>
                <c:pt idx="2606">
                  <c:v>1.0977451207559594E-2</c:v>
                </c:pt>
                <c:pt idx="2607">
                  <c:v>1.2800202091983221E-2</c:v>
                </c:pt>
                <c:pt idx="2608">
                  <c:v>1.1204808091547395E-2</c:v>
                </c:pt>
                <c:pt idx="2609">
                  <c:v>1.0351866354148587E-2</c:v>
                </c:pt>
                <c:pt idx="2610">
                  <c:v>1.0933102399933914E-2</c:v>
                </c:pt>
                <c:pt idx="2611">
                  <c:v>1.3474696834592237E-2</c:v>
                </c:pt>
                <c:pt idx="2612">
                  <c:v>1.0322470639899549E-2</c:v>
                </c:pt>
                <c:pt idx="2613">
                  <c:v>9.3505810145921749E-3</c:v>
                </c:pt>
                <c:pt idx="2614">
                  <c:v>1.4319271568267726E-2</c:v>
                </c:pt>
                <c:pt idx="2615">
                  <c:v>1.5434244138739563E-2</c:v>
                </c:pt>
                <c:pt idx="2616">
                  <c:v>1.2006696559515199E-2</c:v>
                </c:pt>
                <c:pt idx="2617">
                  <c:v>1.1489209647230651E-2</c:v>
                </c:pt>
                <c:pt idx="2618">
                  <c:v>1.0811938064209681E-2</c:v>
                </c:pt>
                <c:pt idx="2619">
                  <c:v>1.0248298050818193E-2</c:v>
                </c:pt>
                <c:pt idx="2620">
                  <c:v>1.2593955995377784E-2</c:v>
                </c:pt>
                <c:pt idx="2621">
                  <c:v>1.2954703186351401E-2</c:v>
                </c:pt>
                <c:pt idx="2622">
                  <c:v>1.2415781277993516E-2</c:v>
                </c:pt>
                <c:pt idx="2623">
                  <c:v>1.0301673996848233E-2</c:v>
                </c:pt>
                <c:pt idx="2624">
                  <c:v>1.3967112561819484E-2</c:v>
                </c:pt>
                <c:pt idx="2625">
                  <c:v>1.1579199744869626E-2</c:v>
                </c:pt>
                <c:pt idx="2626">
                  <c:v>1.8395715759419593E-2</c:v>
                </c:pt>
                <c:pt idx="2627">
                  <c:v>1.5855743691602361E-2</c:v>
                </c:pt>
                <c:pt idx="2628">
                  <c:v>1.2647977234014287E-2</c:v>
                </c:pt>
                <c:pt idx="2629">
                  <c:v>1.0785346482839398E-2</c:v>
                </c:pt>
                <c:pt idx="2630">
                  <c:v>1.0387052353818597E-2</c:v>
                </c:pt>
                <c:pt idx="2631">
                  <c:v>1.0520100903489368E-2</c:v>
                </c:pt>
                <c:pt idx="2632">
                  <c:v>9.886018503842452E-3</c:v>
                </c:pt>
                <c:pt idx="2633">
                  <c:v>9.5521756003603357E-3</c:v>
                </c:pt>
                <c:pt idx="2634">
                  <c:v>1.4830630810695749E-2</c:v>
                </c:pt>
                <c:pt idx="2635">
                  <c:v>9.7295247995904284E-3</c:v>
                </c:pt>
                <c:pt idx="2636">
                  <c:v>1.3826620564832233E-2</c:v>
                </c:pt>
                <c:pt idx="2637">
                  <c:v>1.3290442570939812E-2</c:v>
                </c:pt>
                <c:pt idx="2638">
                  <c:v>1.1037677669451181E-2</c:v>
                </c:pt>
                <c:pt idx="2639">
                  <c:v>1.4579219008078452E-2</c:v>
                </c:pt>
                <c:pt idx="2640">
                  <c:v>1.8263847217394928E-2</c:v>
                </c:pt>
                <c:pt idx="2641">
                  <c:v>1.0286344911044843E-2</c:v>
                </c:pt>
                <c:pt idx="2642">
                  <c:v>1.6397669149737778E-2</c:v>
                </c:pt>
                <c:pt idx="2643">
                  <c:v>1.1177279953282588E-2</c:v>
                </c:pt>
                <c:pt idx="2644">
                  <c:v>1.2787403730467569E-2</c:v>
                </c:pt>
                <c:pt idx="2645">
                  <c:v>1.3009110546230463E-2</c:v>
                </c:pt>
                <c:pt idx="2646">
                  <c:v>9.7346562493406067E-3</c:v>
                </c:pt>
                <c:pt idx="2647">
                  <c:v>9.9803990432990597E-3</c:v>
                </c:pt>
                <c:pt idx="2648">
                  <c:v>1.0853249338257287E-2</c:v>
                </c:pt>
                <c:pt idx="2649">
                  <c:v>1.2892704871804056E-2</c:v>
                </c:pt>
                <c:pt idx="2650">
                  <c:v>9.6499279316190414E-3</c:v>
                </c:pt>
                <c:pt idx="2651">
                  <c:v>1.2924805853530239E-2</c:v>
                </c:pt>
                <c:pt idx="2652">
                  <c:v>1.1887518302706117E-2</c:v>
                </c:pt>
                <c:pt idx="2653">
                  <c:v>1.1405326812685487E-2</c:v>
                </c:pt>
                <c:pt idx="2654">
                  <c:v>1.0159122423912842E-2</c:v>
                </c:pt>
                <c:pt idx="2655">
                  <c:v>1.2984062285972899E-2</c:v>
                </c:pt>
                <c:pt idx="2656">
                  <c:v>9.6038799216605214E-3</c:v>
                </c:pt>
                <c:pt idx="2657">
                  <c:v>1.2821137997494058E-2</c:v>
                </c:pt>
                <c:pt idx="2658">
                  <c:v>1.5618520989042381E-2</c:v>
                </c:pt>
                <c:pt idx="2659">
                  <c:v>1.2954703186351401E-2</c:v>
                </c:pt>
                <c:pt idx="2660">
                  <c:v>1.2888299763886347E-2</c:v>
                </c:pt>
                <c:pt idx="2661">
                  <c:v>1.0191003433497541E-2</c:v>
                </c:pt>
                <c:pt idx="2662">
                  <c:v>1.3130109418637157E-2</c:v>
                </c:pt>
                <c:pt idx="2663">
                  <c:v>1.0206866714333995E-2</c:v>
                </c:pt>
                <c:pt idx="2664">
                  <c:v>1.179936657269203E-2</c:v>
                </c:pt>
                <c:pt idx="2665">
                  <c:v>1.0342667118598624E-2</c:v>
                </c:pt>
                <c:pt idx="2666">
                  <c:v>1.4288376155840431E-2</c:v>
                </c:pt>
                <c:pt idx="2667">
                  <c:v>1.3328196765943155E-2</c:v>
                </c:pt>
                <c:pt idx="2668">
                  <c:v>1.3967112561819482E-2</c:v>
                </c:pt>
                <c:pt idx="2669">
                  <c:v>1.3735378999056679E-2</c:v>
                </c:pt>
                <c:pt idx="2670">
                  <c:v>9.9903983160641897E-3</c:v>
                </c:pt>
                <c:pt idx="2671">
                  <c:v>1.6360203031018032E-2</c:v>
                </c:pt>
                <c:pt idx="2672">
                  <c:v>1.0069275629952633E-2</c:v>
                </c:pt>
                <c:pt idx="2673">
                  <c:v>1.0767198096788898E-2</c:v>
                </c:pt>
                <c:pt idx="2674">
                  <c:v>1.0859708596116817E-2</c:v>
                </c:pt>
                <c:pt idx="2675">
                  <c:v>1.2828770592657308E-2</c:v>
                </c:pt>
                <c:pt idx="2676">
                  <c:v>9.8862128012002053E-3</c:v>
                </c:pt>
                <c:pt idx="2677">
                  <c:v>9.7939735866188482E-3</c:v>
                </c:pt>
                <c:pt idx="2678">
                  <c:v>1.0520100903489369E-2</c:v>
                </c:pt>
                <c:pt idx="2679">
                  <c:v>1.3039397164239816E-2</c:v>
                </c:pt>
                <c:pt idx="2680">
                  <c:v>1.3905988543486666E-2</c:v>
                </c:pt>
                <c:pt idx="2681">
                  <c:v>1.1430611517303882E-2</c:v>
                </c:pt>
                <c:pt idx="2682">
                  <c:v>1.0737484730818526E-2</c:v>
                </c:pt>
                <c:pt idx="2683">
                  <c:v>1.1801528314927633E-2</c:v>
                </c:pt>
                <c:pt idx="2684">
                  <c:v>1.0933102399933914E-2</c:v>
                </c:pt>
                <c:pt idx="2685">
                  <c:v>1.4273683869026681E-2</c:v>
                </c:pt>
                <c:pt idx="2686">
                  <c:v>1.0671036664519731E-2</c:v>
                </c:pt>
                <c:pt idx="2687">
                  <c:v>1.1827437033241116E-2</c:v>
                </c:pt>
                <c:pt idx="2688">
                  <c:v>9.9914051648143775E-3</c:v>
                </c:pt>
                <c:pt idx="2689">
                  <c:v>1.0943492384217027E-2</c:v>
                </c:pt>
                <c:pt idx="2690">
                  <c:v>1.3072806594344408E-2</c:v>
                </c:pt>
                <c:pt idx="2691">
                  <c:v>1.0267488646913093E-2</c:v>
                </c:pt>
                <c:pt idx="2692">
                  <c:v>1.0670216251762938E-2</c:v>
                </c:pt>
                <c:pt idx="2693">
                  <c:v>1.3556797097981525E-2</c:v>
                </c:pt>
                <c:pt idx="2694">
                  <c:v>1.4749960029107697E-2</c:v>
                </c:pt>
                <c:pt idx="2695">
                  <c:v>1.5167446413524818E-2</c:v>
                </c:pt>
                <c:pt idx="2696">
                  <c:v>1.0785346482839398E-2</c:v>
                </c:pt>
                <c:pt idx="2697">
                  <c:v>1.0267488646913093E-2</c:v>
                </c:pt>
                <c:pt idx="2698">
                  <c:v>1.0952109567691739E-2</c:v>
                </c:pt>
                <c:pt idx="2699">
                  <c:v>1.1456515705688708E-2</c:v>
                </c:pt>
                <c:pt idx="2700">
                  <c:v>1.0700940926495501E-2</c:v>
                </c:pt>
                <c:pt idx="2701">
                  <c:v>1.2834122427984899E-2</c:v>
                </c:pt>
                <c:pt idx="2702">
                  <c:v>1.3436725228932685E-2</c:v>
                </c:pt>
                <c:pt idx="2703">
                  <c:v>1.1963198236748265E-2</c:v>
                </c:pt>
                <c:pt idx="2704">
                  <c:v>9.7939735866188482E-3</c:v>
                </c:pt>
                <c:pt idx="2705">
                  <c:v>1.084063784495717E-2</c:v>
                </c:pt>
                <c:pt idx="2706">
                  <c:v>1.7103671905773405E-2</c:v>
                </c:pt>
                <c:pt idx="2707">
                  <c:v>1.4168542622972171E-2</c:v>
                </c:pt>
                <c:pt idx="2708">
                  <c:v>1.3913296519489133E-2</c:v>
                </c:pt>
                <c:pt idx="2709">
                  <c:v>1.1732238806170107E-2</c:v>
                </c:pt>
                <c:pt idx="2710">
                  <c:v>1.3688248242215283E-2</c:v>
                </c:pt>
                <c:pt idx="2711">
                  <c:v>1.2953162917986183E-2</c:v>
                </c:pt>
                <c:pt idx="2712">
                  <c:v>1.1946223398719471E-2</c:v>
                </c:pt>
                <c:pt idx="2713">
                  <c:v>9.980587326214747E-3</c:v>
                </c:pt>
                <c:pt idx="2714">
                  <c:v>1.0573212719387199E-2</c:v>
                </c:pt>
                <c:pt idx="2715">
                  <c:v>1.4000173937607607E-2</c:v>
                </c:pt>
                <c:pt idx="2716">
                  <c:v>1.0999328791436272E-2</c:v>
                </c:pt>
                <c:pt idx="2717">
                  <c:v>1.0438511109201836E-2</c:v>
                </c:pt>
                <c:pt idx="2718">
                  <c:v>1.4717497841985415E-2</c:v>
                </c:pt>
                <c:pt idx="2719">
                  <c:v>1.3806985054193305E-2</c:v>
                </c:pt>
                <c:pt idx="2720">
                  <c:v>9.739830883322035E-3</c:v>
                </c:pt>
                <c:pt idx="2721">
                  <c:v>1.7319952818756659E-2</c:v>
                </c:pt>
                <c:pt idx="2722">
                  <c:v>1.0972784808687778E-2</c:v>
                </c:pt>
                <c:pt idx="2723">
                  <c:v>1.05531112465891E-2</c:v>
                </c:pt>
                <c:pt idx="2724">
                  <c:v>1.321346741435854E-2</c:v>
                </c:pt>
                <c:pt idx="2725">
                  <c:v>9.5711932018162256E-3</c:v>
                </c:pt>
                <c:pt idx="2726">
                  <c:v>1.0069275629952633E-2</c:v>
                </c:pt>
                <c:pt idx="2727">
                  <c:v>1.11963331210697E-2</c:v>
                </c:pt>
                <c:pt idx="2728">
                  <c:v>1.1731097917938282E-2</c:v>
                </c:pt>
                <c:pt idx="2729">
                  <c:v>1.1037677669451181E-2</c:v>
                </c:pt>
                <c:pt idx="2730">
                  <c:v>1.3521701753187084E-2</c:v>
                </c:pt>
                <c:pt idx="2731">
                  <c:v>1.2978536661938028E-2</c:v>
                </c:pt>
                <c:pt idx="2732">
                  <c:v>1.0237955221876789E-2</c:v>
                </c:pt>
                <c:pt idx="2733">
                  <c:v>1.5139415063044536E-2</c:v>
                </c:pt>
                <c:pt idx="2734">
                  <c:v>1.1103742306070523E-2</c:v>
                </c:pt>
                <c:pt idx="2735">
                  <c:v>9.5736305537674725E-3</c:v>
                </c:pt>
                <c:pt idx="2736">
                  <c:v>1.4201752820903987E-2</c:v>
                </c:pt>
                <c:pt idx="2737">
                  <c:v>1.3401185870619413E-2</c:v>
                </c:pt>
                <c:pt idx="2738">
                  <c:v>1.1766506833316757E-2</c:v>
                </c:pt>
                <c:pt idx="2739">
                  <c:v>1.4076638263943285E-2</c:v>
                </c:pt>
                <c:pt idx="2740">
                  <c:v>9.8364558540646185E-3</c:v>
                </c:pt>
                <c:pt idx="2741">
                  <c:v>1.0448206544426552E-2</c:v>
                </c:pt>
                <c:pt idx="2742">
                  <c:v>9.8517444126806422E-3</c:v>
                </c:pt>
                <c:pt idx="2743">
                  <c:v>1.3627615734674556E-2</c:v>
                </c:pt>
                <c:pt idx="2744">
                  <c:v>1.6301105982438266E-2</c:v>
                </c:pt>
                <c:pt idx="2745">
                  <c:v>1.6482271217304091E-2</c:v>
                </c:pt>
                <c:pt idx="2746">
                  <c:v>9.886018503842452E-3</c:v>
                </c:pt>
                <c:pt idx="2747">
                  <c:v>1.8395715759419593E-2</c:v>
                </c:pt>
                <c:pt idx="2748">
                  <c:v>1.0342667118598622E-2</c:v>
                </c:pt>
                <c:pt idx="2749">
                  <c:v>1.0556532643402264E-2</c:v>
                </c:pt>
                <c:pt idx="2750">
                  <c:v>1.1301834644129895E-2</c:v>
                </c:pt>
                <c:pt idx="2751">
                  <c:v>1.4637253852239254E-2</c:v>
                </c:pt>
                <c:pt idx="2752">
                  <c:v>1.1203108781188782E-2</c:v>
                </c:pt>
                <c:pt idx="2753">
                  <c:v>1.4749960029107697E-2</c:v>
                </c:pt>
                <c:pt idx="2754">
                  <c:v>1.0656135167696059E-2</c:v>
                </c:pt>
                <c:pt idx="2755">
                  <c:v>1.3662541169202071E-2</c:v>
                </c:pt>
                <c:pt idx="2756">
                  <c:v>1.0092639108215361E-2</c:v>
                </c:pt>
                <c:pt idx="2757">
                  <c:v>1.2595367603558399E-2</c:v>
                </c:pt>
                <c:pt idx="2758">
                  <c:v>1.0674390197106953E-2</c:v>
                </c:pt>
                <c:pt idx="2759">
                  <c:v>1.0322470639899549E-2</c:v>
                </c:pt>
                <c:pt idx="2760">
                  <c:v>1.8687706381897397E-2</c:v>
                </c:pt>
                <c:pt idx="2761">
                  <c:v>1.3394113691471478E-2</c:v>
                </c:pt>
                <c:pt idx="2762">
                  <c:v>9.5653657619813523E-3</c:v>
                </c:pt>
                <c:pt idx="2763">
                  <c:v>1.2977784812737536E-2</c:v>
                </c:pt>
                <c:pt idx="2764">
                  <c:v>1.3459248362827605E-2</c:v>
                </c:pt>
                <c:pt idx="2765">
                  <c:v>1.1401739475669198E-2</c:v>
                </c:pt>
                <c:pt idx="2766">
                  <c:v>1.1886501898264552E-2</c:v>
                </c:pt>
                <c:pt idx="2767">
                  <c:v>1.0199118291272596E-2</c:v>
                </c:pt>
                <c:pt idx="2768">
                  <c:v>1.4319271568267726E-2</c:v>
                </c:pt>
                <c:pt idx="2769">
                  <c:v>1.0657284975144708E-2</c:v>
                </c:pt>
                <c:pt idx="2770">
                  <c:v>1.3935705543496059E-2</c:v>
                </c:pt>
                <c:pt idx="2771">
                  <c:v>1.3127394136794177E-2</c:v>
                </c:pt>
                <c:pt idx="2772">
                  <c:v>1.0187204148936787E-2</c:v>
                </c:pt>
                <c:pt idx="2773">
                  <c:v>1.3967112561819482E-2</c:v>
                </c:pt>
                <c:pt idx="2774">
                  <c:v>1.2874652891939729E-2</c:v>
                </c:pt>
                <c:pt idx="2775">
                  <c:v>1.3735477438161737E-2</c:v>
                </c:pt>
                <c:pt idx="2776">
                  <c:v>1.3307530022220166E-2</c:v>
                </c:pt>
                <c:pt idx="2777">
                  <c:v>1.4111664700453743E-2</c:v>
                </c:pt>
                <c:pt idx="2778">
                  <c:v>1.6852964635850839E-2</c:v>
                </c:pt>
                <c:pt idx="2779">
                  <c:v>1.0787508195407209E-2</c:v>
                </c:pt>
                <c:pt idx="2780">
                  <c:v>1.1155032780301371E-2</c:v>
                </c:pt>
                <c:pt idx="2781">
                  <c:v>1.6605098630716873E-2</c:v>
                </c:pt>
                <c:pt idx="2782">
                  <c:v>1.0304820225874024E-2</c:v>
                </c:pt>
                <c:pt idx="2783">
                  <c:v>1.1043183785594752E-2</c:v>
                </c:pt>
                <c:pt idx="2784">
                  <c:v>1.6360203031018029E-2</c:v>
                </c:pt>
                <c:pt idx="2785">
                  <c:v>1.331492732469809E-2</c:v>
                </c:pt>
                <c:pt idx="2786">
                  <c:v>1.4656858912891799E-2</c:v>
                </c:pt>
                <c:pt idx="2787">
                  <c:v>1.6200182288353199E-2</c:v>
                </c:pt>
                <c:pt idx="2788">
                  <c:v>1.4746925074910277E-2</c:v>
                </c:pt>
                <c:pt idx="2789">
                  <c:v>1.561852098904238E-2</c:v>
                </c:pt>
                <c:pt idx="2790">
                  <c:v>1.8162832231029692E-2</c:v>
                </c:pt>
                <c:pt idx="2791">
                  <c:v>1.0972784808687778E-2</c:v>
                </c:pt>
                <c:pt idx="2792">
                  <c:v>1.0683622081520438E-2</c:v>
                </c:pt>
                <c:pt idx="2793">
                  <c:v>1.1302085055778125E-2</c:v>
                </c:pt>
                <c:pt idx="2794">
                  <c:v>1.0725350755565655E-2</c:v>
                </c:pt>
                <c:pt idx="2795">
                  <c:v>1.7230052311804852E-2</c:v>
                </c:pt>
                <c:pt idx="2796">
                  <c:v>1.3202565157529446E-2</c:v>
                </c:pt>
                <c:pt idx="2797">
                  <c:v>1.2505680513539411E-2</c:v>
                </c:pt>
                <c:pt idx="2798">
                  <c:v>1.0657284975144708E-2</c:v>
                </c:pt>
                <c:pt idx="2799">
                  <c:v>1.4159173434704696E-2</c:v>
                </c:pt>
                <c:pt idx="2800">
                  <c:v>1.2235327216762831E-2</c:v>
                </c:pt>
                <c:pt idx="2801">
                  <c:v>1.8369661035481624E-2</c:v>
                </c:pt>
                <c:pt idx="2802">
                  <c:v>1.0909084634781437E-2</c:v>
                </c:pt>
                <c:pt idx="2803">
                  <c:v>1.0429352240312708E-2</c:v>
                </c:pt>
                <c:pt idx="2804">
                  <c:v>9.5653657619813506E-3</c:v>
                </c:pt>
                <c:pt idx="2805">
                  <c:v>1.1884100720154871E-2</c:v>
                </c:pt>
                <c:pt idx="2806">
                  <c:v>1.3151710262340825E-2</c:v>
                </c:pt>
                <c:pt idx="2807">
                  <c:v>1.0283284436038655E-2</c:v>
                </c:pt>
                <c:pt idx="2808">
                  <c:v>1.0972784808687778E-2</c:v>
                </c:pt>
                <c:pt idx="2809">
                  <c:v>1.0569640821757332E-2</c:v>
                </c:pt>
                <c:pt idx="2810">
                  <c:v>1.1234592652910182E-2</c:v>
                </c:pt>
                <c:pt idx="2811">
                  <c:v>1.4043816940215016E-2</c:v>
                </c:pt>
                <c:pt idx="2812">
                  <c:v>9.8035940648196918E-3</c:v>
                </c:pt>
                <c:pt idx="2813">
                  <c:v>9.8731435139752608E-3</c:v>
                </c:pt>
                <c:pt idx="2814">
                  <c:v>1.4961254683134251E-2</c:v>
                </c:pt>
                <c:pt idx="2815">
                  <c:v>1.1863708145930605E-2</c:v>
                </c:pt>
                <c:pt idx="2816">
                  <c:v>1.3521701753187084E-2</c:v>
                </c:pt>
                <c:pt idx="2817">
                  <c:v>1.0337166813098955E-2</c:v>
                </c:pt>
                <c:pt idx="2818">
                  <c:v>9.5194427201361238E-3</c:v>
                </c:pt>
                <c:pt idx="2819">
                  <c:v>1.1348321273074351E-2</c:v>
                </c:pt>
                <c:pt idx="2820">
                  <c:v>1.4054415181796754E-2</c:v>
                </c:pt>
                <c:pt idx="2821">
                  <c:v>1.7484792450961066E-2</c:v>
                </c:pt>
                <c:pt idx="2822">
                  <c:v>1.3517835691214475E-2</c:v>
                </c:pt>
                <c:pt idx="2823">
                  <c:v>1.0511635668746161E-2</c:v>
                </c:pt>
                <c:pt idx="2824">
                  <c:v>1.4227492800594425E-2</c:v>
                </c:pt>
                <c:pt idx="2825">
                  <c:v>1.0624398992813928E-2</c:v>
                </c:pt>
                <c:pt idx="2826">
                  <c:v>1.0663276279045017E-2</c:v>
                </c:pt>
                <c:pt idx="2827">
                  <c:v>1.0340378057050131E-2</c:v>
                </c:pt>
                <c:pt idx="2828">
                  <c:v>9.8860185038424503E-3</c:v>
                </c:pt>
                <c:pt idx="2829">
                  <c:v>1.5933010011191028E-2</c:v>
                </c:pt>
                <c:pt idx="2830">
                  <c:v>1.2235327216762831E-2</c:v>
                </c:pt>
                <c:pt idx="2831">
                  <c:v>1.3957117456403401E-2</c:v>
                </c:pt>
                <c:pt idx="2832">
                  <c:v>1.338857888529792E-2</c:v>
                </c:pt>
                <c:pt idx="2833">
                  <c:v>1.2828908913352437E-2</c:v>
                </c:pt>
                <c:pt idx="2834">
                  <c:v>1.0192156839305608E-2</c:v>
                </c:pt>
                <c:pt idx="2835">
                  <c:v>1.0912978398749273E-2</c:v>
                </c:pt>
                <c:pt idx="2836">
                  <c:v>9.9523073688790042E-3</c:v>
                </c:pt>
                <c:pt idx="2837">
                  <c:v>1.0245280101872246E-2</c:v>
                </c:pt>
                <c:pt idx="2838">
                  <c:v>1.4824539842906609E-2</c:v>
                </c:pt>
                <c:pt idx="2839">
                  <c:v>1.0657284975144708E-2</c:v>
                </c:pt>
                <c:pt idx="2840">
                  <c:v>1.0023761463432531E-2</c:v>
                </c:pt>
                <c:pt idx="2841">
                  <c:v>1.2070794273845498E-2</c:v>
                </c:pt>
                <c:pt idx="2842">
                  <c:v>1.0283284436038655E-2</c:v>
                </c:pt>
                <c:pt idx="2843">
                  <c:v>1.3967112561819482E-2</c:v>
                </c:pt>
                <c:pt idx="2844">
                  <c:v>1.275392637728834E-2</c:v>
                </c:pt>
                <c:pt idx="2845">
                  <c:v>1.0079903988218845E-2</c:v>
                </c:pt>
                <c:pt idx="2846">
                  <c:v>1.0444953040813672E-2</c:v>
                </c:pt>
                <c:pt idx="2847">
                  <c:v>1.2071617542513475E-2</c:v>
                </c:pt>
                <c:pt idx="2848">
                  <c:v>1.0408189214601274E-2</c:v>
                </c:pt>
                <c:pt idx="2849">
                  <c:v>1.6605098630716873E-2</c:v>
                </c:pt>
                <c:pt idx="2850">
                  <c:v>1.4242746835475655E-2</c:v>
                </c:pt>
                <c:pt idx="2851">
                  <c:v>1.2894609629780632E-2</c:v>
                </c:pt>
                <c:pt idx="2852">
                  <c:v>1.0291889608022969E-2</c:v>
                </c:pt>
                <c:pt idx="2853">
                  <c:v>1.0669972631987283E-2</c:v>
                </c:pt>
                <c:pt idx="2854">
                  <c:v>1.5644725188612919E-2</c:v>
                </c:pt>
                <c:pt idx="2855">
                  <c:v>1.441711545283081E-2</c:v>
                </c:pt>
                <c:pt idx="2856">
                  <c:v>1.4925067001820119E-2</c:v>
                </c:pt>
                <c:pt idx="2857">
                  <c:v>1.6200182288353199E-2</c:v>
                </c:pt>
                <c:pt idx="2858">
                  <c:v>1.4435756593076672E-2</c:v>
                </c:pt>
                <c:pt idx="2859">
                  <c:v>1.5081169588307179E-2</c:v>
                </c:pt>
                <c:pt idx="2860">
                  <c:v>1.4469126985004868E-2</c:v>
                </c:pt>
                <c:pt idx="2861">
                  <c:v>1.2786012775737486E-2</c:v>
                </c:pt>
                <c:pt idx="2862">
                  <c:v>1.0799797679566986E-2</c:v>
                </c:pt>
                <c:pt idx="2863">
                  <c:v>1.0839842417194918E-2</c:v>
                </c:pt>
                <c:pt idx="2864">
                  <c:v>1.7230052311804852E-2</c:v>
                </c:pt>
                <c:pt idx="2865">
                  <c:v>1.6360203031018032E-2</c:v>
                </c:pt>
                <c:pt idx="2866">
                  <c:v>1.3170729912103678E-2</c:v>
                </c:pt>
                <c:pt idx="2867">
                  <c:v>1.1952485275193983E-2</c:v>
                </c:pt>
                <c:pt idx="2868">
                  <c:v>1.1126261192309094E-2</c:v>
                </c:pt>
                <c:pt idx="2869">
                  <c:v>1.3648693268371669E-2</c:v>
                </c:pt>
                <c:pt idx="2870">
                  <c:v>1.0267488646913093E-2</c:v>
                </c:pt>
                <c:pt idx="2871">
                  <c:v>1.4877388305421386E-2</c:v>
                </c:pt>
                <c:pt idx="2872">
                  <c:v>1.257554760130724E-2</c:v>
                </c:pt>
                <c:pt idx="2873">
                  <c:v>9.5662104058997343E-3</c:v>
                </c:pt>
                <c:pt idx="2874">
                  <c:v>9.2546340751692695E-3</c:v>
                </c:pt>
                <c:pt idx="2875">
                  <c:v>1.0666632172008018E-2</c:v>
                </c:pt>
                <c:pt idx="2876">
                  <c:v>9.6555161853307987E-3</c:v>
                </c:pt>
                <c:pt idx="2877">
                  <c:v>1.230633445419657E-2</c:v>
                </c:pt>
                <c:pt idx="2878">
                  <c:v>9.6730729121530835E-3</c:v>
                </c:pt>
                <c:pt idx="2879">
                  <c:v>9.7922382850035936E-3</c:v>
                </c:pt>
                <c:pt idx="2880">
                  <c:v>1.3674008432626252E-2</c:v>
                </c:pt>
                <c:pt idx="2881">
                  <c:v>1.2846171239135906E-2</c:v>
                </c:pt>
                <c:pt idx="2882">
                  <c:v>1.082186683766298E-2</c:v>
                </c:pt>
                <c:pt idx="2883">
                  <c:v>1.1863708145930605E-2</c:v>
                </c:pt>
                <c:pt idx="2884">
                  <c:v>1.3268784103789988E-2</c:v>
                </c:pt>
                <c:pt idx="2885">
                  <c:v>1.1049869421247749E-2</c:v>
                </c:pt>
                <c:pt idx="2886">
                  <c:v>9.6385020773340543E-3</c:v>
                </c:pt>
                <c:pt idx="2887">
                  <c:v>1.0860578606190309E-2</c:v>
                </c:pt>
                <c:pt idx="2888">
                  <c:v>1.4054415181796754E-2</c:v>
                </c:pt>
                <c:pt idx="2889">
                  <c:v>1.6728668547775244E-2</c:v>
                </c:pt>
                <c:pt idx="2890">
                  <c:v>1.2892704871804054E-2</c:v>
                </c:pt>
                <c:pt idx="2891">
                  <c:v>1.1029918287158566E-2</c:v>
                </c:pt>
                <c:pt idx="2892">
                  <c:v>1.0245395744649558E-2</c:v>
                </c:pt>
                <c:pt idx="2893">
                  <c:v>1.2302708298046361E-2</c:v>
                </c:pt>
                <c:pt idx="2894">
                  <c:v>1.0840390896534007E-2</c:v>
                </c:pt>
                <c:pt idx="2895">
                  <c:v>1.2573978720675961E-2</c:v>
                </c:pt>
                <c:pt idx="2896">
                  <c:v>9.7529358725109445E-3</c:v>
                </c:pt>
                <c:pt idx="2897">
                  <c:v>1.3069308094087951E-2</c:v>
                </c:pt>
                <c:pt idx="2898">
                  <c:v>1.0082088787414381E-2</c:v>
                </c:pt>
                <c:pt idx="2899">
                  <c:v>1.3549413122192863E-2</c:v>
                </c:pt>
                <c:pt idx="2900">
                  <c:v>1.1732397192662145E-2</c:v>
                </c:pt>
                <c:pt idx="2901">
                  <c:v>1.2875325842512086E-2</c:v>
                </c:pt>
                <c:pt idx="2902">
                  <c:v>9.5973862690342821E-3</c:v>
                </c:pt>
                <c:pt idx="2903">
                  <c:v>1.0526989278335511E-2</c:v>
                </c:pt>
                <c:pt idx="2904">
                  <c:v>1.2560921745630702E-2</c:v>
                </c:pt>
                <c:pt idx="2905">
                  <c:v>1.5185250871918809E-2</c:v>
                </c:pt>
                <c:pt idx="2906">
                  <c:v>1.4076638263943286E-2</c:v>
                </c:pt>
                <c:pt idx="2907">
                  <c:v>1.1126261192309094E-2</c:v>
                </c:pt>
                <c:pt idx="2908">
                  <c:v>1.0266210767927339E-2</c:v>
                </c:pt>
                <c:pt idx="2909">
                  <c:v>1.8928536094734424E-2</c:v>
                </c:pt>
                <c:pt idx="2910">
                  <c:v>9.5736305537674742E-3</c:v>
                </c:pt>
                <c:pt idx="2911">
                  <c:v>1.2874030432799787E-2</c:v>
                </c:pt>
                <c:pt idx="2912">
                  <c:v>1.0444953040813672E-2</c:v>
                </c:pt>
                <c:pt idx="2913">
                  <c:v>1.0972784808687778E-2</c:v>
                </c:pt>
                <c:pt idx="2914">
                  <c:v>1.5167446413524818E-2</c:v>
                </c:pt>
                <c:pt idx="2915">
                  <c:v>1.5761864063279733E-2</c:v>
                </c:pt>
                <c:pt idx="2916">
                  <c:v>1.4670749734442233E-2</c:v>
                </c:pt>
                <c:pt idx="2917">
                  <c:v>1.3832055665075558E-2</c:v>
                </c:pt>
                <c:pt idx="2918">
                  <c:v>1.1941092954631667E-2</c:v>
                </c:pt>
                <c:pt idx="2919">
                  <c:v>1.3900120420019861E-2</c:v>
                </c:pt>
                <c:pt idx="2920">
                  <c:v>9.3318324651219253E-3</c:v>
                </c:pt>
                <c:pt idx="2921">
                  <c:v>1.3173711623416857E-2</c:v>
                </c:pt>
                <c:pt idx="2922">
                  <c:v>1.0340435881771927E-2</c:v>
                </c:pt>
                <c:pt idx="2923">
                  <c:v>1.4111664700453743E-2</c:v>
                </c:pt>
                <c:pt idx="2924">
                  <c:v>1.4614498876524258E-2</c:v>
                </c:pt>
                <c:pt idx="2925">
                  <c:v>1.5618520989042381E-2</c:v>
                </c:pt>
                <c:pt idx="2926">
                  <c:v>1.3842810103737418E-2</c:v>
                </c:pt>
                <c:pt idx="2927">
                  <c:v>1.2563352034584363E-2</c:v>
                </c:pt>
                <c:pt idx="2928">
                  <c:v>1.4000173937607607E-2</c:v>
                </c:pt>
                <c:pt idx="2929">
                  <c:v>1.6482271217304091E-2</c:v>
                </c:pt>
                <c:pt idx="2930">
                  <c:v>1.0766449179106637E-2</c:v>
                </c:pt>
                <c:pt idx="2931">
                  <c:v>1.6114488837884348E-2</c:v>
                </c:pt>
                <c:pt idx="2932">
                  <c:v>1.4125154049091999E-2</c:v>
                </c:pt>
                <c:pt idx="2933">
                  <c:v>1.6482271217304091E-2</c:v>
                </c:pt>
                <c:pt idx="2934">
                  <c:v>1.6360203031018032E-2</c:v>
                </c:pt>
                <c:pt idx="2935">
                  <c:v>9.8001939586845246E-3</c:v>
                </c:pt>
                <c:pt idx="2936">
                  <c:v>1.8395715759419593E-2</c:v>
                </c:pt>
                <c:pt idx="2937">
                  <c:v>1.5072756399316824E-2</c:v>
                </c:pt>
                <c:pt idx="2938">
                  <c:v>1.0200049368475052E-2</c:v>
                </c:pt>
                <c:pt idx="2939">
                  <c:v>1.1085065477628289E-2</c:v>
                </c:pt>
                <c:pt idx="2940">
                  <c:v>1.73570973225694E-2</c:v>
                </c:pt>
                <c:pt idx="2941">
                  <c:v>1.3005566087976737E-2</c:v>
                </c:pt>
                <c:pt idx="2942">
                  <c:v>1.4367156485985239E-2</c:v>
                </c:pt>
                <c:pt idx="2943">
                  <c:v>9.588121303623345E-3</c:v>
                </c:pt>
                <c:pt idx="2944">
                  <c:v>1.3981223806034494E-2</c:v>
                </c:pt>
                <c:pt idx="2945">
                  <c:v>1.2540317543232909E-2</c:v>
                </c:pt>
                <c:pt idx="2946">
                  <c:v>1.3424167007732985E-2</c:v>
                </c:pt>
                <c:pt idx="2947">
                  <c:v>1.2953779016432502E-2</c:v>
                </c:pt>
                <c:pt idx="2948">
                  <c:v>9.6544161042757554E-3</c:v>
                </c:pt>
                <c:pt idx="2949">
                  <c:v>9.6375102621556533E-3</c:v>
                </c:pt>
                <c:pt idx="2950">
                  <c:v>1.148920964723065E-2</c:v>
                </c:pt>
                <c:pt idx="2951">
                  <c:v>1.5099864826381558E-2</c:v>
                </c:pt>
                <c:pt idx="2952">
                  <c:v>1.0884484305988538E-2</c:v>
                </c:pt>
                <c:pt idx="2953">
                  <c:v>1.0031491481697635E-2</c:v>
                </c:pt>
                <c:pt idx="2954">
                  <c:v>1.0192156839305608E-2</c:v>
                </c:pt>
                <c:pt idx="2955">
                  <c:v>1.5081169588307183E-2</c:v>
                </c:pt>
                <c:pt idx="2956">
                  <c:v>1.3137086450399392E-2</c:v>
                </c:pt>
                <c:pt idx="2957">
                  <c:v>9.7939735866188482E-3</c:v>
                </c:pt>
                <c:pt idx="2958">
                  <c:v>1.0860578606190309E-2</c:v>
                </c:pt>
                <c:pt idx="2959">
                  <c:v>1.3364933883600744E-2</c:v>
                </c:pt>
                <c:pt idx="2960">
                  <c:v>9.5945093023728761E-3</c:v>
                </c:pt>
                <c:pt idx="2961">
                  <c:v>1.6100360939876667E-2</c:v>
                </c:pt>
                <c:pt idx="2962">
                  <c:v>1.3219461110641038E-2</c:v>
                </c:pt>
                <c:pt idx="2963">
                  <c:v>1.1286071671928849E-2</c:v>
                </c:pt>
                <c:pt idx="2964">
                  <c:v>1.441711545283081E-2</c:v>
                </c:pt>
                <c:pt idx="2965">
                  <c:v>1.0725350755565655E-2</c:v>
                </c:pt>
                <c:pt idx="2966">
                  <c:v>1.3709273138729026E-2</c:v>
                </c:pt>
                <c:pt idx="2967">
                  <c:v>1.1632813289439372E-2</c:v>
                </c:pt>
                <c:pt idx="2968">
                  <c:v>1.336073469643307E-2</c:v>
                </c:pt>
                <c:pt idx="2969">
                  <c:v>1.3882356534975661E-2</c:v>
                </c:pt>
                <c:pt idx="2970">
                  <c:v>1.4054415181796755E-2</c:v>
                </c:pt>
                <c:pt idx="2971">
                  <c:v>1.3937612922088958E-2</c:v>
                </c:pt>
                <c:pt idx="2972">
                  <c:v>1.1602063520216919E-2</c:v>
                </c:pt>
                <c:pt idx="2973">
                  <c:v>1.3289001004459197E-2</c:v>
                </c:pt>
                <c:pt idx="2974">
                  <c:v>9.5663214340211758E-3</c:v>
                </c:pt>
                <c:pt idx="2975">
                  <c:v>9.9175650844898905E-3</c:v>
                </c:pt>
                <c:pt idx="2976">
                  <c:v>1.2417150173716677E-2</c:v>
                </c:pt>
                <c:pt idx="2977">
                  <c:v>1.5185250871918809E-2</c:v>
                </c:pt>
                <c:pt idx="2978">
                  <c:v>1.4593023709096226E-2</c:v>
                </c:pt>
                <c:pt idx="2979">
                  <c:v>9.448595151311235E-3</c:v>
                </c:pt>
                <c:pt idx="2980">
                  <c:v>1.3219134076746113E-2</c:v>
                </c:pt>
                <c:pt idx="2981">
                  <c:v>1.8794551774568874E-2</c:v>
                </c:pt>
                <c:pt idx="2982">
                  <c:v>9.5799798832001421E-3</c:v>
                </c:pt>
                <c:pt idx="2983">
                  <c:v>1.2118142238853153E-2</c:v>
                </c:pt>
                <c:pt idx="2984">
                  <c:v>9.6555161853307987E-3</c:v>
                </c:pt>
                <c:pt idx="2985">
                  <c:v>1.0602495561197557E-2</c:v>
                </c:pt>
                <c:pt idx="2986">
                  <c:v>1.0111038660449708E-2</c:v>
                </c:pt>
                <c:pt idx="2987">
                  <c:v>1.1286654108406747E-2</c:v>
                </c:pt>
                <c:pt idx="2988">
                  <c:v>1.235915827290977E-2</c:v>
                </c:pt>
                <c:pt idx="2989">
                  <c:v>1.3009110546230461E-2</c:v>
                </c:pt>
                <c:pt idx="2990">
                  <c:v>1.039134687011423E-2</c:v>
                </c:pt>
                <c:pt idx="2991">
                  <c:v>1.3853733404099842E-2</c:v>
                </c:pt>
                <c:pt idx="2992">
                  <c:v>9.8441397482599315E-3</c:v>
                </c:pt>
                <c:pt idx="2993">
                  <c:v>1.1262559524077986E-2</c:v>
                </c:pt>
                <c:pt idx="2994">
                  <c:v>1.1405326812685485E-2</c:v>
                </c:pt>
                <c:pt idx="2995">
                  <c:v>9.3157820228693417E-3</c:v>
                </c:pt>
                <c:pt idx="2996">
                  <c:v>1.4912738377618208E-2</c:v>
                </c:pt>
                <c:pt idx="2997">
                  <c:v>1.1316847661369096E-2</c:v>
                </c:pt>
                <c:pt idx="2998">
                  <c:v>1.7871638832514841E-2</c:v>
                </c:pt>
                <c:pt idx="2999">
                  <c:v>1.3849894403893377E-2</c:v>
                </c:pt>
                <c:pt idx="3000">
                  <c:v>1.1579199744869626E-2</c:v>
                </c:pt>
                <c:pt idx="3001">
                  <c:v>1.0199118291272596E-2</c:v>
                </c:pt>
                <c:pt idx="3002">
                  <c:v>1.0218522226017952E-2</c:v>
                </c:pt>
                <c:pt idx="3003">
                  <c:v>1.4125154049091999E-2</c:v>
                </c:pt>
                <c:pt idx="3004">
                  <c:v>1.6360203031018032E-2</c:v>
                </c:pt>
                <c:pt idx="3005">
                  <c:v>1.5528474120001454E-2</c:v>
                </c:pt>
                <c:pt idx="3006">
                  <c:v>6.7121432716622711E-3</c:v>
                </c:pt>
                <c:pt idx="3007">
                  <c:v>1.8395715759419593E-2</c:v>
                </c:pt>
                <c:pt idx="3008">
                  <c:v>1.5072756399316824E-2</c:v>
                </c:pt>
                <c:pt idx="3009">
                  <c:v>1.0200049368475052E-2</c:v>
                </c:pt>
                <c:pt idx="3010">
                  <c:v>1.4131033776610676E-2</c:v>
                </c:pt>
                <c:pt idx="3011">
                  <c:v>1.6605098630716873E-2</c:v>
                </c:pt>
                <c:pt idx="3012">
                  <c:v>1.3005566087976737E-2</c:v>
                </c:pt>
                <c:pt idx="3013">
                  <c:v>1.4367156485985239E-2</c:v>
                </c:pt>
                <c:pt idx="3014">
                  <c:v>9.3187560275488669E-3</c:v>
                </c:pt>
                <c:pt idx="3015">
                  <c:v>1.0578744887028991E-2</c:v>
                </c:pt>
                <c:pt idx="3016">
                  <c:v>1.1802072767918633E-2</c:v>
                </c:pt>
                <c:pt idx="3017">
                  <c:v>1.3424167007732985E-2</c:v>
                </c:pt>
                <c:pt idx="3018">
                  <c:v>1.2956551174077428E-2</c:v>
                </c:pt>
                <c:pt idx="3019">
                  <c:v>1.4210476746707952E-2</c:v>
                </c:pt>
                <c:pt idx="3020">
                  <c:v>9.5732977198468207E-3</c:v>
                </c:pt>
                <c:pt idx="3021">
                  <c:v>1.0444953040813672E-2</c:v>
                </c:pt>
                <c:pt idx="3022">
                  <c:v>1.5054569369537061E-2</c:v>
                </c:pt>
                <c:pt idx="3023">
                  <c:v>1.0955838867752705E-2</c:v>
                </c:pt>
                <c:pt idx="3024">
                  <c:v>1.1618843258280597E-2</c:v>
                </c:pt>
                <c:pt idx="3025">
                  <c:v>9.5973862690342821E-3</c:v>
                </c:pt>
                <c:pt idx="3026">
                  <c:v>1.5255066422544934E-2</c:v>
                </c:pt>
                <c:pt idx="3027">
                  <c:v>1.3476815384015758E-2</c:v>
                </c:pt>
                <c:pt idx="3028">
                  <c:v>9.7409704201740031E-3</c:v>
                </c:pt>
                <c:pt idx="3029">
                  <c:v>1.066504244025005E-2</c:v>
                </c:pt>
                <c:pt idx="3030">
                  <c:v>1.2726230744355057E-2</c:v>
                </c:pt>
                <c:pt idx="3031">
                  <c:v>9.4537584062651028E-3</c:v>
                </c:pt>
                <c:pt idx="3032">
                  <c:v>1.4637253852239254E-2</c:v>
                </c:pt>
                <c:pt idx="3033">
                  <c:v>1.3061675215031326E-2</c:v>
                </c:pt>
                <c:pt idx="3034">
                  <c:v>1.1486351318839291E-2</c:v>
                </c:pt>
                <c:pt idx="3035">
                  <c:v>1.8442017106727406E-2</c:v>
                </c:pt>
                <c:pt idx="3036">
                  <c:v>9.7707749482850645E-3</c:v>
                </c:pt>
                <c:pt idx="3037">
                  <c:v>1.8661079521685268E-2</c:v>
                </c:pt>
                <c:pt idx="3038">
                  <c:v>1.906302168500059E-2</c:v>
                </c:pt>
                <c:pt idx="3039">
                  <c:v>1.4043816940215014E-2</c:v>
                </c:pt>
                <c:pt idx="3040">
                  <c:v>1.5072756399316824E-2</c:v>
                </c:pt>
                <c:pt idx="3041">
                  <c:v>1.3993973667379787E-2</c:v>
                </c:pt>
                <c:pt idx="3042">
                  <c:v>1.3817706763828255E-2</c:v>
                </c:pt>
                <c:pt idx="3043">
                  <c:v>1.1173025858215857E-2</c:v>
                </c:pt>
                <c:pt idx="3044">
                  <c:v>1.383981491350712E-2</c:v>
                </c:pt>
                <c:pt idx="3045">
                  <c:v>9.5662104058997343E-3</c:v>
                </c:pt>
                <c:pt idx="3046">
                  <c:v>1.0085693567215347E-2</c:v>
                </c:pt>
                <c:pt idx="3047">
                  <c:v>1.1882796521238392E-2</c:v>
                </c:pt>
                <c:pt idx="3048">
                  <c:v>1.4741319428931792E-2</c:v>
                </c:pt>
                <c:pt idx="3049">
                  <c:v>1.4749960029107697E-2</c:v>
                </c:pt>
                <c:pt idx="3050">
                  <c:v>9.5873623670378865E-3</c:v>
                </c:pt>
                <c:pt idx="3051">
                  <c:v>1.2572189861927166E-2</c:v>
                </c:pt>
                <c:pt idx="3052">
                  <c:v>1.4319271568267726E-2</c:v>
                </c:pt>
                <c:pt idx="3053">
                  <c:v>9.6232476208579377E-3</c:v>
                </c:pt>
                <c:pt idx="3054">
                  <c:v>1.2461492430334014E-2</c:v>
                </c:pt>
                <c:pt idx="3055">
                  <c:v>9.6232476208579342E-3</c:v>
                </c:pt>
                <c:pt idx="3056">
                  <c:v>9.638502077334056E-3</c:v>
                </c:pt>
                <c:pt idx="3057">
                  <c:v>9.9178413612654118E-3</c:v>
                </c:pt>
                <c:pt idx="3058">
                  <c:v>1.1484025901896058E-2</c:v>
                </c:pt>
                <c:pt idx="3059">
                  <c:v>1.4273481573858949E-2</c:v>
                </c:pt>
                <c:pt idx="3060">
                  <c:v>1.2448201929324788E-2</c:v>
                </c:pt>
                <c:pt idx="3061">
                  <c:v>1.0657284975144706E-2</c:v>
                </c:pt>
                <c:pt idx="3062">
                  <c:v>1.1671651481763246E-2</c:v>
                </c:pt>
                <c:pt idx="3063">
                  <c:v>1.3619209747268509E-2</c:v>
                </c:pt>
                <c:pt idx="3064">
                  <c:v>1.2452013241390435E-2</c:v>
                </c:pt>
                <c:pt idx="3065">
                  <c:v>1.142506052557132E-2</c:v>
                </c:pt>
                <c:pt idx="3066">
                  <c:v>1.2348515866267099E-2</c:v>
                </c:pt>
                <c:pt idx="3067">
                  <c:v>1.8661079521685268E-2</c:v>
                </c:pt>
                <c:pt idx="3068">
                  <c:v>1.2989156683119321E-2</c:v>
                </c:pt>
                <c:pt idx="3069">
                  <c:v>1.516744641352482E-2</c:v>
                </c:pt>
                <c:pt idx="3070">
                  <c:v>1.0190149252564945E-2</c:v>
                </c:pt>
                <c:pt idx="3071">
                  <c:v>1.2851780203183156E-2</c:v>
                </c:pt>
                <c:pt idx="3072">
                  <c:v>1.499625912981839E-2</c:v>
                </c:pt>
                <c:pt idx="3073">
                  <c:v>1.2737583146090536E-2</c:v>
                </c:pt>
                <c:pt idx="3074">
                  <c:v>1.0176240361465999E-2</c:v>
                </c:pt>
                <c:pt idx="3075">
                  <c:v>1.116685011001498E-2</c:v>
                </c:pt>
                <c:pt idx="3076">
                  <c:v>1.206492048453863E-2</c:v>
                </c:pt>
                <c:pt idx="3077">
                  <c:v>1.0031491481697635E-2</c:v>
                </c:pt>
                <c:pt idx="3078">
                  <c:v>1.0830604417662265E-2</c:v>
                </c:pt>
                <c:pt idx="3079">
                  <c:v>1.4687882405459705E-2</c:v>
                </c:pt>
                <c:pt idx="3080">
                  <c:v>1.4921230354064298E-2</c:v>
                </c:pt>
                <c:pt idx="3081">
                  <c:v>1.0502583005742474E-2</c:v>
                </c:pt>
                <c:pt idx="3082">
                  <c:v>1.4013216223519354E-2</c:v>
                </c:pt>
                <c:pt idx="3083">
                  <c:v>1.0220621362782867E-2</c:v>
                </c:pt>
                <c:pt idx="3084">
                  <c:v>1.2697990747457701E-2</c:v>
                </c:pt>
                <c:pt idx="3085">
                  <c:v>9.7666263457272025E-3</c:v>
                </c:pt>
                <c:pt idx="3086">
                  <c:v>1.3496918443774489E-2</c:v>
                </c:pt>
                <c:pt idx="3087">
                  <c:v>9.6457435193395089E-3</c:v>
                </c:pt>
                <c:pt idx="3088">
                  <c:v>1.2030262807684834E-2</c:v>
                </c:pt>
                <c:pt idx="3089">
                  <c:v>1.2977494831131907E-2</c:v>
                </c:pt>
                <c:pt idx="3090">
                  <c:v>1.2947504530533947E-2</c:v>
                </c:pt>
                <c:pt idx="3091">
                  <c:v>1.1369993683639858E-2</c:v>
                </c:pt>
                <c:pt idx="3092">
                  <c:v>1.1126261192309094E-2</c:v>
                </c:pt>
                <c:pt idx="3093">
                  <c:v>9.2658541858116443E-3</c:v>
                </c:pt>
                <c:pt idx="3094">
                  <c:v>1.0043837765143251E-2</c:v>
                </c:pt>
                <c:pt idx="3095">
                  <c:v>1.1719600580907156E-2</c:v>
                </c:pt>
                <c:pt idx="3096">
                  <c:v>9.6223646147815031E-3</c:v>
                </c:pt>
                <c:pt idx="3097">
                  <c:v>1.0678381654700331E-2</c:v>
                </c:pt>
                <c:pt idx="3098">
                  <c:v>1.2508874672111822E-2</c:v>
                </c:pt>
                <c:pt idx="3099">
                  <c:v>1.0752730874939696E-2</c:v>
                </c:pt>
                <c:pt idx="3100">
                  <c:v>1.0591420989987827E-2</c:v>
                </c:pt>
                <c:pt idx="3101">
                  <c:v>1.0091667631066859E-2</c:v>
                </c:pt>
                <c:pt idx="3102">
                  <c:v>1.5712515718385011E-2</c:v>
                </c:pt>
                <c:pt idx="3103">
                  <c:v>1.3130109418637157E-2</c:v>
                </c:pt>
                <c:pt idx="3104">
                  <c:v>1.1413888373979416E-2</c:v>
                </c:pt>
                <c:pt idx="3105">
                  <c:v>1.457921900807845E-2</c:v>
                </c:pt>
                <c:pt idx="3106">
                  <c:v>1.0882144660086537E-2</c:v>
                </c:pt>
                <c:pt idx="3107">
                  <c:v>1.499625912981839E-2</c:v>
                </c:pt>
                <c:pt idx="3108">
                  <c:v>1.5434244138739563E-2</c:v>
                </c:pt>
                <c:pt idx="3109">
                  <c:v>1.366478461231335E-2</c:v>
                </c:pt>
                <c:pt idx="3110">
                  <c:v>1.3993973667379787E-2</c:v>
                </c:pt>
                <c:pt idx="3111">
                  <c:v>1.4244000335516106E-2</c:v>
                </c:pt>
                <c:pt idx="3112">
                  <c:v>1.4753680806282199E-2</c:v>
                </c:pt>
                <c:pt idx="3113">
                  <c:v>1.4149364049741842E-2</c:v>
                </c:pt>
                <c:pt idx="3114">
                  <c:v>1.0750217257443895E-2</c:v>
                </c:pt>
                <c:pt idx="3115">
                  <c:v>9.588121303623345E-3</c:v>
                </c:pt>
                <c:pt idx="3116">
                  <c:v>1.8928536094734424E-2</c:v>
                </c:pt>
                <c:pt idx="3117">
                  <c:v>1.2652110009115989E-2</c:v>
                </c:pt>
                <c:pt idx="3118">
                  <c:v>1.4741319428931792E-2</c:v>
                </c:pt>
                <c:pt idx="3119">
                  <c:v>1.4227492800594425E-2</c:v>
                </c:pt>
                <c:pt idx="3120">
                  <c:v>9.3010526532265759E-3</c:v>
                </c:pt>
                <c:pt idx="3121">
                  <c:v>1.1647066851613373E-2</c:v>
                </c:pt>
                <c:pt idx="3122">
                  <c:v>1.4319271568267726E-2</c:v>
                </c:pt>
                <c:pt idx="3123">
                  <c:v>9.6232476208579342E-3</c:v>
                </c:pt>
                <c:pt idx="3124">
                  <c:v>1.1432085697151402E-2</c:v>
                </c:pt>
                <c:pt idx="3125">
                  <c:v>9.7409704201740031E-3</c:v>
                </c:pt>
                <c:pt idx="3126">
                  <c:v>9.638502077334056E-3</c:v>
                </c:pt>
                <c:pt idx="3127">
                  <c:v>9.9178413612654118E-3</c:v>
                </c:pt>
                <c:pt idx="3128">
                  <c:v>1.5446095628772302E-2</c:v>
                </c:pt>
                <c:pt idx="3129">
                  <c:v>1.1691398477242319E-2</c:v>
                </c:pt>
                <c:pt idx="3130">
                  <c:v>1.1170957929046488E-2</c:v>
                </c:pt>
                <c:pt idx="3131">
                  <c:v>1.334525241386334E-2</c:v>
                </c:pt>
                <c:pt idx="3132">
                  <c:v>1.5419015476876895E-2</c:v>
                </c:pt>
                <c:pt idx="3133">
                  <c:v>1.3819153349778549E-2</c:v>
                </c:pt>
                <c:pt idx="3134">
                  <c:v>1.4579219008078452E-2</c:v>
                </c:pt>
                <c:pt idx="3135">
                  <c:v>1.0181207525561852E-2</c:v>
                </c:pt>
                <c:pt idx="3136">
                  <c:v>1.4830630810695749E-2</c:v>
                </c:pt>
                <c:pt idx="3137">
                  <c:v>1.3151710262340825E-2</c:v>
                </c:pt>
                <c:pt idx="3138">
                  <c:v>1.4516805794357721E-2</c:v>
                </c:pt>
                <c:pt idx="3139">
                  <c:v>1.0444953040813672E-2</c:v>
                </c:pt>
                <c:pt idx="3140">
                  <c:v>1.8001796391182507E-2</c:v>
                </c:pt>
                <c:pt idx="3141">
                  <c:v>1.3823512354188865E-2</c:v>
                </c:pt>
                <c:pt idx="3142">
                  <c:v>1.1234592652910182E-2</c:v>
                </c:pt>
                <c:pt idx="3143">
                  <c:v>1.6360203031018032E-2</c:v>
                </c:pt>
                <c:pt idx="3144">
                  <c:v>1.1963198236748265E-2</c:v>
                </c:pt>
                <c:pt idx="3145">
                  <c:v>1.1629748067229211E-2</c:v>
                </c:pt>
                <c:pt idx="3146">
                  <c:v>1.1963198236748265E-2</c:v>
                </c:pt>
                <c:pt idx="3147">
                  <c:v>9.9320708038882766E-3</c:v>
                </c:pt>
                <c:pt idx="3148">
                  <c:v>1.4054415181796755E-2</c:v>
                </c:pt>
                <c:pt idx="3149">
                  <c:v>1.537946398945194E-2</c:v>
                </c:pt>
                <c:pt idx="3150">
                  <c:v>1.1364854104034918E-2</c:v>
                </c:pt>
                <c:pt idx="3151">
                  <c:v>9.6223646147814996E-3</c:v>
                </c:pt>
                <c:pt idx="3152">
                  <c:v>1.3649794052686806E-2</c:v>
                </c:pt>
                <c:pt idx="3153">
                  <c:v>1.5998727079513646E-2</c:v>
                </c:pt>
                <c:pt idx="3154">
                  <c:v>1.0195347849601398E-2</c:v>
                </c:pt>
                <c:pt idx="3155">
                  <c:v>1.4148879873072288E-2</c:v>
                </c:pt>
                <c:pt idx="3156">
                  <c:v>1.2857125702901429E-2</c:v>
                </c:pt>
                <c:pt idx="3157">
                  <c:v>1.0222067384148796E-2</c:v>
                </c:pt>
                <c:pt idx="3158">
                  <c:v>1.2030262807684834E-2</c:v>
                </c:pt>
                <c:pt idx="3159">
                  <c:v>1.2977494831131907E-2</c:v>
                </c:pt>
                <c:pt idx="3160">
                  <c:v>1.2947504530533947E-2</c:v>
                </c:pt>
                <c:pt idx="3161">
                  <c:v>1.1129253837044741E-2</c:v>
                </c:pt>
                <c:pt idx="3162">
                  <c:v>1.3474696834592237E-2</c:v>
                </c:pt>
                <c:pt idx="3163">
                  <c:v>1.4667995151507443E-2</c:v>
                </c:pt>
                <c:pt idx="3164">
                  <c:v>1.906302168500059E-2</c:v>
                </c:pt>
                <c:pt idx="3165">
                  <c:v>1.0153471483995237E-2</c:v>
                </c:pt>
                <c:pt idx="3166">
                  <c:v>9.4667650248786064E-3</c:v>
                </c:pt>
                <c:pt idx="3167">
                  <c:v>1.6118413230157853E-2</c:v>
                </c:pt>
                <c:pt idx="3168">
                  <c:v>1.052984090491826E-2</c:v>
                </c:pt>
                <c:pt idx="3169">
                  <c:v>1.1513035913477059E-2</c:v>
                </c:pt>
                <c:pt idx="3170">
                  <c:v>1.8794551774568874E-2</c:v>
                </c:pt>
                <c:pt idx="3171">
                  <c:v>1.0993097010197302E-2</c:v>
                </c:pt>
                <c:pt idx="3172">
                  <c:v>1.561852098904238E-2</c:v>
                </c:pt>
                <c:pt idx="3173">
                  <c:v>1.3268784103789989E-2</c:v>
                </c:pt>
                <c:pt idx="3174">
                  <c:v>9.3566196890169338E-3</c:v>
                </c:pt>
                <c:pt idx="3175">
                  <c:v>1.5525756402284053E-2</c:v>
                </c:pt>
                <c:pt idx="3176">
                  <c:v>1.0861097745237679E-2</c:v>
                </c:pt>
                <c:pt idx="3177">
                  <c:v>1.4912738377618209E-2</c:v>
                </c:pt>
                <c:pt idx="3178">
                  <c:v>1.4830630810695748E-2</c:v>
                </c:pt>
                <c:pt idx="3179">
                  <c:v>1.1075610390415037E-2</c:v>
                </c:pt>
                <c:pt idx="3180">
                  <c:v>1.4201752820903989E-2</c:v>
                </c:pt>
                <c:pt idx="3181">
                  <c:v>1.4244000335516106E-2</c:v>
                </c:pt>
                <c:pt idx="3182">
                  <c:v>1.4804717060040433E-2</c:v>
                </c:pt>
                <c:pt idx="3183">
                  <c:v>1.4043816940215016E-2</c:v>
                </c:pt>
                <c:pt idx="3184">
                  <c:v>1.1886501898264552E-2</c:v>
                </c:pt>
                <c:pt idx="3185">
                  <c:v>9.8843098263965493E-3</c:v>
                </c:pt>
                <c:pt idx="3186">
                  <c:v>1.3530030108669469E-2</c:v>
                </c:pt>
                <c:pt idx="3187">
                  <c:v>1.072448009352224E-2</c:v>
                </c:pt>
                <c:pt idx="3188">
                  <c:v>9.7367975758016808E-3</c:v>
                </c:pt>
                <c:pt idx="3189">
                  <c:v>1.3842810103737418E-2</c:v>
                </c:pt>
                <c:pt idx="3190">
                  <c:v>9.3010526532265759E-3</c:v>
                </c:pt>
                <c:pt idx="3191">
                  <c:v>1.1574349904487516E-2</c:v>
                </c:pt>
                <c:pt idx="3192">
                  <c:v>1.2313357624674387E-2</c:v>
                </c:pt>
                <c:pt idx="3193">
                  <c:v>1.0841930266926056E-2</c:v>
                </c:pt>
                <c:pt idx="3194">
                  <c:v>9.7666263457272025E-3</c:v>
                </c:pt>
                <c:pt idx="3195">
                  <c:v>9.7939735866188465E-3</c:v>
                </c:pt>
                <c:pt idx="3196">
                  <c:v>1.5185250871918809E-2</c:v>
                </c:pt>
                <c:pt idx="3197">
                  <c:v>1.4639563893888013E-2</c:v>
                </c:pt>
                <c:pt idx="3198">
                  <c:v>1.1752377308224945E-2</c:v>
                </c:pt>
                <c:pt idx="3199">
                  <c:v>1.1455371067726944E-2</c:v>
                </c:pt>
                <c:pt idx="3200">
                  <c:v>1.0863843254780882E-2</c:v>
                </c:pt>
                <c:pt idx="3201">
                  <c:v>1.4161652659714676E-2</c:v>
                </c:pt>
                <c:pt idx="3202">
                  <c:v>1.4148879873072288E-2</c:v>
                </c:pt>
                <c:pt idx="3203">
                  <c:v>1.0556532643402264E-2</c:v>
                </c:pt>
                <c:pt idx="3204">
                  <c:v>1.4523169030091784E-2</c:v>
                </c:pt>
                <c:pt idx="3205">
                  <c:v>9.7353358492002998E-3</c:v>
                </c:pt>
                <c:pt idx="3206">
                  <c:v>1.774207684011481E-2</c:v>
                </c:pt>
                <c:pt idx="3207">
                  <c:v>1.3104407967747608E-2</c:v>
                </c:pt>
                <c:pt idx="3208">
                  <c:v>1.4368989816425544E-2</c:v>
                </c:pt>
                <c:pt idx="3209">
                  <c:v>1.3921621685847853E-2</c:v>
                </c:pt>
                <c:pt idx="3210">
                  <c:v>1.3674008432626254E-2</c:v>
                </c:pt>
                <c:pt idx="3211">
                  <c:v>1.0737484730818526E-2</c:v>
                </c:pt>
                <c:pt idx="3212">
                  <c:v>1.1828804506508932E-2</c:v>
                </c:pt>
                <c:pt idx="3213">
                  <c:v>1.383981491350712E-2</c:v>
                </c:pt>
                <c:pt idx="3214">
                  <c:v>1.3876992723142755E-2</c:v>
                </c:pt>
                <c:pt idx="3215">
                  <c:v>1.561852098904238E-2</c:v>
                </c:pt>
                <c:pt idx="3216">
                  <c:v>1.5072756399316824E-2</c:v>
                </c:pt>
                <c:pt idx="3217">
                  <c:v>1.3993973667379783E-2</c:v>
                </c:pt>
                <c:pt idx="3218">
                  <c:v>1.3646202111630722E-2</c:v>
                </c:pt>
                <c:pt idx="3219">
                  <c:v>1.6494885824739906E-2</c:v>
                </c:pt>
                <c:pt idx="3220">
                  <c:v>1.3744479684159578E-2</c:v>
                </c:pt>
                <c:pt idx="3221">
                  <c:v>9.4612598071564039E-3</c:v>
                </c:pt>
                <c:pt idx="3222">
                  <c:v>1.2361010949764852E-2</c:v>
                </c:pt>
                <c:pt idx="3223">
                  <c:v>9.9420772303397548E-3</c:v>
                </c:pt>
                <c:pt idx="3224">
                  <c:v>1.0194846333248127E-2</c:v>
                </c:pt>
                <c:pt idx="3225">
                  <c:v>1.4749960029107695E-2</c:v>
                </c:pt>
                <c:pt idx="3226">
                  <c:v>1.2273748333624107E-2</c:v>
                </c:pt>
                <c:pt idx="3227">
                  <c:v>1.0660050830541737E-2</c:v>
                </c:pt>
                <c:pt idx="3228">
                  <c:v>1.2405137846844142E-2</c:v>
                </c:pt>
                <c:pt idx="3229">
                  <c:v>1.1057482598393084E-2</c:v>
                </c:pt>
                <c:pt idx="3230">
                  <c:v>9.4631693011843054E-3</c:v>
                </c:pt>
                <c:pt idx="3231">
                  <c:v>1.3612880609491222E-2</c:v>
                </c:pt>
                <c:pt idx="3232">
                  <c:v>1.0199118291272596E-2</c:v>
                </c:pt>
                <c:pt idx="3233">
                  <c:v>1.278526533182937E-2</c:v>
                </c:pt>
                <c:pt idx="3234">
                  <c:v>1.1419715928306165E-2</c:v>
                </c:pt>
                <c:pt idx="3235">
                  <c:v>9.8517444126806422E-3</c:v>
                </c:pt>
                <c:pt idx="3236">
                  <c:v>1.1369993683639855E-2</c:v>
                </c:pt>
                <c:pt idx="3237">
                  <c:v>8.1965134461679853E-3</c:v>
                </c:pt>
                <c:pt idx="3238">
                  <c:v>1.1057566415671835E-2</c:v>
                </c:pt>
                <c:pt idx="3239">
                  <c:v>1.3494170850110003E-2</c:v>
                </c:pt>
                <c:pt idx="3240">
                  <c:v>1.2186663236071689E-2</c:v>
                </c:pt>
                <c:pt idx="3241">
                  <c:v>1.5081169588307179E-2</c:v>
                </c:pt>
                <c:pt idx="3242">
                  <c:v>1.1579199744869626E-2</c:v>
                </c:pt>
                <c:pt idx="3243">
                  <c:v>1.4850768084664569E-2</c:v>
                </c:pt>
                <c:pt idx="3244">
                  <c:v>1.3112988436391913E-2</c:v>
                </c:pt>
                <c:pt idx="3245">
                  <c:v>1.6001662566933018E-2</c:v>
                </c:pt>
                <c:pt idx="3246">
                  <c:v>1.0095484143783874E-2</c:v>
                </c:pt>
                <c:pt idx="3247">
                  <c:v>1.6852964635850839E-2</c:v>
                </c:pt>
                <c:pt idx="3248">
                  <c:v>1.4043816940215016E-2</c:v>
                </c:pt>
                <c:pt idx="3249">
                  <c:v>1.3876992723142755E-2</c:v>
                </c:pt>
                <c:pt idx="3250">
                  <c:v>1.4244000335516106E-2</c:v>
                </c:pt>
                <c:pt idx="3251">
                  <c:v>1.4598173478091841E-2</c:v>
                </c:pt>
                <c:pt idx="3252">
                  <c:v>1.206492048453863E-2</c:v>
                </c:pt>
                <c:pt idx="3253">
                  <c:v>1.5435797652496603E-2</c:v>
                </c:pt>
                <c:pt idx="3254">
                  <c:v>1.1886501898264552E-2</c:v>
                </c:pt>
                <c:pt idx="3255">
                  <c:v>9.79297442921662E-3</c:v>
                </c:pt>
                <c:pt idx="3256">
                  <c:v>1.4229806726489979E-2</c:v>
                </c:pt>
                <c:pt idx="3257">
                  <c:v>1.2469315274133525E-2</c:v>
                </c:pt>
                <c:pt idx="3258">
                  <c:v>1.035247610350129E-2</c:v>
                </c:pt>
                <c:pt idx="3259">
                  <c:v>1.3842810103737418E-2</c:v>
                </c:pt>
                <c:pt idx="3260">
                  <c:v>9.4979224674074953E-3</c:v>
                </c:pt>
                <c:pt idx="3261">
                  <c:v>1.2326514362375406E-2</c:v>
                </c:pt>
                <c:pt idx="3262">
                  <c:v>1.1765403577955511E-2</c:v>
                </c:pt>
                <c:pt idx="3263">
                  <c:v>1.0793486480514062E-2</c:v>
                </c:pt>
                <c:pt idx="3264">
                  <c:v>1.2071617542513473E-2</c:v>
                </c:pt>
                <c:pt idx="3265">
                  <c:v>9.9927369620703664E-3</c:v>
                </c:pt>
                <c:pt idx="3266">
                  <c:v>1.4525629572576098E-2</c:v>
                </c:pt>
                <c:pt idx="3267">
                  <c:v>1.4517423369583797E-2</c:v>
                </c:pt>
                <c:pt idx="3268">
                  <c:v>1.1729239381610176E-2</c:v>
                </c:pt>
                <c:pt idx="3269">
                  <c:v>1.0495771754705738E-2</c:v>
                </c:pt>
                <c:pt idx="3270">
                  <c:v>9.5732977198468207E-3</c:v>
                </c:pt>
                <c:pt idx="3271">
                  <c:v>1.320033963082907E-2</c:v>
                </c:pt>
                <c:pt idx="3272">
                  <c:v>1.4148879873072288E-2</c:v>
                </c:pt>
                <c:pt idx="3273">
                  <c:v>1.0327642931333078E-2</c:v>
                </c:pt>
                <c:pt idx="3274">
                  <c:v>1.4319271568267723E-2</c:v>
                </c:pt>
                <c:pt idx="3275">
                  <c:v>1.0771371211474822E-2</c:v>
                </c:pt>
                <c:pt idx="3276">
                  <c:v>1.7613123556929056E-2</c:v>
                </c:pt>
                <c:pt idx="3277">
                  <c:v>1.3104407967747608E-2</c:v>
                </c:pt>
                <c:pt idx="3278">
                  <c:v>1.3902640725373946E-2</c:v>
                </c:pt>
                <c:pt idx="3279">
                  <c:v>1.0240550212973458E-2</c:v>
                </c:pt>
                <c:pt idx="3280">
                  <c:v>1.3674008432626254E-2</c:v>
                </c:pt>
                <c:pt idx="3281">
                  <c:v>1.0744266522931405E-2</c:v>
                </c:pt>
                <c:pt idx="3282">
                  <c:v>1.1828804506508932E-2</c:v>
                </c:pt>
                <c:pt idx="3283">
                  <c:v>1.3834362163160023E-2</c:v>
                </c:pt>
                <c:pt idx="3284">
                  <c:v>1.3974092198420055E-2</c:v>
                </c:pt>
                <c:pt idx="3285">
                  <c:v>1.1401739475669198E-2</c:v>
                </c:pt>
                <c:pt idx="3286">
                  <c:v>1.0717294861603555E-2</c:v>
                </c:pt>
                <c:pt idx="3287">
                  <c:v>1.1175140626029936E-2</c:v>
                </c:pt>
                <c:pt idx="3288">
                  <c:v>1.359938778844179E-2</c:v>
                </c:pt>
                <c:pt idx="3289">
                  <c:v>1.265287251970976E-2</c:v>
                </c:pt>
                <c:pt idx="3290">
                  <c:v>9.4385560935611058E-3</c:v>
                </c:pt>
                <c:pt idx="3291">
                  <c:v>1.2223536566393722E-2</c:v>
                </c:pt>
                <c:pt idx="3292">
                  <c:v>1.0180721706546275E-2</c:v>
                </c:pt>
                <c:pt idx="3293">
                  <c:v>1.0477683370083909E-2</c:v>
                </c:pt>
                <c:pt idx="3294">
                  <c:v>1.1963198236748265E-2</c:v>
                </c:pt>
                <c:pt idx="3295">
                  <c:v>1.1499908443407451E-2</c:v>
                </c:pt>
                <c:pt idx="3296">
                  <c:v>1.4367156485985239E-2</c:v>
                </c:pt>
                <c:pt idx="3297">
                  <c:v>1.1376920281012446E-2</c:v>
                </c:pt>
                <c:pt idx="3298">
                  <c:v>1.1655956712977653E-2</c:v>
                </c:pt>
                <c:pt idx="3299">
                  <c:v>9.4631693011843054E-3</c:v>
                </c:pt>
                <c:pt idx="3300">
                  <c:v>1.2977494831131907E-2</c:v>
                </c:pt>
                <c:pt idx="3301">
                  <c:v>9.9178413612654118E-3</c:v>
                </c:pt>
                <c:pt idx="3302">
                  <c:v>1.323406954811086E-2</c:v>
                </c:pt>
                <c:pt idx="3303">
                  <c:v>1.1419715928306165E-2</c:v>
                </c:pt>
                <c:pt idx="3304">
                  <c:v>9.8211596976906772E-3</c:v>
                </c:pt>
                <c:pt idx="3305">
                  <c:v>1.1692673745779494E-2</c:v>
                </c:pt>
                <c:pt idx="3306">
                  <c:v>1.0698354787249963E-2</c:v>
                </c:pt>
                <c:pt idx="3307">
                  <c:v>1.1619582825234074E-2</c:v>
                </c:pt>
                <c:pt idx="3308">
                  <c:v>1.3542724826005806E-2</c:v>
                </c:pt>
                <c:pt idx="3309">
                  <c:v>1.8661079521685268E-2</c:v>
                </c:pt>
                <c:pt idx="3310">
                  <c:v>1.4452811593038477E-2</c:v>
                </c:pt>
                <c:pt idx="3311">
                  <c:v>1.4368989816425542E-2</c:v>
                </c:pt>
                <c:pt idx="3312">
                  <c:v>9.9547357120189899E-3</c:v>
                </c:pt>
                <c:pt idx="3313">
                  <c:v>1.0840390896534003E-2</c:v>
                </c:pt>
                <c:pt idx="3314">
                  <c:v>1.1234592652910182E-2</c:v>
                </c:pt>
                <c:pt idx="3315">
                  <c:v>1.4206750705193845E-2</c:v>
                </c:pt>
                <c:pt idx="3316">
                  <c:v>1.383981491350712E-2</c:v>
                </c:pt>
                <c:pt idx="3317">
                  <c:v>1.4111664700453743E-2</c:v>
                </c:pt>
                <c:pt idx="3318">
                  <c:v>1.3826620564832233E-2</c:v>
                </c:pt>
                <c:pt idx="3319">
                  <c:v>1.3874442384911178E-2</c:v>
                </c:pt>
                <c:pt idx="3320">
                  <c:v>1.1863708145930605E-2</c:v>
                </c:pt>
                <c:pt idx="3321">
                  <c:v>1.0192156839305608E-2</c:v>
                </c:pt>
                <c:pt idx="3322">
                  <c:v>1.0910238455084575E-2</c:v>
                </c:pt>
                <c:pt idx="3323">
                  <c:v>9.8716950438983708E-3</c:v>
                </c:pt>
                <c:pt idx="3324">
                  <c:v>1.4076638263943286E-2</c:v>
                </c:pt>
                <c:pt idx="3325">
                  <c:v>1.0031491481697635E-2</c:v>
                </c:pt>
                <c:pt idx="3326">
                  <c:v>1.0785346482839398E-2</c:v>
                </c:pt>
                <c:pt idx="3327">
                  <c:v>9.7224539251827453E-3</c:v>
                </c:pt>
                <c:pt idx="3328">
                  <c:v>1.4314377025050458E-2</c:v>
                </c:pt>
                <c:pt idx="3329">
                  <c:v>9.9199829762252559E-3</c:v>
                </c:pt>
                <c:pt idx="3330">
                  <c:v>1.6089958926964045E-2</c:v>
                </c:pt>
                <c:pt idx="3331">
                  <c:v>9.3430540978358036E-3</c:v>
                </c:pt>
                <c:pt idx="3332">
                  <c:v>1.324962315075676E-2</c:v>
                </c:pt>
                <c:pt idx="3333">
                  <c:v>1.0405938215396182E-2</c:v>
                </c:pt>
                <c:pt idx="3334">
                  <c:v>9.5703661724533661E-3</c:v>
                </c:pt>
                <c:pt idx="3335">
                  <c:v>1.4067350988270612E-2</c:v>
                </c:pt>
                <c:pt idx="3336">
                  <c:v>1.1170957929046488E-2</c:v>
                </c:pt>
                <c:pt idx="3337">
                  <c:v>1.2904208287738294E-2</c:v>
                </c:pt>
                <c:pt idx="3338">
                  <c:v>9.2989298434311488E-3</c:v>
                </c:pt>
                <c:pt idx="3339">
                  <c:v>1.3088010981072573E-2</c:v>
                </c:pt>
                <c:pt idx="3340">
                  <c:v>1.4912738377618208E-2</c:v>
                </c:pt>
                <c:pt idx="3341">
                  <c:v>1.007572805187607E-2</c:v>
                </c:pt>
                <c:pt idx="3342">
                  <c:v>1.4148879873072288E-2</c:v>
                </c:pt>
                <c:pt idx="3343">
                  <c:v>1.0402262587730488E-2</c:v>
                </c:pt>
                <c:pt idx="3344">
                  <c:v>1.7103671905773405E-2</c:v>
                </c:pt>
                <c:pt idx="3345">
                  <c:v>1.2735940225746895E-2</c:v>
                </c:pt>
                <c:pt idx="3346">
                  <c:v>1.0187873581924065E-2</c:v>
                </c:pt>
                <c:pt idx="3347">
                  <c:v>1.0400281849563112E-2</c:v>
                </c:pt>
                <c:pt idx="3348">
                  <c:v>1.3200339630829068E-2</c:v>
                </c:pt>
                <c:pt idx="3349">
                  <c:v>1.0607858293898598E-2</c:v>
                </c:pt>
                <c:pt idx="3350">
                  <c:v>1.1571701745567785E-2</c:v>
                </c:pt>
                <c:pt idx="3351">
                  <c:v>1.3882356534975661E-2</c:v>
                </c:pt>
                <c:pt idx="3352">
                  <c:v>1.378489049450435E-2</c:v>
                </c:pt>
                <c:pt idx="3353">
                  <c:v>1.0154326017134094E-2</c:v>
                </c:pt>
                <c:pt idx="3354">
                  <c:v>1.0508191426356612E-2</c:v>
                </c:pt>
                <c:pt idx="3355">
                  <c:v>1.1264950394634718E-2</c:v>
                </c:pt>
                <c:pt idx="3356">
                  <c:v>1.5344006605141125E-2</c:v>
                </c:pt>
                <c:pt idx="3357">
                  <c:v>1.3169745652843842E-2</c:v>
                </c:pt>
                <c:pt idx="3358">
                  <c:v>9.5736305537674742E-3</c:v>
                </c:pt>
                <c:pt idx="3359">
                  <c:v>1.2646625990094095E-2</c:v>
                </c:pt>
                <c:pt idx="3360">
                  <c:v>1.2128905133922403E-2</c:v>
                </c:pt>
                <c:pt idx="3361">
                  <c:v>1.1293172079645199E-2</c:v>
                </c:pt>
                <c:pt idx="3362">
                  <c:v>1.5774664080520265E-2</c:v>
                </c:pt>
                <c:pt idx="3363">
                  <c:v>1.2462102201990271E-2</c:v>
                </c:pt>
                <c:pt idx="3364">
                  <c:v>1.3293412707075857E-2</c:v>
                </c:pt>
                <c:pt idx="3365">
                  <c:v>1.109771789494763E-2</c:v>
                </c:pt>
                <c:pt idx="3366">
                  <c:v>1.1833552155406223E-2</c:v>
                </c:pt>
                <c:pt idx="3367">
                  <c:v>1.1296138222862523E-2</c:v>
                </c:pt>
                <c:pt idx="3368">
                  <c:v>1.5528474120001454E-2</c:v>
                </c:pt>
                <c:pt idx="3369">
                  <c:v>1.3783972645453134E-2</c:v>
                </c:pt>
                <c:pt idx="3370">
                  <c:v>1.1117222667343739E-2</c:v>
                </c:pt>
                <c:pt idx="3371">
                  <c:v>1.0985687356024386E-2</c:v>
                </c:pt>
                <c:pt idx="3372">
                  <c:v>9.4508110421944094E-3</c:v>
                </c:pt>
                <c:pt idx="3373">
                  <c:v>1.4054415181796754E-2</c:v>
                </c:pt>
                <c:pt idx="3374">
                  <c:v>1.4273481573858949E-2</c:v>
                </c:pt>
                <c:pt idx="3375">
                  <c:v>1.0662128183616516E-2</c:v>
                </c:pt>
                <c:pt idx="3376">
                  <c:v>1.2418371488511373E-2</c:v>
                </c:pt>
                <c:pt idx="3377">
                  <c:v>1.0850416461202859E-2</c:v>
                </c:pt>
                <c:pt idx="3378">
                  <c:v>1.5933010011191028E-2</c:v>
                </c:pt>
                <c:pt idx="3379">
                  <c:v>1.0283284436038657E-2</c:v>
                </c:pt>
                <c:pt idx="3380">
                  <c:v>1.4516805794357719E-2</c:v>
                </c:pt>
                <c:pt idx="3381">
                  <c:v>1.0124346513617766E-2</c:v>
                </c:pt>
                <c:pt idx="3382">
                  <c:v>1.1126261192309094E-2</c:v>
                </c:pt>
                <c:pt idx="3383">
                  <c:v>1.0933102399933914E-2</c:v>
                </c:pt>
                <c:pt idx="3384">
                  <c:v>1.4129622030865182E-2</c:v>
                </c:pt>
                <c:pt idx="3385">
                  <c:v>1.386228907498102E-2</c:v>
                </c:pt>
                <c:pt idx="3386">
                  <c:v>1.3913296519489131E-2</c:v>
                </c:pt>
                <c:pt idx="3387">
                  <c:v>1.3784746290399724E-2</c:v>
                </c:pt>
                <c:pt idx="3388">
                  <c:v>1.2694576815348637E-2</c:v>
                </c:pt>
                <c:pt idx="3389">
                  <c:v>1.0609211937929571E-2</c:v>
                </c:pt>
                <c:pt idx="3390">
                  <c:v>1.0074982223260288E-2</c:v>
                </c:pt>
                <c:pt idx="3391">
                  <c:v>1.6100360939876667E-2</c:v>
                </c:pt>
                <c:pt idx="3392">
                  <c:v>1.1970299990562367E-2</c:v>
                </c:pt>
                <c:pt idx="3393">
                  <c:v>1.3811215636459411E-2</c:v>
                </c:pt>
                <c:pt idx="3394">
                  <c:v>1.0031491481697635E-2</c:v>
                </c:pt>
                <c:pt idx="3395">
                  <c:v>1.0392937603379624E-2</c:v>
                </c:pt>
                <c:pt idx="3396">
                  <c:v>9.8334059489317057E-3</c:v>
                </c:pt>
                <c:pt idx="3397">
                  <c:v>1.2808183960481218E-2</c:v>
                </c:pt>
                <c:pt idx="3398">
                  <c:v>1.1773160982480031E-2</c:v>
                </c:pt>
                <c:pt idx="3399">
                  <c:v>1.6551078644967018E-2</c:v>
                </c:pt>
                <c:pt idx="3400">
                  <c:v>1.1416955184019167E-2</c:v>
                </c:pt>
                <c:pt idx="3401">
                  <c:v>1.2518076842735868E-2</c:v>
                </c:pt>
                <c:pt idx="3402">
                  <c:v>1.5185250871918809E-2</c:v>
                </c:pt>
                <c:pt idx="3403">
                  <c:v>9.5703661724533661E-3</c:v>
                </c:pt>
                <c:pt idx="3404">
                  <c:v>1.4637253852239254E-2</c:v>
                </c:pt>
                <c:pt idx="3405">
                  <c:v>1.3784746290399724E-2</c:v>
                </c:pt>
                <c:pt idx="3406">
                  <c:v>1.0293138345401874E-2</c:v>
                </c:pt>
                <c:pt idx="3407">
                  <c:v>1.0958888078150845E-2</c:v>
                </c:pt>
                <c:pt idx="3408">
                  <c:v>1.046571883667017E-2</c:v>
                </c:pt>
                <c:pt idx="3409">
                  <c:v>1.0311232922207449E-2</c:v>
                </c:pt>
                <c:pt idx="3410">
                  <c:v>1.393487870060163E-2</c:v>
                </c:pt>
                <c:pt idx="3411">
                  <c:v>1.3621378205520344E-2</c:v>
                </c:pt>
                <c:pt idx="3412">
                  <c:v>1.104127549478429E-2</c:v>
                </c:pt>
                <c:pt idx="3413">
                  <c:v>1.4237925137556241E-2</c:v>
                </c:pt>
                <c:pt idx="3414">
                  <c:v>1.2698758306638375E-2</c:v>
                </c:pt>
                <c:pt idx="3415">
                  <c:v>1.0258850148799391E-2</c:v>
                </c:pt>
                <c:pt idx="3416">
                  <c:v>1.0457552217227443E-2</c:v>
                </c:pt>
                <c:pt idx="3417">
                  <c:v>9.5662104058997343E-3</c:v>
                </c:pt>
                <c:pt idx="3418">
                  <c:v>1.0192156839305608E-2</c:v>
                </c:pt>
                <c:pt idx="3419">
                  <c:v>1.4723279088520291E-2</c:v>
                </c:pt>
                <c:pt idx="3420">
                  <c:v>1.3306023585005959E-2</c:v>
                </c:pt>
                <c:pt idx="3421">
                  <c:v>1.3737670672684263E-2</c:v>
                </c:pt>
                <c:pt idx="3422">
                  <c:v>1.0111038660449708E-2</c:v>
                </c:pt>
                <c:pt idx="3423">
                  <c:v>1.1023386769699602E-2</c:v>
                </c:pt>
                <c:pt idx="3424">
                  <c:v>1.0881542269800948E-2</c:v>
                </c:pt>
                <c:pt idx="3425">
                  <c:v>1.1636617847707356E-2</c:v>
                </c:pt>
                <c:pt idx="3426">
                  <c:v>1.0306945055218125E-2</c:v>
                </c:pt>
                <c:pt idx="3427">
                  <c:v>1.5807718646568845E-2</c:v>
                </c:pt>
                <c:pt idx="3428">
                  <c:v>1.1989094644060314E-2</c:v>
                </c:pt>
                <c:pt idx="3429">
                  <c:v>1.0243260330531622E-2</c:v>
                </c:pt>
                <c:pt idx="3430">
                  <c:v>1.1004230292705927E-2</c:v>
                </c:pt>
                <c:pt idx="3431">
                  <c:v>1.0994366276318106E-2</c:v>
                </c:pt>
                <c:pt idx="3432">
                  <c:v>1.4912738377618208E-2</c:v>
                </c:pt>
                <c:pt idx="3433">
                  <c:v>8.0711792094108163E-3</c:v>
                </c:pt>
                <c:pt idx="3434">
                  <c:v>1.396711256181948E-2</c:v>
                </c:pt>
                <c:pt idx="3435">
                  <c:v>1.3395386703779596E-2</c:v>
                </c:pt>
                <c:pt idx="3436">
                  <c:v>1.32976647931668E-2</c:v>
                </c:pt>
                <c:pt idx="3437">
                  <c:v>1.2772311521681195E-2</c:v>
                </c:pt>
                <c:pt idx="3438">
                  <c:v>1.2446291720065337E-2</c:v>
                </c:pt>
                <c:pt idx="3439">
                  <c:v>1.048034784882086E-2</c:v>
                </c:pt>
                <c:pt idx="3440">
                  <c:v>1.2640245607014244E-2</c:v>
                </c:pt>
                <c:pt idx="3441">
                  <c:v>1.2938053536493532E-2</c:v>
                </c:pt>
                <c:pt idx="3442">
                  <c:v>1.0942937885282049E-2</c:v>
                </c:pt>
                <c:pt idx="3443">
                  <c:v>1.446912698500487E-2</c:v>
                </c:pt>
                <c:pt idx="3444">
                  <c:v>1.3046086004781228E-2</c:v>
                </c:pt>
                <c:pt idx="3445">
                  <c:v>1.6593473067402938E-2</c:v>
                </c:pt>
                <c:pt idx="3446">
                  <c:v>1.055091249018629E-2</c:v>
                </c:pt>
                <c:pt idx="3447">
                  <c:v>1.409250508640581E-2</c:v>
                </c:pt>
                <c:pt idx="3448">
                  <c:v>1.0277058390703801E-2</c:v>
                </c:pt>
                <c:pt idx="3449">
                  <c:v>1.0192156839305608E-2</c:v>
                </c:pt>
                <c:pt idx="3450">
                  <c:v>1.3920174483762862E-2</c:v>
                </c:pt>
                <c:pt idx="3451">
                  <c:v>1.2947232663544632E-2</c:v>
                </c:pt>
                <c:pt idx="3452">
                  <c:v>1.3714248450234227E-2</c:v>
                </c:pt>
                <c:pt idx="3453">
                  <c:v>1.3474696834592237E-2</c:v>
                </c:pt>
                <c:pt idx="3454">
                  <c:v>1.2838856754486346E-2</c:v>
                </c:pt>
                <c:pt idx="3455">
                  <c:v>1.3025664141353185E-2</c:v>
                </c:pt>
                <c:pt idx="3456">
                  <c:v>1.3842888435093081E-2</c:v>
                </c:pt>
                <c:pt idx="3457">
                  <c:v>1.1316847661369096E-2</c:v>
                </c:pt>
                <c:pt idx="3458">
                  <c:v>1.1383691064210772E-2</c:v>
                </c:pt>
                <c:pt idx="3459">
                  <c:v>1.293078296579264E-2</c:v>
                </c:pt>
                <c:pt idx="3460">
                  <c:v>1.3826620564832233E-2</c:v>
                </c:pt>
                <c:pt idx="3461">
                  <c:v>1.0345406250637363E-2</c:v>
                </c:pt>
                <c:pt idx="3462">
                  <c:v>1.6482271217304091E-2</c:v>
                </c:pt>
                <c:pt idx="3463">
                  <c:v>1.0342908440868175E-2</c:v>
                </c:pt>
                <c:pt idx="3464">
                  <c:v>1.1787333187213925E-2</c:v>
                </c:pt>
                <c:pt idx="3465">
                  <c:v>1.2956551174077428E-2</c:v>
                </c:pt>
                <c:pt idx="3466">
                  <c:v>1.4712403566782219E-2</c:v>
                </c:pt>
                <c:pt idx="3467">
                  <c:v>1.8132536690980541E-2</c:v>
                </c:pt>
                <c:pt idx="3468">
                  <c:v>1.2137228702577031E-2</c:v>
                </c:pt>
                <c:pt idx="3469">
                  <c:v>1.6100360939876667E-2</c:v>
                </c:pt>
                <c:pt idx="3470">
                  <c:v>1.0688756815026595E-2</c:v>
                </c:pt>
                <c:pt idx="3471">
                  <c:v>9.3165815188750254E-3</c:v>
                </c:pt>
                <c:pt idx="3472">
                  <c:v>1.29642486731527E-2</c:v>
                </c:pt>
                <c:pt idx="3473">
                  <c:v>1.0907497346881831E-2</c:v>
                </c:pt>
                <c:pt idx="3474">
                  <c:v>1.0263478502256913E-2</c:v>
                </c:pt>
                <c:pt idx="3475">
                  <c:v>1.1011649651740642E-2</c:v>
                </c:pt>
                <c:pt idx="3476">
                  <c:v>1.5413130945862857E-2</c:v>
                </c:pt>
                <c:pt idx="3477">
                  <c:v>1.0602495561197554E-2</c:v>
                </c:pt>
                <c:pt idx="3478">
                  <c:v>1.4227492800594425E-2</c:v>
                </c:pt>
                <c:pt idx="3479">
                  <c:v>1.0283284436038657E-2</c:v>
                </c:pt>
                <c:pt idx="3480">
                  <c:v>1.1544694850982159E-2</c:v>
                </c:pt>
                <c:pt idx="3481">
                  <c:v>1.0972784808687778E-2</c:v>
                </c:pt>
                <c:pt idx="3482">
                  <c:v>1.0463635466068349E-2</c:v>
                </c:pt>
                <c:pt idx="3483">
                  <c:v>9.5662104058997343E-3</c:v>
                </c:pt>
                <c:pt idx="3484">
                  <c:v>9.7939735866188482E-3</c:v>
                </c:pt>
                <c:pt idx="3485">
                  <c:v>1.1170957929046488E-2</c:v>
                </c:pt>
                <c:pt idx="3486">
                  <c:v>1.0569640821757332E-2</c:v>
                </c:pt>
                <c:pt idx="3487">
                  <c:v>1.3044338301955732E-2</c:v>
                </c:pt>
                <c:pt idx="3488">
                  <c:v>1.598845991503469E-2</c:v>
                </c:pt>
                <c:pt idx="3489">
                  <c:v>1.1963198236748265E-2</c:v>
                </c:pt>
                <c:pt idx="3490">
                  <c:v>1.4111664700453741E-2</c:v>
                </c:pt>
                <c:pt idx="3491">
                  <c:v>9.8839769893505937E-3</c:v>
                </c:pt>
                <c:pt idx="3492">
                  <c:v>1.2602317140384151E-2</c:v>
                </c:pt>
                <c:pt idx="3493">
                  <c:v>1.2671262416203548E-2</c:v>
                </c:pt>
                <c:pt idx="3494">
                  <c:v>1.3600758615372213E-2</c:v>
                </c:pt>
                <c:pt idx="3495">
                  <c:v>1.0092894326104128E-2</c:v>
                </c:pt>
                <c:pt idx="3496">
                  <c:v>1.0071806873128789E-2</c:v>
                </c:pt>
                <c:pt idx="3497">
                  <c:v>1.774207684011481E-2</c:v>
                </c:pt>
                <c:pt idx="3498">
                  <c:v>1.3088010981072576E-2</c:v>
                </c:pt>
                <c:pt idx="3499">
                  <c:v>1.0154769381702147E-2</c:v>
                </c:pt>
                <c:pt idx="3500">
                  <c:v>1.0569640821757332E-2</c:v>
                </c:pt>
                <c:pt idx="3501">
                  <c:v>1.0431737418710332E-2</c:v>
                </c:pt>
                <c:pt idx="3502">
                  <c:v>1.4368989816425544E-2</c:v>
                </c:pt>
                <c:pt idx="3503">
                  <c:v>7.7869116756778519E-3</c:v>
                </c:pt>
                <c:pt idx="3504">
                  <c:v>1.4201752820903989E-2</c:v>
                </c:pt>
                <c:pt idx="3505">
                  <c:v>1.2945630530405105E-2</c:v>
                </c:pt>
                <c:pt idx="3506">
                  <c:v>1.0131610014002557E-2</c:v>
                </c:pt>
                <c:pt idx="3507">
                  <c:v>1.4913495337633626E-2</c:v>
                </c:pt>
                <c:pt idx="3508">
                  <c:v>1.0666632172008018E-2</c:v>
                </c:pt>
                <c:pt idx="3509">
                  <c:v>1.4579219008078452E-2</c:v>
                </c:pt>
                <c:pt idx="3510">
                  <c:v>1.2389574122601835E-2</c:v>
                </c:pt>
                <c:pt idx="3511">
                  <c:v>1.2730970878301719E-2</c:v>
                </c:pt>
                <c:pt idx="3512">
                  <c:v>1.6001662566933018E-2</c:v>
                </c:pt>
                <c:pt idx="3513">
                  <c:v>1.0850416461202859E-2</c:v>
                </c:pt>
                <c:pt idx="3514">
                  <c:v>1.4188266558946014E-2</c:v>
                </c:pt>
                <c:pt idx="3515">
                  <c:v>1.3039954327764827E-2</c:v>
                </c:pt>
                <c:pt idx="3516">
                  <c:v>1.6593473067402938E-2</c:v>
                </c:pt>
                <c:pt idx="3517">
                  <c:v>1.055091249018629E-2</c:v>
                </c:pt>
                <c:pt idx="3518">
                  <c:v>1.0187873581924066E-2</c:v>
                </c:pt>
                <c:pt idx="3519">
                  <c:v>1.0414606424011388E-2</c:v>
                </c:pt>
                <c:pt idx="3520">
                  <c:v>1.0237955221876788E-2</c:v>
                </c:pt>
                <c:pt idx="3521">
                  <c:v>1.3920174483762862E-2</c:v>
                </c:pt>
                <c:pt idx="3522">
                  <c:v>1.2759741951601719E-2</c:v>
                </c:pt>
                <c:pt idx="3523">
                  <c:v>1.3431298236216764E-2</c:v>
                </c:pt>
                <c:pt idx="3524">
                  <c:v>1.0712183127775974E-2</c:v>
                </c:pt>
                <c:pt idx="3525">
                  <c:v>1.2427934527818763E-2</c:v>
                </c:pt>
                <c:pt idx="3526">
                  <c:v>1.3009110546230461E-2</c:v>
                </c:pt>
                <c:pt idx="3527">
                  <c:v>1.3942508844043463E-2</c:v>
                </c:pt>
                <c:pt idx="3528">
                  <c:v>1.1303081540850851E-2</c:v>
                </c:pt>
                <c:pt idx="3529">
                  <c:v>1.7613123556929056E-2</c:v>
                </c:pt>
                <c:pt idx="3530">
                  <c:v>1.0326523245225813E-2</c:v>
                </c:pt>
                <c:pt idx="3531">
                  <c:v>1.1335791443679848E-2</c:v>
                </c:pt>
                <c:pt idx="3532">
                  <c:v>1.5761864063279733E-2</c:v>
                </c:pt>
                <c:pt idx="3533">
                  <c:v>1.8661079521685268E-2</c:v>
                </c:pt>
                <c:pt idx="3534">
                  <c:v>1.0289922180360862E-2</c:v>
                </c:pt>
                <c:pt idx="3535">
                  <c:v>1.1443542192633299E-2</c:v>
                </c:pt>
                <c:pt idx="3536">
                  <c:v>1.4188266558946014E-2</c:v>
                </c:pt>
                <c:pt idx="3537">
                  <c:v>1.5167446413524818E-2</c:v>
                </c:pt>
                <c:pt idx="3538">
                  <c:v>1.191376079794903E-2</c:v>
                </c:pt>
                <c:pt idx="3539">
                  <c:v>1.0199118291272596E-2</c:v>
                </c:pt>
                <c:pt idx="3540">
                  <c:v>1.2746105962996411E-2</c:v>
                </c:pt>
                <c:pt idx="3541">
                  <c:v>1.2854572609774965E-2</c:v>
                </c:pt>
                <c:pt idx="3542">
                  <c:v>1.7484792450961066E-2</c:v>
                </c:pt>
                <c:pt idx="3543">
                  <c:v>1.6482271217304091E-2</c:v>
                </c:pt>
                <c:pt idx="3544">
                  <c:v>1.3489024308975783E-2</c:v>
                </c:pt>
                <c:pt idx="3545">
                  <c:v>1.0762494278659253E-2</c:v>
                </c:pt>
                <c:pt idx="3546">
                  <c:v>1.0763204455054604E-2</c:v>
                </c:pt>
                <c:pt idx="3547">
                  <c:v>1.039134687011423E-2</c:v>
                </c:pt>
                <c:pt idx="3548">
                  <c:v>1.0286653193854307E-2</c:v>
                </c:pt>
                <c:pt idx="3549">
                  <c:v>1.0846598161076436E-2</c:v>
                </c:pt>
                <c:pt idx="3550">
                  <c:v>1.5081169588307183E-2</c:v>
                </c:pt>
                <c:pt idx="3551">
                  <c:v>1.234926255044465E-2</c:v>
                </c:pt>
                <c:pt idx="3552">
                  <c:v>9.5688548890340459E-3</c:v>
                </c:pt>
                <c:pt idx="3553">
                  <c:v>1.0005991813919854E-2</c:v>
                </c:pt>
                <c:pt idx="3554">
                  <c:v>1.338645310110043E-2</c:v>
                </c:pt>
                <c:pt idx="3555">
                  <c:v>1.0926204294645907E-2</c:v>
                </c:pt>
                <c:pt idx="3556">
                  <c:v>1.2563005505253376E-2</c:v>
                </c:pt>
                <c:pt idx="3557">
                  <c:v>1.2982396460022395E-2</c:v>
                </c:pt>
                <c:pt idx="3558">
                  <c:v>1.4222189509099807E-2</c:v>
                </c:pt>
                <c:pt idx="3559">
                  <c:v>9.6934705756580048E-3</c:v>
                </c:pt>
                <c:pt idx="3560">
                  <c:v>1.4469126985004872E-2</c:v>
                </c:pt>
                <c:pt idx="3561">
                  <c:v>1.7871638832514841E-2</c:v>
                </c:pt>
                <c:pt idx="3562">
                  <c:v>1.1286071671928853E-2</c:v>
                </c:pt>
                <c:pt idx="3563">
                  <c:v>1.0355187992500054E-2</c:v>
                </c:pt>
                <c:pt idx="3564">
                  <c:v>1.5807718646568842E-2</c:v>
                </c:pt>
                <c:pt idx="3565">
                  <c:v>1.0085319157421295E-2</c:v>
                </c:pt>
                <c:pt idx="3566">
                  <c:v>1.4593023709096226E-2</c:v>
                </c:pt>
                <c:pt idx="3567">
                  <c:v>1.0031491481697635E-2</c:v>
                </c:pt>
                <c:pt idx="3568">
                  <c:v>1.4023079188701035E-2</c:v>
                </c:pt>
                <c:pt idx="3569">
                  <c:v>1.0015367360712074E-2</c:v>
                </c:pt>
                <c:pt idx="3570">
                  <c:v>9.9444016421771555E-3</c:v>
                </c:pt>
                <c:pt idx="3571">
                  <c:v>1.1234592652910182E-2</c:v>
                </c:pt>
                <c:pt idx="3572">
                  <c:v>1.4434072448601475E-2</c:v>
                </c:pt>
                <c:pt idx="3573">
                  <c:v>8.7436767945378267E-3</c:v>
                </c:pt>
                <c:pt idx="3574">
                  <c:v>1.459040922087264E-2</c:v>
                </c:pt>
                <c:pt idx="3575">
                  <c:v>1.1598481729077216E-2</c:v>
                </c:pt>
                <c:pt idx="3576">
                  <c:v>1.2736077773824444E-2</c:v>
                </c:pt>
                <c:pt idx="3577">
                  <c:v>1.3775184260185329E-2</c:v>
                </c:pt>
                <c:pt idx="3578">
                  <c:v>1.3455136205421844E-2</c:v>
                </c:pt>
                <c:pt idx="3579">
                  <c:v>1.3106396211294986E-2</c:v>
                </c:pt>
                <c:pt idx="3580">
                  <c:v>1.282311173578528E-2</c:v>
                </c:pt>
                <c:pt idx="3581">
                  <c:v>1.5434330851729931E-2</c:v>
                </c:pt>
                <c:pt idx="3582">
                  <c:v>1.2953779016432502E-2</c:v>
                </c:pt>
                <c:pt idx="3583">
                  <c:v>9.9596467234373386E-3</c:v>
                </c:pt>
                <c:pt idx="3584">
                  <c:v>1.2859445445455385E-2</c:v>
                </c:pt>
                <c:pt idx="3585">
                  <c:v>1.0977548684537796E-2</c:v>
                </c:pt>
                <c:pt idx="3586">
                  <c:v>1.0237955221876788E-2</c:v>
                </c:pt>
                <c:pt idx="3587">
                  <c:v>1.0248298050818193E-2</c:v>
                </c:pt>
                <c:pt idx="3588">
                  <c:v>1.1051862538117284E-2</c:v>
                </c:pt>
                <c:pt idx="3589">
                  <c:v>1.0426482944511529E-2</c:v>
                </c:pt>
                <c:pt idx="3590">
                  <c:v>1.2867289523156087E-2</c:v>
                </c:pt>
                <c:pt idx="3591">
                  <c:v>1.1103742306070523E-2</c:v>
                </c:pt>
                <c:pt idx="3592">
                  <c:v>1.4148879873072286E-2</c:v>
                </c:pt>
                <c:pt idx="3593">
                  <c:v>9.8761222198527742E-3</c:v>
                </c:pt>
                <c:pt idx="3594">
                  <c:v>1.1571701745567787E-2</c:v>
                </c:pt>
                <c:pt idx="3595">
                  <c:v>1.0601385807832524E-2</c:v>
                </c:pt>
                <c:pt idx="3596">
                  <c:v>1.0412517084331946E-2</c:v>
                </c:pt>
                <c:pt idx="3597">
                  <c:v>1.4938542285317553E-2</c:v>
                </c:pt>
                <c:pt idx="3598">
                  <c:v>1.1989270252081432E-2</c:v>
                </c:pt>
                <c:pt idx="3599">
                  <c:v>1.8661079521685268E-2</c:v>
                </c:pt>
                <c:pt idx="3600">
                  <c:v>1.2130087016171163E-2</c:v>
                </c:pt>
                <c:pt idx="3601">
                  <c:v>1.2917912082972932E-2</c:v>
                </c:pt>
                <c:pt idx="3602">
                  <c:v>1.1293543007837838E-2</c:v>
                </c:pt>
                <c:pt idx="3603">
                  <c:v>1.3902640725373946E-2</c:v>
                </c:pt>
                <c:pt idx="3604">
                  <c:v>1.3233550764420348E-2</c:v>
                </c:pt>
                <c:pt idx="3605">
                  <c:v>1.159467367829072E-2</c:v>
                </c:pt>
                <c:pt idx="3606">
                  <c:v>1.5713798177247416E-2</c:v>
                </c:pt>
                <c:pt idx="3607">
                  <c:v>1.2070626699443577E-2</c:v>
                </c:pt>
                <c:pt idx="3608">
                  <c:v>1.2275056160251751E-2</c:v>
                </c:pt>
                <c:pt idx="3609">
                  <c:v>1.6852964635850839E-2</c:v>
                </c:pt>
                <c:pt idx="3610">
                  <c:v>1.5998727079513646E-2</c:v>
                </c:pt>
                <c:pt idx="3611">
                  <c:v>1.4048258290076871E-2</c:v>
                </c:pt>
                <c:pt idx="3612">
                  <c:v>1.0943492384217027E-2</c:v>
                </c:pt>
                <c:pt idx="3613">
                  <c:v>9.7922382850035936E-3</c:v>
                </c:pt>
                <c:pt idx="3614">
                  <c:v>1.0267488646913093E-2</c:v>
                </c:pt>
                <c:pt idx="3615">
                  <c:v>9.6278641070666211E-3</c:v>
                </c:pt>
                <c:pt idx="3616">
                  <c:v>1.7871638832514841E-2</c:v>
                </c:pt>
                <c:pt idx="3617">
                  <c:v>1.4749960029107697E-2</c:v>
                </c:pt>
                <c:pt idx="3618">
                  <c:v>1.3561610956032579E-2</c:v>
                </c:pt>
                <c:pt idx="3619">
                  <c:v>9.5690768826218534E-3</c:v>
                </c:pt>
                <c:pt idx="3620">
                  <c:v>1.4107761123317455E-2</c:v>
                </c:pt>
                <c:pt idx="3621">
                  <c:v>1.3162038773222376E-2</c:v>
                </c:pt>
                <c:pt idx="3622">
                  <c:v>9.7394437849265582E-3</c:v>
                </c:pt>
                <c:pt idx="3623">
                  <c:v>1.1773712739279027E-2</c:v>
                </c:pt>
                <c:pt idx="3624">
                  <c:v>9.6223646147814996E-3</c:v>
                </c:pt>
                <c:pt idx="3625">
                  <c:v>9.7155981301437367E-3</c:v>
                </c:pt>
                <c:pt idx="3626">
                  <c:v>1.1863708145930605E-2</c:v>
                </c:pt>
                <c:pt idx="3627">
                  <c:v>1.23453440931807E-2</c:v>
                </c:pt>
                <c:pt idx="3628">
                  <c:v>1.084063784495717E-2</c:v>
                </c:pt>
                <c:pt idx="3629">
                  <c:v>1.7103671905773405E-2</c:v>
                </c:pt>
                <c:pt idx="3630">
                  <c:v>1.1579199744869626E-2</c:v>
                </c:pt>
                <c:pt idx="3631">
                  <c:v>1.3169166002341536E-2</c:v>
                </c:pt>
                <c:pt idx="3632">
                  <c:v>1.1635707367628888E-2</c:v>
                </c:pt>
                <c:pt idx="3633">
                  <c:v>1.0379223682767946E-2</c:v>
                </c:pt>
                <c:pt idx="3634">
                  <c:v>1.2994685620591232E-2</c:v>
                </c:pt>
                <c:pt idx="3635">
                  <c:v>1.1671201312730247E-2</c:v>
                </c:pt>
                <c:pt idx="3636">
                  <c:v>1.0901301075074711E-2</c:v>
                </c:pt>
                <c:pt idx="3637">
                  <c:v>1.3299565419438806E-2</c:v>
                </c:pt>
                <c:pt idx="3638">
                  <c:v>1.2972249134427268E-2</c:v>
                </c:pt>
                <c:pt idx="3639">
                  <c:v>1.4637253852239254E-2</c:v>
                </c:pt>
                <c:pt idx="3640">
                  <c:v>1.0909084634781437E-2</c:v>
                </c:pt>
                <c:pt idx="3641">
                  <c:v>1.4375236171961979E-2</c:v>
                </c:pt>
                <c:pt idx="3642">
                  <c:v>9.739830883322035E-3</c:v>
                </c:pt>
                <c:pt idx="3643">
                  <c:v>1.1369402635326598E-2</c:v>
                </c:pt>
                <c:pt idx="3644">
                  <c:v>1.5298716201155593E-2</c:v>
                </c:pt>
                <c:pt idx="3645">
                  <c:v>1.4148879873072288E-2</c:v>
                </c:pt>
                <c:pt idx="3646">
                  <c:v>1.3704906115303792E-2</c:v>
                </c:pt>
                <c:pt idx="3647">
                  <c:v>1.3056114345062894E-2</c:v>
                </c:pt>
                <c:pt idx="3648">
                  <c:v>1.2981697002729449E-2</c:v>
                </c:pt>
                <c:pt idx="3649">
                  <c:v>1.1753512463126644E-2</c:v>
                </c:pt>
                <c:pt idx="3650">
                  <c:v>1.039134687011423E-2</c:v>
                </c:pt>
                <c:pt idx="3651">
                  <c:v>1.4588646014125491E-2</c:v>
                </c:pt>
                <c:pt idx="3652">
                  <c:v>1.4089516136079051E-2</c:v>
                </c:pt>
                <c:pt idx="3653">
                  <c:v>9.7666263457272025E-3</c:v>
                </c:pt>
                <c:pt idx="3654">
                  <c:v>1.0094207544865778E-2</c:v>
                </c:pt>
                <c:pt idx="3655">
                  <c:v>1.1525323274419495E-2</c:v>
                </c:pt>
                <c:pt idx="3656">
                  <c:v>1.0196705760860779E-2</c:v>
                </c:pt>
                <c:pt idx="3657">
                  <c:v>1.0912978398749273E-2</c:v>
                </c:pt>
                <c:pt idx="3658">
                  <c:v>9.5980502546850303E-3</c:v>
                </c:pt>
                <c:pt idx="3659">
                  <c:v>9.6097611956754737E-3</c:v>
                </c:pt>
                <c:pt idx="3660">
                  <c:v>1.0107494439153051E-2</c:v>
                </c:pt>
                <c:pt idx="3661">
                  <c:v>1.2116403926824768E-2</c:v>
                </c:pt>
                <c:pt idx="3662">
                  <c:v>1.052146977832474E-2</c:v>
                </c:pt>
                <c:pt idx="3663">
                  <c:v>1.0266632678784601E-2</c:v>
                </c:pt>
                <c:pt idx="3664">
                  <c:v>1.6100360939876667E-2</c:v>
                </c:pt>
                <c:pt idx="3665">
                  <c:v>1.6372426133221055E-2</c:v>
                </c:pt>
                <c:pt idx="3666">
                  <c:v>1.3465436143802837E-2</c:v>
                </c:pt>
                <c:pt idx="3667">
                  <c:v>1.1892045347443704E-2</c:v>
                </c:pt>
                <c:pt idx="3668">
                  <c:v>1.2215802353471944E-2</c:v>
                </c:pt>
                <c:pt idx="3669">
                  <c:v>9.5273778539889248E-3</c:v>
                </c:pt>
                <c:pt idx="3670">
                  <c:v>1.3674008432626254E-2</c:v>
                </c:pt>
                <c:pt idx="3671">
                  <c:v>1.055091249018629E-2</c:v>
                </c:pt>
                <c:pt idx="3672">
                  <c:v>1.0963041045161262E-2</c:v>
                </c:pt>
                <c:pt idx="3673">
                  <c:v>1.5140821996223588E-2</c:v>
                </c:pt>
                <c:pt idx="3674">
                  <c:v>1.2298655881437654E-2</c:v>
                </c:pt>
                <c:pt idx="3675">
                  <c:v>1.039134687011423E-2</c:v>
                </c:pt>
                <c:pt idx="3676">
                  <c:v>1.0098517294029281E-2</c:v>
                </c:pt>
                <c:pt idx="3677">
                  <c:v>1.088936473053431E-2</c:v>
                </c:pt>
                <c:pt idx="3678">
                  <c:v>1.1644937973448349E-2</c:v>
                </c:pt>
                <c:pt idx="3679">
                  <c:v>9.9927369620703664E-3</c:v>
                </c:pt>
                <c:pt idx="3680">
                  <c:v>1.3893998017793646E-2</c:v>
                </c:pt>
                <c:pt idx="3681">
                  <c:v>9.5662104058997343E-3</c:v>
                </c:pt>
                <c:pt idx="3682">
                  <c:v>1.5933010011191028E-2</c:v>
                </c:pt>
                <c:pt idx="3683">
                  <c:v>1.0069275629952633E-2</c:v>
                </c:pt>
                <c:pt idx="3684">
                  <c:v>1.4229806726489979E-2</c:v>
                </c:pt>
                <c:pt idx="3685">
                  <c:v>1.3035174686474771E-2</c:v>
                </c:pt>
                <c:pt idx="3686">
                  <c:v>1.2157659086684336E-2</c:v>
                </c:pt>
                <c:pt idx="3687">
                  <c:v>1.6728668547775244E-2</c:v>
                </c:pt>
                <c:pt idx="3688">
                  <c:v>9.608987485392512E-3</c:v>
                </c:pt>
                <c:pt idx="3689">
                  <c:v>1.2807017532517239E-2</c:v>
                </c:pt>
                <c:pt idx="3690">
                  <c:v>1.0666632172008018E-2</c:v>
                </c:pt>
                <c:pt idx="3691">
                  <c:v>9.8839769893505954E-3</c:v>
                </c:pt>
                <c:pt idx="3692">
                  <c:v>1.3902640725373946E-2</c:v>
                </c:pt>
                <c:pt idx="3693">
                  <c:v>1.3949776187175841E-2</c:v>
                </c:pt>
                <c:pt idx="3694">
                  <c:v>1.0123195596898563E-2</c:v>
                </c:pt>
                <c:pt idx="3695">
                  <c:v>1.0448206544426551E-2</c:v>
                </c:pt>
                <c:pt idx="3696">
                  <c:v>1.0190149252564945E-2</c:v>
                </c:pt>
                <c:pt idx="3697">
                  <c:v>1.0737484730818526E-2</c:v>
                </c:pt>
                <c:pt idx="3698">
                  <c:v>1.4188266558946014E-2</c:v>
                </c:pt>
                <c:pt idx="3699">
                  <c:v>1.0604137528227199E-2</c:v>
                </c:pt>
                <c:pt idx="3700">
                  <c:v>1.1740736142857745E-2</c:v>
                </c:pt>
                <c:pt idx="3701">
                  <c:v>1.2880842710784358E-2</c:v>
                </c:pt>
                <c:pt idx="3702">
                  <c:v>9.7878279201964753E-3</c:v>
                </c:pt>
                <c:pt idx="3703">
                  <c:v>1.4338129106280977E-2</c:v>
                </c:pt>
                <c:pt idx="3704">
                  <c:v>1.4273481573858953E-2</c:v>
                </c:pt>
                <c:pt idx="3705">
                  <c:v>1.0218164276949883E-2</c:v>
                </c:pt>
                <c:pt idx="3706">
                  <c:v>1.2579097331771561E-2</c:v>
                </c:pt>
                <c:pt idx="3707">
                  <c:v>1.2673957749534788E-2</c:v>
                </c:pt>
                <c:pt idx="3708">
                  <c:v>1.0494725317841942E-2</c:v>
                </c:pt>
                <c:pt idx="3709">
                  <c:v>1.1062772858263783E-2</c:v>
                </c:pt>
                <c:pt idx="3710">
                  <c:v>1.3942508844043463E-2</c:v>
                </c:pt>
                <c:pt idx="3711">
                  <c:v>1.3934878700601628E-2</c:v>
                </c:pt>
                <c:pt idx="3712">
                  <c:v>1.3919925430335361E-2</c:v>
                </c:pt>
                <c:pt idx="3713">
                  <c:v>1.7319952818756659E-2</c:v>
                </c:pt>
                <c:pt idx="3714">
                  <c:v>1.2493173930780671E-2</c:v>
                </c:pt>
                <c:pt idx="3715">
                  <c:v>1.339389290226113E-2</c:v>
                </c:pt>
                <c:pt idx="3716">
                  <c:v>1.4397902778821964E-2</c:v>
                </c:pt>
                <c:pt idx="3717">
                  <c:v>1.0211542800587916E-2</c:v>
                </c:pt>
                <c:pt idx="3718">
                  <c:v>1.3857643765036313E-2</c:v>
                </c:pt>
                <c:pt idx="3719">
                  <c:v>1.174928831061248E-2</c:v>
                </c:pt>
                <c:pt idx="3720">
                  <c:v>1.5761864063279733E-2</c:v>
                </c:pt>
                <c:pt idx="3721">
                  <c:v>9.5736305537674725E-3</c:v>
                </c:pt>
                <c:pt idx="3722">
                  <c:v>1.1635866564866017E-2</c:v>
                </c:pt>
                <c:pt idx="3723">
                  <c:v>1.2572386246549098E-2</c:v>
                </c:pt>
                <c:pt idx="3724">
                  <c:v>9.608987485392512E-3</c:v>
                </c:pt>
                <c:pt idx="3725">
                  <c:v>1.6494885824739906E-2</c:v>
                </c:pt>
                <c:pt idx="3726">
                  <c:v>9.6947853400666199E-3</c:v>
                </c:pt>
                <c:pt idx="3727">
                  <c:v>9.717019206749786E-3</c:v>
                </c:pt>
                <c:pt idx="3728">
                  <c:v>1.8928536094734424E-2</c:v>
                </c:pt>
                <c:pt idx="3729">
                  <c:v>1.4656858912891799E-2</c:v>
                </c:pt>
                <c:pt idx="3730">
                  <c:v>1.5043829103151952E-2</c:v>
                </c:pt>
                <c:pt idx="3731">
                  <c:v>1.474131942893179E-2</c:v>
                </c:pt>
                <c:pt idx="3732">
                  <c:v>1.0909084634781437E-2</c:v>
                </c:pt>
                <c:pt idx="3733">
                  <c:v>1.320033963082907E-2</c:v>
                </c:pt>
                <c:pt idx="3734">
                  <c:v>8.700221559889745E-3</c:v>
                </c:pt>
                <c:pt idx="3735">
                  <c:v>1.2528129604761169E-2</c:v>
                </c:pt>
                <c:pt idx="3736">
                  <c:v>9.858841158288013E-3</c:v>
                </c:pt>
                <c:pt idx="3737">
                  <c:v>1.0508433944948254E-2</c:v>
                </c:pt>
                <c:pt idx="3738">
                  <c:v>1.0054144903339482E-2</c:v>
                </c:pt>
                <c:pt idx="3739">
                  <c:v>1.0444953040813672E-2</c:v>
                </c:pt>
                <c:pt idx="3740">
                  <c:v>1.2112927556256948E-2</c:v>
                </c:pt>
                <c:pt idx="3741">
                  <c:v>1.0977548684537796E-2</c:v>
                </c:pt>
                <c:pt idx="3742">
                  <c:v>9.8654870078664029E-3</c:v>
                </c:pt>
                <c:pt idx="3743">
                  <c:v>1.0507202556790394E-2</c:v>
                </c:pt>
                <c:pt idx="3744">
                  <c:v>1.263306500277556E-2</c:v>
                </c:pt>
                <c:pt idx="3745">
                  <c:v>1.0476620356201099E-2</c:v>
                </c:pt>
                <c:pt idx="3746">
                  <c:v>1.0489852780820355E-2</c:v>
                </c:pt>
                <c:pt idx="3747">
                  <c:v>1.180030746568604E-2</c:v>
                </c:pt>
                <c:pt idx="3748">
                  <c:v>9.6232476208579359E-3</c:v>
                </c:pt>
                <c:pt idx="3749">
                  <c:v>9.8949680664130839E-3</c:v>
                </c:pt>
                <c:pt idx="3750">
                  <c:v>1.6416453566787025E-2</c:v>
                </c:pt>
                <c:pt idx="3751">
                  <c:v>1.5644725188612919E-2</c:v>
                </c:pt>
                <c:pt idx="3752">
                  <c:v>1.3984850690816109E-2</c:v>
                </c:pt>
                <c:pt idx="3753">
                  <c:v>1.2479136611515082E-2</c:v>
                </c:pt>
                <c:pt idx="3754">
                  <c:v>1.1288547723773364E-2</c:v>
                </c:pt>
                <c:pt idx="3755">
                  <c:v>1.5998727079513643E-2</c:v>
                </c:pt>
                <c:pt idx="3756">
                  <c:v>1.3904801248335475E-2</c:v>
                </c:pt>
                <c:pt idx="3757">
                  <c:v>1.5879871097141299E-2</c:v>
                </c:pt>
                <c:pt idx="3758">
                  <c:v>1.0342325803158046E-2</c:v>
                </c:pt>
                <c:pt idx="3759">
                  <c:v>9.8839769893505954E-3</c:v>
                </c:pt>
                <c:pt idx="3760">
                  <c:v>1.3570602348951239E-2</c:v>
                </c:pt>
                <c:pt idx="3761">
                  <c:v>1.3496273586812321E-2</c:v>
                </c:pt>
                <c:pt idx="3762">
                  <c:v>1.441711545283081E-2</c:v>
                </c:pt>
                <c:pt idx="3763">
                  <c:v>1.2159172390502064E-2</c:v>
                </c:pt>
                <c:pt idx="3764">
                  <c:v>9.573297719846819E-3</c:v>
                </c:pt>
                <c:pt idx="3765">
                  <c:v>1.0453897956759366E-2</c:v>
                </c:pt>
                <c:pt idx="3766">
                  <c:v>1.0198198992587155E-2</c:v>
                </c:pt>
                <c:pt idx="3767">
                  <c:v>1.1912542431305035E-2</c:v>
                </c:pt>
                <c:pt idx="3768">
                  <c:v>1.0069275629952633E-2</c:v>
                </c:pt>
                <c:pt idx="3769">
                  <c:v>1.2623977087661423E-2</c:v>
                </c:pt>
                <c:pt idx="3770">
                  <c:v>1.2968557061063663E-2</c:v>
                </c:pt>
                <c:pt idx="3771">
                  <c:v>1.5344006605141125E-2</c:v>
                </c:pt>
                <c:pt idx="3772">
                  <c:v>9.6730729121530835E-3</c:v>
                </c:pt>
                <c:pt idx="3773">
                  <c:v>1.2672491680431075E-2</c:v>
                </c:pt>
                <c:pt idx="3774">
                  <c:v>1.5712515718385011E-2</c:v>
                </c:pt>
                <c:pt idx="3775">
                  <c:v>1.2071580208830595E-2</c:v>
                </c:pt>
                <c:pt idx="3776">
                  <c:v>1.6397669149737778E-2</c:v>
                </c:pt>
                <c:pt idx="3777">
                  <c:v>1.3361539935962594E-2</c:v>
                </c:pt>
                <c:pt idx="3778">
                  <c:v>1.4123718142303428E-2</c:v>
                </c:pt>
                <c:pt idx="3779">
                  <c:v>1.383205566507556E-2</c:v>
                </c:pt>
                <c:pt idx="3780">
                  <c:v>1.4608462456178039E-2</c:v>
                </c:pt>
                <c:pt idx="3781">
                  <c:v>1.798915162531552E-2</c:v>
                </c:pt>
                <c:pt idx="3782">
                  <c:v>1.2007938807189322E-2</c:v>
                </c:pt>
                <c:pt idx="3783">
                  <c:v>1.3179612552701543E-2</c:v>
                </c:pt>
                <c:pt idx="3784">
                  <c:v>1.5167446413524818E-2</c:v>
                </c:pt>
                <c:pt idx="3785">
                  <c:v>1.0196705760860779E-2</c:v>
                </c:pt>
                <c:pt idx="3786">
                  <c:v>1.4143975913106054E-2</c:v>
                </c:pt>
                <c:pt idx="3787">
                  <c:v>1.3270102272778602E-2</c:v>
                </c:pt>
                <c:pt idx="3788">
                  <c:v>1.1004230292705927E-2</c:v>
                </c:pt>
                <c:pt idx="3789">
                  <c:v>9.2521977680099388E-3</c:v>
                </c:pt>
                <c:pt idx="3790">
                  <c:v>1.1038394458592121E-2</c:v>
                </c:pt>
                <c:pt idx="3791">
                  <c:v>1.2519744047863164E-2</c:v>
                </c:pt>
                <c:pt idx="3792">
                  <c:v>1.3806985054193307E-2</c:v>
                </c:pt>
                <c:pt idx="3793">
                  <c:v>1.5818561516210153E-2</c:v>
                </c:pt>
                <c:pt idx="3794">
                  <c:v>1.2713672138090631E-2</c:v>
                </c:pt>
                <c:pt idx="3795">
                  <c:v>1.3964215445300288E-2</c:v>
                </c:pt>
                <c:pt idx="3796">
                  <c:v>1.5040379432549673E-2</c:v>
                </c:pt>
                <c:pt idx="3797">
                  <c:v>1.4258256935414139E-2</c:v>
                </c:pt>
                <c:pt idx="3798">
                  <c:v>1.1828804506508932E-2</c:v>
                </c:pt>
                <c:pt idx="3799">
                  <c:v>1.070812405201544E-2</c:v>
                </c:pt>
                <c:pt idx="3800">
                  <c:v>1.6360203031018032E-2</c:v>
                </c:pt>
                <c:pt idx="3801">
                  <c:v>1.7001045882918227E-2</c:v>
                </c:pt>
                <c:pt idx="3802">
                  <c:v>1.0532846951302608E-2</c:v>
                </c:pt>
                <c:pt idx="3803">
                  <c:v>1.4469126985004872E-2</c:v>
                </c:pt>
                <c:pt idx="3804">
                  <c:v>1.0959673036861295E-2</c:v>
                </c:pt>
                <c:pt idx="3805">
                  <c:v>1.0336298516812312E-2</c:v>
                </c:pt>
                <c:pt idx="3806">
                  <c:v>1.8939911045326156E-2</c:v>
                </c:pt>
                <c:pt idx="3807">
                  <c:v>9.8918302647395054E-3</c:v>
                </c:pt>
                <c:pt idx="3808">
                  <c:v>1.1456515705688709E-2</c:v>
                </c:pt>
                <c:pt idx="3809">
                  <c:v>1.4319271568267724E-2</c:v>
                </c:pt>
                <c:pt idx="3810">
                  <c:v>1.1050488904892273E-2</c:v>
                </c:pt>
                <c:pt idx="3811">
                  <c:v>1.3102028074088135E-2</c:v>
                </c:pt>
                <c:pt idx="3812">
                  <c:v>1.1759729412393642E-2</c:v>
                </c:pt>
                <c:pt idx="3813">
                  <c:v>1.2590805776722457E-2</c:v>
                </c:pt>
                <c:pt idx="3814">
                  <c:v>1.3942508844043461E-2</c:v>
                </c:pt>
                <c:pt idx="3815">
                  <c:v>1.4302584555678084E-2</c:v>
                </c:pt>
                <c:pt idx="3816">
                  <c:v>1.1368529097034546E-2</c:v>
                </c:pt>
                <c:pt idx="3817">
                  <c:v>1.081801496566873E-2</c:v>
                </c:pt>
                <c:pt idx="3818">
                  <c:v>1.0616555562408911E-2</c:v>
                </c:pt>
                <c:pt idx="3819">
                  <c:v>1.160846352978793E-2</c:v>
                </c:pt>
                <c:pt idx="3820">
                  <c:v>1.4961254683134249E-2</c:v>
                </c:pt>
                <c:pt idx="3821">
                  <c:v>1.4442119867290834E-2</c:v>
                </c:pt>
                <c:pt idx="3822">
                  <c:v>1.173168909334195E-2</c:v>
                </c:pt>
                <c:pt idx="3823">
                  <c:v>1.0277124983559493E-2</c:v>
                </c:pt>
                <c:pt idx="3824">
                  <c:v>1.3216752458181697E-2</c:v>
                </c:pt>
                <c:pt idx="3825">
                  <c:v>1.1465526401222935E-2</c:v>
                </c:pt>
                <c:pt idx="3826">
                  <c:v>1.0029055968474527E-2</c:v>
                </c:pt>
                <c:pt idx="3827">
                  <c:v>9.6744262022383284E-3</c:v>
                </c:pt>
                <c:pt idx="3828">
                  <c:v>9.9903983160641897E-3</c:v>
                </c:pt>
                <c:pt idx="3829">
                  <c:v>1.5866553679481782E-2</c:v>
                </c:pt>
                <c:pt idx="3830">
                  <c:v>1.2067572614904586E-2</c:v>
                </c:pt>
                <c:pt idx="3831">
                  <c:v>9.8839769893505937E-3</c:v>
                </c:pt>
                <c:pt idx="3832">
                  <c:v>1.1827437033241114E-2</c:v>
                </c:pt>
                <c:pt idx="3833">
                  <c:v>1.4058452305471729E-2</c:v>
                </c:pt>
                <c:pt idx="3834">
                  <c:v>1.0708211544466823E-2</c:v>
                </c:pt>
                <c:pt idx="3835">
                  <c:v>1.3328409332368821E-2</c:v>
                </c:pt>
                <c:pt idx="3836">
                  <c:v>1.8794551774568874E-2</c:v>
                </c:pt>
                <c:pt idx="3837">
                  <c:v>1.3077945144471977E-2</c:v>
                </c:pt>
                <c:pt idx="3838">
                  <c:v>1.0678381654700331E-2</c:v>
                </c:pt>
                <c:pt idx="3839">
                  <c:v>9.5875674124176486E-3</c:v>
                </c:pt>
                <c:pt idx="3840">
                  <c:v>1.1225745175983059E-2</c:v>
                </c:pt>
                <c:pt idx="3841">
                  <c:v>1.516744641352482E-2</c:v>
                </c:pt>
                <c:pt idx="3842">
                  <c:v>1.0820911438911117E-2</c:v>
                </c:pt>
                <c:pt idx="3843">
                  <c:v>1.3501322527238957E-2</c:v>
                </c:pt>
                <c:pt idx="3844">
                  <c:v>1.5820101447643793E-2</c:v>
                </c:pt>
                <c:pt idx="3845">
                  <c:v>1.3874442384911178E-2</c:v>
                </c:pt>
                <c:pt idx="3846">
                  <c:v>1.1766506833316757E-2</c:v>
                </c:pt>
                <c:pt idx="3847">
                  <c:v>1.0415942127796311E-2</c:v>
                </c:pt>
                <c:pt idx="3848">
                  <c:v>1.7230052311804852E-2</c:v>
                </c:pt>
                <c:pt idx="3849">
                  <c:v>1.3882356534975663E-2</c:v>
                </c:pt>
                <c:pt idx="3850">
                  <c:v>9.6544161042757554E-3</c:v>
                </c:pt>
                <c:pt idx="3851">
                  <c:v>1.4076638263943286E-2</c:v>
                </c:pt>
                <c:pt idx="3852">
                  <c:v>1.0258850148799395E-2</c:v>
                </c:pt>
                <c:pt idx="3853">
                  <c:v>1.0392937603379624E-2</c:v>
                </c:pt>
                <c:pt idx="3854">
                  <c:v>1.0912978398749273E-2</c:v>
                </c:pt>
                <c:pt idx="3855">
                  <c:v>1.0569640821757332E-2</c:v>
                </c:pt>
                <c:pt idx="3856">
                  <c:v>1.2177846099263992E-2</c:v>
                </c:pt>
                <c:pt idx="3857">
                  <c:v>1.0700241262659532E-2</c:v>
                </c:pt>
                <c:pt idx="3858">
                  <c:v>1.1918023109414609E-2</c:v>
                </c:pt>
                <c:pt idx="3859">
                  <c:v>1.4444830592726981E-2</c:v>
                </c:pt>
                <c:pt idx="3860">
                  <c:v>1.4850768084664567E-2</c:v>
                </c:pt>
                <c:pt idx="3861">
                  <c:v>1.5879871097141299E-2</c:v>
                </c:pt>
                <c:pt idx="3862">
                  <c:v>1.3529280085766303E-2</c:v>
                </c:pt>
                <c:pt idx="3863">
                  <c:v>1.473750686480667E-2</c:v>
                </c:pt>
                <c:pt idx="3864">
                  <c:v>1.4244000335516106E-2</c:v>
                </c:pt>
                <c:pt idx="3865">
                  <c:v>1.148402590189606E-2</c:v>
                </c:pt>
                <c:pt idx="3866">
                  <c:v>9.2989298434311488E-3</c:v>
                </c:pt>
                <c:pt idx="3867">
                  <c:v>1.6360203031018029E-2</c:v>
                </c:pt>
                <c:pt idx="3868">
                  <c:v>1.3876782910384538E-2</c:v>
                </c:pt>
                <c:pt idx="3869">
                  <c:v>1.0424824514258444E-2</c:v>
                </c:pt>
                <c:pt idx="3870">
                  <c:v>1.3500229022541547E-2</c:v>
                </c:pt>
                <c:pt idx="3871">
                  <c:v>1.2017019621364759E-2</c:v>
                </c:pt>
                <c:pt idx="3872">
                  <c:v>1.5904108076560286E-2</c:v>
                </c:pt>
                <c:pt idx="3873">
                  <c:v>1.0131522029892313E-2</c:v>
                </c:pt>
                <c:pt idx="3874">
                  <c:v>9.4273160333353274E-3</c:v>
                </c:pt>
                <c:pt idx="3875">
                  <c:v>1.5807718646568842E-2</c:v>
                </c:pt>
                <c:pt idx="3876">
                  <c:v>1.0942498745105542E-2</c:v>
                </c:pt>
                <c:pt idx="3877">
                  <c:v>1.516744641352482E-2</c:v>
                </c:pt>
                <c:pt idx="3878">
                  <c:v>1.5081169588307179E-2</c:v>
                </c:pt>
                <c:pt idx="3879">
                  <c:v>1.3877118566837349E-2</c:v>
                </c:pt>
                <c:pt idx="3880">
                  <c:v>1.0467751520130861E-2</c:v>
                </c:pt>
                <c:pt idx="3881">
                  <c:v>1.1173467576835456E-2</c:v>
                </c:pt>
                <c:pt idx="3882">
                  <c:v>1.4148879873072288E-2</c:v>
                </c:pt>
                <c:pt idx="3883">
                  <c:v>1.3250195717815967E-2</c:v>
                </c:pt>
                <c:pt idx="3884">
                  <c:v>1.2977494831131907E-2</c:v>
                </c:pt>
                <c:pt idx="3885">
                  <c:v>9.3128116044783518E-3</c:v>
                </c:pt>
                <c:pt idx="3886">
                  <c:v>1.3857643765036315E-2</c:v>
                </c:pt>
                <c:pt idx="3887">
                  <c:v>1.1259090217105489E-2</c:v>
                </c:pt>
                <c:pt idx="3888">
                  <c:v>1.526822183094287E-2</c:v>
                </c:pt>
                <c:pt idx="3889">
                  <c:v>1.1523504187223399E-2</c:v>
                </c:pt>
                <c:pt idx="3890">
                  <c:v>1.268244220677823E-2</c:v>
                </c:pt>
                <c:pt idx="3891">
                  <c:v>1.2283065856512924E-2</c:v>
                </c:pt>
                <c:pt idx="3892">
                  <c:v>1.5860845832633599E-2</c:v>
                </c:pt>
                <c:pt idx="3893">
                  <c:v>1.2796173285408949E-2</c:v>
                </c:pt>
                <c:pt idx="3894">
                  <c:v>9.5716115949022965E-3</c:v>
                </c:pt>
                <c:pt idx="3895">
                  <c:v>1.3984850690816109E-2</c:v>
                </c:pt>
                <c:pt idx="3896">
                  <c:v>1.4257340928965667E-2</c:v>
                </c:pt>
                <c:pt idx="3897">
                  <c:v>1.2601284478630606E-2</c:v>
                </c:pt>
                <c:pt idx="3898">
                  <c:v>1.3993973667379783E-2</c:v>
                </c:pt>
                <c:pt idx="3899">
                  <c:v>1.4319271568267724E-2</c:v>
                </c:pt>
                <c:pt idx="3900">
                  <c:v>9.492338848731581E-3</c:v>
                </c:pt>
                <c:pt idx="3901">
                  <c:v>1.457921900807845E-2</c:v>
                </c:pt>
                <c:pt idx="3902">
                  <c:v>1.3789005235198493E-2</c:v>
                </c:pt>
                <c:pt idx="3903">
                  <c:v>1.8263847217394928E-2</c:v>
                </c:pt>
                <c:pt idx="3904">
                  <c:v>1.3186728509027308E-2</c:v>
                </c:pt>
                <c:pt idx="3905">
                  <c:v>1.0473843234688168E-2</c:v>
                </c:pt>
                <c:pt idx="3906">
                  <c:v>9.565365761981354E-3</c:v>
                </c:pt>
                <c:pt idx="3907">
                  <c:v>1.1328364896827875E-2</c:v>
                </c:pt>
                <c:pt idx="3908">
                  <c:v>1.4749960029107697E-2</c:v>
                </c:pt>
                <c:pt idx="3909">
                  <c:v>1.2888918378840637E-2</c:v>
                </c:pt>
                <c:pt idx="3910">
                  <c:v>1.3826620564832233E-2</c:v>
                </c:pt>
                <c:pt idx="3911">
                  <c:v>1.3849894403893379E-2</c:v>
                </c:pt>
                <c:pt idx="3912">
                  <c:v>1.6100360939876667E-2</c:v>
                </c:pt>
                <c:pt idx="3913">
                  <c:v>1.2729269205409699E-2</c:v>
                </c:pt>
                <c:pt idx="3914">
                  <c:v>1.0725350755565655E-2</c:v>
                </c:pt>
                <c:pt idx="3915">
                  <c:v>9.9894402387009865E-3</c:v>
                </c:pt>
                <c:pt idx="3916">
                  <c:v>1.5712515718385011E-2</c:v>
                </c:pt>
                <c:pt idx="3917">
                  <c:v>1.2638399329780453E-2</c:v>
                </c:pt>
                <c:pt idx="3918">
                  <c:v>1.0457552217227443E-2</c:v>
                </c:pt>
                <c:pt idx="3919">
                  <c:v>9.7840014165382714E-3</c:v>
                </c:pt>
                <c:pt idx="3920">
                  <c:v>1.561852098904238E-2</c:v>
                </c:pt>
                <c:pt idx="3921">
                  <c:v>1.3832055665075558E-2</c:v>
                </c:pt>
                <c:pt idx="3922">
                  <c:v>1.1004230292705927E-2</c:v>
                </c:pt>
                <c:pt idx="3923">
                  <c:v>1.024368943879359E-2</c:v>
                </c:pt>
                <c:pt idx="3924">
                  <c:v>1.5706359684136827E-2</c:v>
                </c:pt>
                <c:pt idx="3925">
                  <c:v>1.8528130402520309E-2</c:v>
                </c:pt>
                <c:pt idx="3926">
                  <c:v>1.280950118159367E-2</c:v>
                </c:pt>
                <c:pt idx="3927">
                  <c:v>1.2887398943553533E-2</c:v>
                </c:pt>
                <c:pt idx="3928">
                  <c:v>1.5413130945862857E-2</c:v>
                </c:pt>
                <c:pt idx="3929">
                  <c:v>1.3335261374178609E-2</c:v>
                </c:pt>
                <c:pt idx="3930">
                  <c:v>1.3989410149307581E-2</c:v>
                </c:pt>
                <c:pt idx="3931">
                  <c:v>1.0909084634781437E-2</c:v>
                </c:pt>
                <c:pt idx="3932">
                  <c:v>1.3095835210433147E-2</c:v>
                </c:pt>
                <c:pt idx="3933">
                  <c:v>9.6072504934051357E-3</c:v>
                </c:pt>
                <c:pt idx="3934">
                  <c:v>1.3853733404099839E-2</c:v>
                </c:pt>
                <c:pt idx="3935">
                  <c:v>1.3682817105831697E-2</c:v>
                </c:pt>
                <c:pt idx="3936">
                  <c:v>1.385373340409984E-2</c:v>
                </c:pt>
                <c:pt idx="3937">
                  <c:v>1.1190332905407887E-2</c:v>
                </c:pt>
                <c:pt idx="3938">
                  <c:v>1.206492048453863E-2</c:v>
                </c:pt>
                <c:pt idx="3939">
                  <c:v>1.1235159747318511E-2</c:v>
                </c:pt>
                <c:pt idx="3940">
                  <c:v>1.5618520989042381E-2</c:v>
                </c:pt>
                <c:pt idx="3941">
                  <c:v>9.717019206749786E-3</c:v>
                </c:pt>
                <c:pt idx="3942">
                  <c:v>9.3396415554203686E-3</c:v>
                </c:pt>
                <c:pt idx="3943">
                  <c:v>1.5434244138739563E-2</c:v>
                </c:pt>
                <c:pt idx="3944">
                  <c:v>1.0846188243206194E-2</c:v>
                </c:pt>
                <c:pt idx="3945">
                  <c:v>1.4830630810695749E-2</c:v>
                </c:pt>
                <c:pt idx="3946">
                  <c:v>1.4749960029107695E-2</c:v>
                </c:pt>
                <c:pt idx="3947">
                  <c:v>1.3849894403893379E-2</c:v>
                </c:pt>
                <c:pt idx="3948">
                  <c:v>1.1817482139498065E-2</c:v>
                </c:pt>
                <c:pt idx="3949">
                  <c:v>1.2320430900342015E-2</c:v>
                </c:pt>
                <c:pt idx="3950">
                  <c:v>1.4667739748889604E-2</c:v>
                </c:pt>
                <c:pt idx="3951">
                  <c:v>1.1485475093772469E-2</c:v>
                </c:pt>
                <c:pt idx="3952">
                  <c:v>1.2569719730098529E-2</c:v>
                </c:pt>
                <c:pt idx="3953">
                  <c:v>1.1083153675087734E-2</c:v>
                </c:pt>
                <c:pt idx="3954">
                  <c:v>1.3754463684504887E-2</c:v>
                </c:pt>
                <c:pt idx="3955">
                  <c:v>1.0833268227294156E-2</c:v>
                </c:pt>
                <c:pt idx="3956">
                  <c:v>1.4691367769015662E-2</c:v>
                </c:pt>
                <c:pt idx="3957">
                  <c:v>1.1498824666350514E-2</c:v>
                </c:pt>
                <c:pt idx="3958">
                  <c:v>1.2304933485997656E-2</c:v>
                </c:pt>
                <c:pt idx="3959">
                  <c:v>1.4087966762898614E-2</c:v>
                </c:pt>
                <c:pt idx="3960">
                  <c:v>1.5576925965881862E-2</c:v>
                </c:pt>
                <c:pt idx="3961">
                  <c:v>1.2192372238821525E-2</c:v>
                </c:pt>
                <c:pt idx="3962">
                  <c:v>1.2817445103249541E-2</c:v>
                </c:pt>
                <c:pt idx="3963">
                  <c:v>1.386228907498102E-2</c:v>
                </c:pt>
                <c:pt idx="3964">
                  <c:v>1.0984586739622933E-2</c:v>
                </c:pt>
                <c:pt idx="3965">
                  <c:v>1.412321248308651E-2</c:v>
                </c:pt>
                <c:pt idx="3966">
                  <c:v>9.5795363962065012E-3</c:v>
                </c:pt>
                <c:pt idx="3967">
                  <c:v>1.3674008432626252E-2</c:v>
                </c:pt>
                <c:pt idx="3968">
                  <c:v>1.4229806726489977E-2</c:v>
                </c:pt>
                <c:pt idx="3969">
                  <c:v>1.3009110546230459E-2</c:v>
                </c:pt>
                <c:pt idx="3970">
                  <c:v>1.181417665641029E-2</c:v>
                </c:pt>
                <c:pt idx="3971">
                  <c:v>1.4574550912421446E-2</c:v>
                </c:pt>
                <c:pt idx="3972">
                  <c:v>1.5049141803377429E-2</c:v>
                </c:pt>
                <c:pt idx="3973">
                  <c:v>1.0226624994773982E-2</c:v>
                </c:pt>
                <c:pt idx="3974">
                  <c:v>1.0029055968474528E-2</c:v>
                </c:pt>
                <c:pt idx="3975">
                  <c:v>1.4123718142303426E-2</c:v>
                </c:pt>
                <c:pt idx="3976">
                  <c:v>1.1545579285161933E-2</c:v>
                </c:pt>
                <c:pt idx="3977">
                  <c:v>1.0663723254839674E-2</c:v>
                </c:pt>
                <c:pt idx="3978">
                  <c:v>1.3102028074088138E-2</c:v>
                </c:pt>
                <c:pt idx="3979">
                  <c:v>1.385373340409984E-2</c:v>
                </c:pt>
                <c:pt idx="3980">
                  <c:v>1.3849894403893379E-2</c:v>
                </c:pt>
                <c:pt idx="3981">
                  <c:v>1.5434244138739563E-2</c:v>
                </c:pt>
                <c:pt idx="3982">
                  <c:v>1.2775028812907804E-2</c:v>
                </c:pt>
                <c:pt idx="3983">
                  <c:v>1.0392937603379624E-2</c:v>
                </c:pt>
                <c:pt idx="3984">
                  <c:v>1.009671539335835E-2</c:v>
                </c:pt>
                <c:pt idx="3985">
                  <c:v>1.5712515718385011E-2</c:v>
                </c:pt>
                <c:pt idx="3986">
                  <c:v>1.1243555625401903E-2</c:v>
                </c:pt>
                <c:pt idx="3987">
                  <c:v>9.3402654532638851E-3</c:v>
                </c:pt>
                <c:pt idx="3988">
                  <c:v>1.383981491350712E-2</c:v>
                </c:pt>
                <c:pt idx="3989">
                  <c:v>1.0715231547860398E-2</c:v>
                </c:pt>
                <c:pt idx="3990">
                  <c:v>1.6852964635850839E-2</c:v>
                </c:pt>
                <c:pt idx="3991">
                  <c:v>1.053392611697208E-2</c:v>
                </c:pt>
                <c:pt idx="3992">
                  <c:v>1.2203446686908479E-2</c:v>
                </c:pt>
                <c:pt idx="3993">
                  <c:v>1.2436757072444985E-2</c:v>
                </c:pt>
                <c:pt idx="3994">
                  <c:v>1.5126377438054284E-2</c:v>
                </c:pt>
                <c:pt idx="3995">
                  <c:v>1.09232069476466E-2</c:v>
                </c:pt>
                <c:pt idx="3996">
                  <c:v>1.6301105982438266E-2</c:v>
                </c:pt>
                <c:pt idx="3997">
                  <c:v>1.0811938064209681E-2</c:v>
                </c:pt>
                <c:pt idx="3998">
                  <c:v>1.0296130351766712E-2</c:v>
                </c:pt>
                <c:pt idx="3999">
                  <c:v>1.1286863191562311E-2</c:v>
                </c:pt>
                <c:pt idx="4000">
                  <c:v>1.3009110546230459E-2</c:v>
                </c:pt>
                <c:pt idx="4001">
                  <c:v>1.3087511687532255E-2</c:v>
                </c:pt>
                <c:pt idx="4002">
                  <c:v>1.5413130945862857E-2</c:v>
                </c:pt>
                <c:pt idx="4003">
                  <c:v>1.1596840614744374E-2</c:v>
                </c:pt>
                <c:pt idx="4004">
                  <c:v>1.4244000335516109E-2</c:v>
                </c:pt>
                <c:pt idx="4005">
                  <c:v>1.3849894403893379E-2</c:v>
                </c:pt>
                <c:pt idx="4006">
                  <c:v>1.3967112561819484E-2</c:v>
                </c:pt>
                <c:pt idx="4007">
                  <c:v>1.1037677669451181E-2</c:v>
                </c:pt>
                <c:pt idx="4008">
                  <c:v>1.5344006605141125E-2</c:v>
                </c:pt>
                <c:pt idx="4009">
                  <c:v>1.2542198764432171E-2</c:v>
                </c:pt>
                <c:pt idx="4010">
                  <c:v>1.4912738377618208E-2</c:v>
                </c:pt>
                <c:pt idx="4011">
                  <c:v>1.8132536690980538E-2</c:v>
                </c:pt>
                <c:pt idx="4012">
                  <c:v>1.4632932006181711E-2</c:v>
                </c:pt>
                <c:pt idx="4013">
                  <c:v>1.3088010981072576E-2</c:v>
                </c:pt>
                <c:pt idx="4014">
                  <c:v>1.1671651481763246E-2</c:v>
                </c:pt>
                <c:pt idx="4015">
                  <c:v>1.0271232069561676E-2</c:v>
                </c:pt>
                <c:pt idx="4016">
                  <c:v>1.672866854777524E-2</c:v>
                </c:pt>
                <c:pt idx="4017">
                  <c:v>1.3290442570939812E-2</c:v>
                </c:pt>
                <c:pt idx="4018">
                  <c:v>1.1180811317419758E-2</c:v>
                </c:pt>
                <c:pt idx="4019">
                  <c:v>1.906302168500059E-2</c:v>
                </c:pt>
                <c:pt idx="4020">
                  <c:v>1.0081276681605283E-2</c:v>
                </c:pt>
                <c:pt idx="4021">
                  <c:v>1.6397669149737778E-2</c:v>
                </c:pt>
                <c:pt idx="4022">
                  <c:v>1.2006000324427038E-2</c:v>
                </c:pt>
                <c:pt idx="4023">
                  <c:v>9.955561542518308E-3</c:v>
                </c:pt>
                <c:pt idx="4024">
                  <c:v>1.0732432473869223E-2</c:v>
                </c:pt>
                <c:pt idx="4025">
                  <c:v>1.6301105982438266E-2</c:v>
                </c:pt>
                <c:pt idx="4026">
                  <c:v>1.1873565018534238E-2</c:v>
                </c:pt>
                <c:pt idx="4027">
                  <c:v>1.0737484730818526E-2</c:v>
                </c:pt>
                <c:pt idx="4028">
                  <c:v>1.038899761491293E-2</c:v>
                </c:pt>
                <c:pt idx="4029">
                  <c:v>9.7674331338455742E-3</c:v>
                </c:pt>
                <c:pt idx="4030">
                  <c:v>1.0161170745059983E-2</c:v>
                </c:pt>
                <c:pt idx="4031">
                  <c:v>1.5481001792652119E-2</c:v>
                </c:pt>
                <c:pt idx="4032">
                  <c:v>1.2594249762566156E-2</c:v>
                </c:pt>
                <c:pt idx="4033">
                  <c:v>1.3129116061327304E-2</c:v>
                </c:pt>
                <c:pt idx="4034">
                  <c:v>1.0909084634781437E-2</c:v>
                </c:pt>
                <c:pt idx="4035">
                  <c:v>1.3094468734401865E-2</c:v>
                </c:pt>
                <c:pt idx="4036">
                  <c:v>1.244363330345339E-2</c:v>
                </c:pt>
                <c:pt idx="4037">
                  <c:v>1.3009110546230463E-2</c:v>
                </c:pt>
                <c:pt idx="4038">
                  <c:v>1.4670749734442235E-2</c:v>
                </c:pt>
                <c:pt idx="4039">
                  <c:v>1.0632333436446671E-2</c:v>
                </c:pt>
                <c:pt idx="4040">
                  <c:v>1.4273481573858949E-2</c:v>
                </c:pt>
                <c:pt idx="4041">
                  <c:v>1.2207008536483408E-2</c:v>
                </c:pt>
                <c:pt idx="4042">
                  <c:v>1.1639768776964453E-2</c:v>
                </c:pt>
                <c:pt idx="4043">
                  <c:v>1.0190149252564945E-2</c:v>
                </c:pt>
                <c:pt idx="4044">
                  <c:v>1.0029055968474528E-2</c:v>
                </c:pt>
                <c:pt idx="4045">
                  <c:v>1.4434072448601473E-2</c:v>
                </c:pt>
                <c:pt idx="4046">
                  <c:v>1.2130087016171161E-2</c:v>
                </c:pt>
                <c:pt idx="4047">
                  <c:v>1.0308280977094918E-2</c:v>
                </c:pt>
                <c:pt idx="4048">
                  <c:v>1.3328196765943155E-2</c:v>
                </c:pt>
                <c:pt idx="4049">
                  <c:v>1.385373340409984E-2</c:v>
                </c:pt>
                <c:pt idx="4050">
                  <c:v>1.3862288581503074E-2</c:v>
                </c:pt>
                <c:pt idx="4051">
                  <c:v>1.0245395744649558E-2</c:v>
                </c:pt>
                <c:pt idx="4052">
                  <c:v>1.7103671905773405E-2</c:v>
                </c:pt>
                <c:pt idx="4053">
                  <c:v>1.0069275629952633E-2</c:v>
                </c:pt>
                <c:pt idx="4054">
                  <c:v>1.009671539335835E-2</c:v>
                </c:pt>
                <c:pt idx="4055">
                  <c:v>1.0977451207559594E-2</c:v>
                </c:pt>
                <c:pt idx="4056">
                  <c:v>1.277577762667575E-2</c:v>
                </c:pt>
                <c:pt idx="4057">
                  <c:v>1.1286071671928853E-2</c:v>
                </c:pt>
                <c:pt idx="4058">
                  <c:v>1.8928536094734424E-2</c:v>
                </c:pt>
                <c:pt idx="4059">
                  <c:v>1.3674008432626252E-2</c:v>
                </c:pt>
                <c:pt idx="4060">
                  <c:v>1.2130087016171161E-2</c:v>
                </c:pt>
                <c:pt idx="4061">
                  <c:v>1.1637126067539824E-2</c:v>
                </c:pt>
                <c:pt idx="4062">
                  <c:v>1.1283717062338505E-2</c:v>
                </c:pt>
                <c:pt idx="4063">
                  <c:v>1.3102028074088138E-2</c:v>
                </c:pt>
                <c:pt idx="4064">
                  <c:v>1.5031282237134824E-2</c:v>
                </c:pt>
                <c:pt idx="4065">
                  <c:v>1.0903051617023381E-2</c:v>
                </c:pt>
                <c:pt idx="4066">
                  <c:v>1.1489209647230651E-2</c:v>
                </c:pt>
                <c:pt idx="4067">
                  <c:v>1.4273683869026681E-2</c:v>
                </c:pt>
                <c:pt idx="4068">
                  <c:v>1.0128158483385368E-2</c:v>
                </c:pt>
                <c:pt idx="4069">
                  <c:v>1.3524957073238543E-2</c:v>
                </c:pt>
                <c:pt idx="4070">
                  <c:v>1.7306045493669254E-2</c:v>
                </c:pt>
                <c:pt idx="4071">
                  <c:v>1.4944136739629958E-2</c:v>
                </c:pt>
                <c:pt idx="4072">
                  <c:v>1.173190785472342E-2</c:v>
                </c:pt>
                <c:pt idx="4073">
                  <c:v>1.1579199744869626E-2</c:v>
                </c:pt>
                <c:pt idx="4074">
                  <c:v>1.8263847217394928E-2</c:v>
                </c:pt>
                <c:pt idx="4075">
                  <c:v>1.1766506833316759E-2</c:v>
                </c:pt>
                <c:pt idx="4076">
                  <c:v>1.2137228702577031E-2</c:v>
                </c:pt>
                <c:pt idx="4077">
                  <c:v>1.0725350755565655E-2</c:v>
                </c:pt>
                <c:pt idx="4078">
                  <c:v>1.1125277573136918E-2</c:v>
                </c:pt>
                <c:pt idx="4079">
                  <c:v>1.0237955221876788E-2</c:v>
                </c:pt>
                <c:pt idx="4080">
                  <c:v>1.4227492800594425E-2</c:v>
                </c:pt>
                <c:pt idx="4081">
                  <c:v>1.0366194227320607E-2</c:v>
                </c:pt>
                <c:pt idx="4082">
                  <c:v>1.4297439516260623E-2</c:v>
                </c:pt>
                <c:pt idx="4083">
                  <c:v>1.5644725188612919E-2</c:v>
                </c:pt>
                <c:pt idx="4084">
                  <c:v>1.534708911742606E-2</c:v>
                </c:pt>
                <c:pt idx="4085">
                  <c:v>1.3826620564832233E-2</c:v>
                </c:pt>
                <c:pt idx="4086">
                  <c:v>1.3849894403893379E-2</c:v>
                </c:pt>
                <c:pt idx="4087">
                  <c:v>1.3902640725373946E-2</c:v>
                </c:pt>
                <c:pt idx="4088">
                  <c:v>1.347816622331335E-2</c:v>
                </c:pt>
                <c:pt idx="4089">
                  <c:v>1.286751171573176E-2</c:v>
                </c:pt>
                <c:pt idx="4090">
                  <c:v>1.339389290226113E-2</c:v>
                </c:pt>
                <c:pt idx="4091">
                  <c:v>1.3913296519489133E-2</c:v>
                </c:pt>
                <c:pt idx="4092">
                  <c:v>1.1177279953282588E-2</c:v>
                </c:pt>
                <c:pt idx="4093">
                  <c:v>1.2697347371451943E-2</c:v>
                </c:pt>
                <c:pt idx="4094">
                  <c:v>1.2994685620591234E-2</c:v>
                </c:pt>
                <c:pt idx="4095">
                  <c:v>1.0204454270492056E-2</c:v>
                </c:pt>
                <c:pt idx="4096">
                  <c:v>9.9803990432990597E-3</c:v>
                </c:pt>
                <c:pt idx="4097">
                  <c:v>1.0823093943101252E-2</c:v>
                </c:pt>
                <c:pt idx="4098">
                  <c:v>1.4637253852239254E-2</c:v>
                </c:pt>
                <c:pt idx="4099">
                  <c:v>1.6100360939876667E-2</c:v>
                </c:pt>
                <c:pt idx="4100">
                  <c:v>1.044674971242868E-2</c:v>
                </c:pt>
                <c:pt idx="4101">
                  <c:v>1.5181794069596823E-2</c:v>
                </c:pt>
                <c:pt idx="4102">
                  <c:v>1.1887518302706117E-2</c:v>
                </c:pt>
                <c:pt idx="4103">
                  <c:v>1.1369402635326598E-2</c:v>
                </c:pt>
                <c:pt idx="4104">
                  <c:v>1.0972784808687778E-2</c:v>
                </c:pt>
                <c:pt idx="4105">
                  <c:v>1.0909084634781437E-2</c:v>
                </c:pt>
                <c:pt idx="4106">
                  <c:v>1.2905976212407024E-2</c:v>
                </c:pt>
                <c:pt idx="4107">
                  <c:v>1.1681539698668331E-2</c:v>
                </c:pt>
                <c:pt idx="4108">
                  <c:v>1.0342325803158048E-2</c:v>
                </c:pt>
                <c:pt idx="4109">
                  <c:v>1.0991359471767853E-2</c:v>
                </c:pt>
                <c:pt idx="4110">
                  <c:v>1.2954703186351401E-2</c:v>
                </c:pt>
                <c:pt idx="4111">
                  <c:v>1.2888299763886347E-2</c:v>
                </c:pt>
                <c:pt idx="4112">
                  <c:v>1.0191003433497541E-2</c:v>
                </c:pt>
                <c:pt idx="4113">
                  <c:v>1.2835334715305792E-2</c:v>
                </c:pt>
                <c:pt idx="4114">
                  <c:v>1.0220621362782867E-2</c:v>
                </c:pt>
                <c:pt idx="4115">
                  <c:v>1.1803908505145289E-2</c:v>
                </c:pt>
                <c:pt idx="4116">
                  <c:v>1.0377555350026029E-2</c:v>
                </c:pt>
                <c:pt idx="4117">
                  <c:v>1.4288376155840431E-2</c:v>
                </c:pt>
                <c:pt idx="4118">
                  <c:v>1.3548304954144118E-2</c:v>
                </c:pt>
                <c:pt idx="4119">
                  <c:v>1.3920174483762864E-2</c:v>
                </c:pt>
                <c:pt idx="4120">
                  <c:v>1.3696103951630633E-2</c:v>
                </c:pt>
                <c:pt idx="4121">
                  <c:v>1.1035816369625716E-2</c:v>
                </c:pt>
                <c:pt idx="4122">
                  <c:v>1.0551017145130506E-2</c:v>
                </c:pt>
                <c:pt idx="4123">
                  <c:v>1.3573774732115797E-2</c:v>
                </c:pt>
                <c:pt idx="4124">
                  <c:v>1.4591812560371087E-2</c:v>
                </c:pt>
                <c:pt idx="4125">
                  <c:v>9.6265713162225763E-3</c:v>
                </c:pt>
                <c:pt idx="4126">
                  <c:v>1.3465436143802837E-2</c:v>
                </c:pt>
                <c:pt idx="4127">
                  <c:v>1.0258850148799391E-2</c:v>
                </c:pt>
                <c:pt idx="4128">
                  <c:v>1.0345406250637363E-2</c:v>
                </c:pt>
                <c:pt idx="4129">
                  <c:v>1.1366624867385936E-2</c:v>
                </c:pt>
                <c:pt idx="4130">
                  <c:v>1.4523169030091786E-2</c:v>
                </c:pt>
                <c:pt idx="4131">
                  <c:v>1.1152376924825272E-2</c:v>
                </c:pt>
                <c:pt idx="4132">
                  <c:v>1.4043816940215014E-2</c:v>
                </c:pt>
                <c:pt idx="4133">
                  <c:v>1.4814988575928948E-2</c:v>
                </c:pt>
                <c:pt idx="4134">
                  <c:v>1.409529156421593E-2</c:v>
                </c:pt>
                <c:pt idx="4135">
                  <c:v>1.0012818118592628E-2</c:v>
                </c:pt>
                <c:pt idx="4136">
                  <c:v>1.2383833709675968E-2</c:v>
                </c:pt>
                <c:pt idx="4137">
                  <c:v>1.1441868977834731E-2</c:v>
                </c:pt>
                <c:pt idx="4138">
                  <c:v>1.0430911482542393E-2</c:v>
                </c:pt>
                <c:pt idx="4139">
                  <c:v>1.8532736375361916E-2</c:v>
                </c:pt>
                <c:pt idx="4140">
                  <c:v>1.2894770596835357E-2</c:v>
                </c:pt>
                <c:pt idx="4141">
                  <c:v>9.5795363962065012E-3</c:v>
                </c:pt>
                <c:pt idx="4142">
                  <c:v>1.2953779016432503E-2</c:v>
                </c:pt>
                <c:pt idx="4143">
                  <c:v>1.3513969141783688E-2</c:v>
                </c:pt>
                <c:pt idx="4144">
                  <c:v>1.1155032780301371E-2</c:v>
                </c:pt>
                <c:pt idx="4145">
                  <c:v>1.5933010011191028E-2</c:v>
                </c:pt>
                <c:pt idx="4146">
                  <c:v>1.0342325803158046E-2</c:v>
                </c:pt>
                <c:pt idx="4147">
                  <c:v>1.4523169030091784E-2</c:v>
                </c:pt>
                <c:pt idx="4148">
                  <c:v>1.0457552217227443E-2</c:v>
                </c:pt>
                <c:pt idx="4149">
                  <c:v>1.0093398422728618E-2</c:v>
                </c:pt>
                <c:pt idx="4150">
                  <c:v>1.274709386249482E-2</c:v>
                </c:pt>
                <c:pt idx="4151">
                  <c:v>1.0211542800587916E-2</c:v>
                </c:pt>
                <c:pt idx="4152">
                  <c:v>1.3882356534975659E-2</c:v>
                </c:pt>
                <c:pt idx="4153">
                  <c:v>1.2834122427984901E-2</c:v>
                </c:pt>
                <c:pt idx="4154">
                  <c:v>1.3497572708498733E-2</c:v>
                </c:pt>
                <c:pt idx="4155">
                  <c:v>1.0666632172008018E-2</c:v>
                </c:pt>
                <c:pt idx="4156">
                  <c:v>1.23453440931807E-2</c:v>
                </c:pt>
                <c:pt idx="4157">
                  <c:v>1.084063784495717E-2</c:v>
                </c:pt>
                <c:pt idx="4158">
                  <c:v>1.7103671905773405E-2</c:v>
                </c:pt>
                <c:pt idx="4159">
                  <c:v>1.4168542622972171E-2</c:v>
                </c:pt>
                <c:pt idx="4160">
                  <c:v>1.383205566507556E-2</c:v>
                </c:pt>
                <c:pt idx="4161">
                  <c:v>1.1667594942214921E-2</c:v>
                </c:pt>
                <c:pt idx="4162">
                  <c:v>1.3595440292245567E-2</c:v>
                </c:pt>
                <c:pt idx="4163">
                  <c:v>1.2953162917986183E-2</c:v>
                </c:pt>
                <c:pt idx="4164">
                  <c:v>1.1946223398719471E-2</c:v>
                </c:pt>
                <c:pt idx="4165">
                  <c:v>9.9220375796231306E-3</c:v>
                </c:pt>
                <c:pt idx="4166">
                  <c:v>1.0616485831160517E-2</c:v>
                </c:pt>
                <c:pt idx="4167">
                  <c:v>1.4000173937607607E-2</c:v>
                </c:pt>
                <c:pt idx="4168">
                  <c:v>1.0999328791436272E-2</c:v>
                </c:pt>
                <c:pt idx="4169">
                  <c:v>1.0476132190911371E-2</c:v>
                </c:pt>
                <c:pt idx="4170">
                  <c:v>1.4780066221291192E-2</c:v>
                </c:pt>
                <c:pt idx="4171">
                  <c:v>1.3709273138729028E-2</c:v>
                </c:pt>
                <c:pt idx="4172">
                  <c:v>9.739830883322035E-3</c:v>
                </c:pt>
                <c:pt idx="4173">
                  <c:v>1.7319952818756659E-2</c:v>
                </c:pt>
                <c:pt idx="4174">
                  <c:v>1.0972784808687778E-2</c:v>
                </c:pt>
                <c:pt idx="4175">
                  <c:v>1.05531112465891E-2</c:v>
                </c:pt>
                <c:pt idx="4176">
                  <c:v>1.321346741435854E-2</c:v>
                </c:pt>
                <c:pt idx="4177">
                  <c:v>9.5145645298022E-3</c:v>
                </c:pt>
                <c:pt idx="4178">
                  <c:v>1.0029055968474525E-2</c:v>
                </c:pt>
                <c:pt idx="4179">
                  <c:v>1.12388339892407E-2</c:v>
                </c:pt>
                <c:pt idx="4180">
                  <c:v>1.1827437033241116E-2</c:v>
                </c:pt>
                <c:pt idx="4181">
                  <c:v>1.1037677669451181E-2</c:v>
                </c:pt>
                <c:pt idx="4182">
                  <c:v>1.3474696834592237E-2</c:v>
                </c:pt>
                <c:pt idx="4183">
                  <c:v>1.286088387350824E-2</c:v>
                </c:pt>
                <c:pt idx="4184">
                  <c:v>9.5688548890340459E-3</c:v>
                </c:pt>
                <c:pt idx="4185">
                  <c:v>1.498731213558065E-2</c:v>
                </c:pt>
                <c:pt idx="4186">
                  <c:v>1.0909084634781437E-2</c:v>
                </c:pt>
                <c:pt idx="4187">
                  <c:v>9.5980502546850321E-3</c:v>
                </c:pt>
                <c:pt idx="4188">
                  <c:v>1.4201752820903987E-2</c:v>
                </c:pt>
                <c:pt idx="4189">
                  <c:v>1.3356120974734573E-2</c:v>
                </c:pt>
                <c:pt idx="4190">
                  <c:v>1.1766506833316759E-2</c:v>
                </c:pt>
                <c:pt idx="4191">
                  <c:v>1.4043816940215016E-2</c:v>
                </c:pt>
                <c:pt idx="4192">
                  <c:v>9.8035940648196918E-3</c:v>
                </c:pt>
                <c:pt idx="4193">
                  <c:v>1.0418408699861305E-2</c:v>
                </c:pt>
                <c:pt idx="4194">
                  <c:v>9.8211596976906772E-3</c:v>
                </c:pt>
                <c:pt idx="4195">
                  <c:v>1.3663318726820998E-2</c:v>
                </c:pt>
                <c:pt idx="4196">
                  <c:v>1.6301105982438266E-2</c:v>
                </c:pt>
                <c:pt idx="4197">
                  <c:v>1.6482271217304091E-2</c:v>
                </c:pt>
                <c:pt idx="4198">
                  <c:v>9.886018503842452E-3</c:v>
                </c:pt>
                <c:pt idx="4199">
                  <c:v>1.8263847217394928E-2</c:v>
                </c:pt>
                <c:pt idx="4200">
                  <c:v>1.0377555350026031E-2</c:v>
                </c:pt>
                <c:pt idx="4201">
                  <c:v>1.0612715329325863E-2</c:v>
                </c:pt>
                <c:pt idx="4202">
                  <c:v>1.1346622031100762E-2</c:v>
                </c:pt>
                <c:pt idx="4203">
                  <c:v>1.4637253852239254E-2</c:v>
                </c:pt>
                <c:pt idx="4204">
                  <c:v>1.1183764414370183E-2</c:v>
                </c:pt>
                <c:pt idx="4205">
                  <c:v>1.4670749734442235E-2</c:v>
                </c:pt>
                <c:pt idx="4206">
                  <c:v>1.0644337526263408E-2</c:v>
                </c:pt>
                <c:pt idx="4207">
                  <c:v>1.3553598480618007E-2</c:v>
                </c:pt>
                <c:pt idx="4208">
                  <c:v>1.0092639108215361E-2</c:v>
                </c:pt>
                <c:pt idx="4209">
                  <c:v>1.2519744047863166E-2</c:v>
                </c:pt>
                <c:pt idx="4210">
                  <c:v>1.0675663790718316E-2</c:v>
                </c:pt>
                <c:pt idx="4211">
                  <c:v>1.0280485509901665E-2</c:v>
                </c:pt>
                <c:pt idx="4212">
                  <c:v>1.0381540738843167E-2</c:v>
                </c:pt>
                <c:pt idx="4213">
                  <c:v>1.1638714504403661E-2</c:v>
                </c:pt>
                <c:pt idx="4214">
                  <c:v>1.8263847217394928E-2</c:v>
                </c:pt>
                <c:pt idx="4215">
                  <c:v>1.0192156839305608E-2</c:v>
                </c:pt>
                <c:pt idx="4216">
                  <c:v>1.0556532643402264E-2</c:v>
                </c:pt>
                <c:pt idx="4217">
                  <c:v>1.3710241272408169E-2</c:v>
                </c:pt>
                <c:pt idx="4218">
                  <c:v>1.4442119867290834E-2</c:v>
                </c:pt>
                <c:pt idx="4219">
                  <c:v>1.4824539842906609E-2</c:v>
                </c:pt>
                <c:pt idx="4220">
                  <c:v>1.0657284975144706E-2</c:v>
                </c:pt>
                <c:pt idx="4221">
                  <c:v>1.3852068334747992E-2</c:v>
                </c:pt>
                <c:pt idx="4222">
                  <c:v>1.3063542188231997E-2</c:v>
                </c:pt>
                <c:pt idx="4223">
                  <c:v>1.0190149252564945E-2</c:v>
                </c:pt>
                <c:pt idx="4224">
                  <c:v>1.3967112561819482E-2</c:v>
                </c:pt>
                <c:pt idx="4225">
                  <c:v>1.2876881754785361E-2</c:v>
                </c:pt>
                <c:pt idx="4226">
                  <c:v>1.3804045845019262E-2</c:v>
                </c:pt>
                <c:pt idx="4227">
                  <c:v>1.3307530022220165E-2</c:v>
                </c:pt>
                <c:pt idx="4228">
                  <c:v>1.4076638263943285E-2</c:v>
                </c:pt>
                <c:pt idx="4229">
                  <c:v>1.6852964635850839E-2</c:v>
                </c:pt>
                <c:pt idx="4230">
                  <c:v>1.0787508195407209E-2</c:v>
                </c:pt>
                <c:pt idx="4231">
                  <c:v>1.1155032780301371E-2</c:v>
                </c:pt>
                <c:pt idx="4232">
                  <c:v>1.660509863071687E-2</c:v>
                </c:pt>
                <c:pt idx="4233">
                  <c:v>1.0291889608022969E-2</c:v>
                </c:pt>
                <c:pt idx="4234">
                  <c:v>1.1043183785594752E-2</c:v>
                </c:pt>
                <c:pt idx="4235">
                  <c:v>1.6360203031018029E-2</c:v>
                </c:pt>
                <c:pt idx="4236">
                  <c:v>1.3223286244170181E-2</c:v>
                </c:pt>
                <c:pt idx="4237">
                  <c:v>1.4656858912891799E-2</c:v>
                </c:pt>
                <c:pt idx="4238">
                  <c:v>1.6200182288353199E-2</c:v>
                </c:pt>
                <c:pt idx="4239">
                  <c:v>1.4746925074910277E-2</c:v>
                </c:pt>
                <c:pt idx="4240">
                  <c:v>1.561852098904238E-2</c:v>
                </c:pt>
                <c:pt idx="4241">
                  <c:v>1.8019843742304132E-2</c:v>
                </c:pt>
                <c:pt idx="4242">
                  <c:v>1.0909084634781437E-2</c:v>
                </c:pt>
                <c:pt idx="4243">
                  <c:v>1.0766984895090171E-2</c:v>
                </c:pt>
                <c:pt idx="4244">
                  <c:v>9.8304493406352646E-3</c:v>
                </c:pt>
                <c:pt idx="4245">
                  <c:v>1.0666632172008018E-2</c:v>
                </c:pt>
                <c:pt idx="4246">
                  <c:v>1.7103671905773405E-2</c:v>
                </c:pt>
                <c:pt idx="4247">
                  <c:v>1.3170729912103678E-2</c:v>
                </c:pt>
                <c:pt idx="4248">
                  <c:v>1.2505680513539411E-2</c:v>
                </c:pt>
                <c:pt idx="4249">
                  <c:v>1.0657284975144708E-2</c:v>
                </c:pt>
                <c:pt idx="4250">
                  <c:v>1.409250508640581E-2</c:v>
                </c:pt>
                <c:pt idx="4251">
                  <c:v>1.2235327216762831E-2</c:v>
                </c:pt>
                <c:pt idx="4252">
                  <c:v>1.8369661035481624E-2</c:v>
                </c:pt>
                <c:pt idx="4253">
                  <c:v>1.0909084634781437E-2</c:v>
                </c:pt>
                <c:pt idx="4254">
                  <c:v>1.0414898724479815E-2</c:v>
                </c:pt>
                <c:pt idx="4255">
                  <c:v>9.5663214340211775E-3</c:v>
                </c:pt>
                <c:pt idx="4256">
                  <c:v>1.1884100720154871E-2</c:v>
                </c:pt>
                <c:pt idx="4257">
                  <c:v>1.3151710262340825E-2</c:v>
                </c:pt>
                <c:pt idx="4258">
                  <c:v>1.0283284436038655E-2</c:v>
                </c:pt>
                <c:pt idx="4259">
                  <c:v>1.0972784808687778E-2</c:v>
                </c:pt>
                <c:pt idx="4260">
                  <c:v>1.0569640821757332E-2</c:v>
                </c:pt>
                <c:pt idx="4261">
                  <c:v>1.1234592652910182E-2</c:v>
                </c:pt>
                <c:pt idx="4262">
                  <c:v>1.4043816940215016E-2</c:v>
                </c:pt>
                <c:pt idx="4263">
                  <c:v>9.8113440385898202E-3</c:v>
                </c:pt>
                <c:pt idx="4264">
                  <c:v>9.8731435139752608E-3</c:v>
                </c:pt>
                <c:pt idx="4265">
                  <c:v>1.4961254683134249E-2</c:v>
                </c:pt>
                <c:pt idx="4266">
                  <c:v>1.1863708145930605E-2</c:v>
                </c:pt>
                <c:pt idx="4267">
                  <c:v>1.3521701753187084E-2</c:v>
                </c:pt>
                <c:pt idx="4268">
                  <c:v>1.0348770597807453E-2</c:v>
                </c:pt>
                <c:pt idx="4269">
                  <c:v>9.5079903746993887E-3</c:v>
                </c:pt>
                <c:pt idx="4270">
                  <c:v>1.1268852481476665E-2</c:v>
                </c:pt>
                <c:pt idx="4271">
                  <c:v>1.4054415181796754E-2</c:v>
                </c:pt>
                <c:pt idx="4272">
                  <c:v>1.7484792450961066E-2</c:v>
                </c:pt>
                <c:pt idx="4273">
                  <c:v>1.3424167007732982E-2</c:v>
                </c:pt>
                <c:pt idx="4274">
                  <c:v>1.0562689881419623E-2</c:v>
                </c:pt>
                <c:pt idx="4275">
                  <c:v>1.4227492800594425E-2</c:v>
                </c:pt>
                <c:pt idx="4276">
                  <c:v>1.0687672972964217E-2</c:v>
                </c:pt>
                <c:pt idx="4277">
                  <c:v>1.0597697796012072E-2</c:v>
                </c:pt>
                <c:pt idx="4278">
                  <c:v>1.0325122104917759E-2</c:v>
                </c:pt>
                <c:pt idx="4279">
                  <c:v>9.8860185038424503E-3</c:v>
                </c:pt>
                <c:pt idx="4280">
                  <c:v>1.3069308094087951E-2</c:v>
                </c:pt>
                <c:pt idx="4281">
                  <c:v>1.0280485509901665E-2</c:v>
                </c:pt>
                <c:pt idx="4282">
                  <c:v>1.3836012285452634E-2</c:v>
                </c:pt>
                <c:pt idx="4283">
                  <c:v>1.003117108484991E-2</c:v>
                </c:pt>
                <c:pt idx="4284">
                  <c:v>1.1755297866022143E-2</c:v>
                </c:pt>
                <c:pt idx="4285">
                  <c:v>1.3934878700601628E-2</c:v>
                </c:pt>
                <c:pt idx="4286">
                  <c:v>1.0864898757308374E-2</c:v>
                </c:pt>
                <c:pt idx="4287">
                  <c:v>1.5916455935927176E-2</c:v>
                </c:pt>
                <c:pt idx="4288">
                  <c:v>1.1545579285161931E-2</c:v>
                </c:pt>
                <c:pt idx="4289">
                  <c:v>1.3629703180194382E-2</c:v>
                </c:pt>
                <c:pt idx="4290">
                  <c:v>1.0192156839305607E-2</c:v>
                </c:pt>
                <c:pt idx="4291">
                  <c:v>1.0986309644202977E-2</c:v>
                </c:pt>
                <c:pt idx="4292">
                  <c:v>1.0283284436038657E-2</c:v>
                </c:pt>
                <c:pt idx="4293">
                  <c:v>1.2874030432799787E-2</c:v>
                </c:pt>
                <c:pt idx="4294">
                  <c:v>1.0785346482839398E-2</c:v>
                </c:pt>
                <c:pt idx="4295">
                  <c:v>1.0069149483699779E-2</c:v>
                </c:pt>
                <c:pt idx="4296">
                  <c:v>1.0392937603379624E-2</c:v>
                </c:pt>
                <c:pt idx="4297">
                  <c:v>1.1668151988341318E-2</c:v>
                </c:pt>
                <c:pt idx="4298">
                  <c:v>1.8794551774568874E-2</c:v>
                </c:pt>
                <c:pt idx="4299">
                  <c:v>1.4121291802033952E-2</c:v>
                </c:pt>
                <c:pt idx="4300">
                  <c:v>1.4199745078617534E-2</c:v>
                </c:pt>
                <c:pt idx="4301">
                  <c:v>1.2894609629780632E-2</c:v>
                </c:pt>
                <c:pt idx="4302">
                  <c:v>1.0165978979370889E-2</c:v>
                </c:pt>
                <c:pt idx="4303">
                  <c:v>1.0732432473869223E-2</c:v>
                </c:pt>
                <c:pt idx="4304">
                  <c:v>1.5528474120001454E-2</c:v>
                </c:pt>
                <c:pt idx="4305">
                  <c:v>1.4367156485985239E-2</c:v>
                </c:pt>
                <c:pt idx="4306">
                  <c:v>1.5184363566364186E-2</c:v>
                </c:pt>
                <c:pt idx="4307">
                  <c:v>1.552575640228405E-2</c:v>
                </c:pt>
                <c:pt idx="4308">
                  <c:v>1.4470092217232847E-2</c:v>
                </c:pt>
                <c:pt idx="4309">
                  <c:v>1.4996259129818388E-2</c:v>
                </c:pt>
                <c:pt idx="4310">
                  <c:v>1.4469126985004868E-2</c:v>
                </c:pt>
                <c:pt idx="4311">
                  <c:v>1.2621102258035253E-2</c:v>
                </c:pt>
                <c:pt idx="4312">
                  <c:v>1.0687881166920847E-2</c:v>
                </c:pt>
                <c:pt idx="4313">
                  <c:v>1.0954984856222613E-2</c:v>
                </c:pt>
                <c:pt idx="4314">
                  <c:v>1.7230052311804852E-2</c:v>
                </c:pt>
                <c:pt idx="4315">
                  <c:v>1.6360203031018032E-2</c:v>
                </c:pt>
                <c:pt idx="4316">
                  <c:v>1.1279636193247258E-2</c:v>
                </c:pt>
                <c:pt idx="4317">
                  <c:v>1.0184375299108497E-2</c:v>
                </c:pt>
                <c:pt idx="4318">
                  <c:v>1.1126261192309094E-2</c:v>
                </c:pt>
                <c:pt idx="4319">
                  <c:v>1.3651596080295916E-2</c:v>
                </c:pt>
                <c:pt idx="4320">
                  <c:v>1.0187204148936788E-2</c:v>
                </c:pt>
                <c:pt idx="4321">
                  <c:v>1.4828604718384333E-2</c:v>
                </c:pt>
                <c:pt idx="4322">
                  <c:v>1.2642369635567235E-2</c:v>
                </c:pt>
                <c:pt idx="4323">
                  <c:v>9.5662104058997343E-3</c:v>
                </c:pt>
                <c:pt idx="4324">
                  <c:v>9.1658287543347518E-3</c:v>
                </c:pt>
                <c:pt idx="4325">
                  <c:v>1.0666632172008018E-2</c:v>
                </c:pt>
                <c:pt idx="4326">
                  <c:v>9.6555161853307987E-3</c:v>
                </c:pt>
                <c:pt idx="4327">
                  <c:v>1.230633445419657E-2</c:v>
                </c:pt>
                <c:pt idx="4328">
                  <c:v>9.6544161042757554E-3</c:v>
                </c:pt>
                <c:pt idx="4329">
                  <c:v>9.6375102621556533E-3</c:v>
                </c:pt>
                <c:pt idx="4330">
                  <c:v>1.3674008432626252E-2</c:v>
                </c:pt>
                <c:pt idx="4331">
                  <c:v>1.2936475694375437E-2</c:v>
                </c:pt>
                <c:pt idx="4332">
                  <c:v>1.082186683766298E-2</c:v>
                </c:pt>
                <c:pt idx="4333">
                  <c:v>1.1234592652910182E-2</c:v>
                </c:pt>
                <c:pt idx="4334">
                  <c:v>1.3065123935181408E-2</c:v>
                </c:pt>
                <c:pt idx="4335">
                  <c:v>1.1161624080957082E-2</c:v>
                </c:pt>
                <c:pt idx="4336">
                  <c:v>9.6555161853307987E-3</c:v>
                </c:pt>
                <c:pt idx="4337">
                  <c:v>1.0860578606190309E-2</c:v>
                </c:pt>
                <c:pt idx="4338">
                  <c:v>1.3364933883600744E-2</c:v>
                </c:pt>
                <c:pt idx="4339">
                  <c:v>9.3437750459012623E-3</c:v>
                </c:pt>
                <c:pt idx="4340">
                  <c:v>1.0890432190654093E-2</c:v>
                </c:pt>
                <c:pt idx="4341">
                  <c:v>1.0199118291272596E-2</c:v>
                </c:pt>
                <c:pt idx="4342">
                  <c:v>1.2888615543452751E-2</c:v>
                </c:pt>
                <c:pt idx="4343">
                  <c:v>1.0907497346881831E-2</c:v>
                </c:pt>
                <c:pt idx="4344">
                  <c:v>1.2573978720675961E-2</c:v>
                </c:pt>
                <c:pt idx="4345">
                  <c:v>9.7175070948108261E-3</c:v>
                </c:pt>
                <c:pt idx="4346">
                  <c:v>1.3012941374871174E-2</c:v>
                </c:pt>
                <c:pt idx="4347">
                  <c:v>1.3900120420019861E-2</c:v>
                </c:pt>
                <c:pt idx="4348">
                  <c:v>1.3599387788441792E-2</c:v>
                </c:pt>
                <c:pt idx="4349">
                  <c:v>1.1602063520216919E-2</c:v>
                </c:pt>
                <c:pt idx="4350">
                  <c:v>1.3289001004459197E-2</c:v>
                </c:pt>
                <c:pt idx="4351">
                  <c:v>9.5663214340211758E-3</c:v>
                </c:pt>
                <c:pt idx="4352">
                  <c:v>1.0526989278335511E-2</c:v>
                </c:pt>
                <c:pt idx="4353">
                  <c:v>1.2417150173716677E-2</c:v>
                </c:pt>
                <c:pt idx="4354">
                  <c:v>1.5185250871918809E-2</c:v>
                </c:pt>
                <c:pt idx="4355">
                  <c:v>1.4593023709096226E-2</c:v>
                </c:pt>
                <c:pt idx="4356">
                  <c:v>9.448595151311235E-3</c:v>
                </c:pt>
                <c:pt idx="4357">
                  <c:v>1.3219134076746113E-2</c:v>
                </c:pt>
                <c:pt idx="4358">
                  <c:v>1.8794551774568874E-2</c:v>
                </c:pt>
                <c:pt idx="4359">
                  <c:v>9.5799798832001421E-3</c:v>
                </c:pt>
                <c:pt idx="4360">
                  <c:v>1.2118142238853153E-2</c:v>
                </c:pt>
                <c:pt idx="4361">
                  <c:v>9.5799798832001421E-3</c:v>
                </c:pt>
                <c:pt idx="4362">
                  <c:v>1.0602495561197557E-2</c:v>
                </c:pt>
                <c:pt idx="4363">
                  <c:v>1.0111038660449708E-2</c:v>
                </c:pt>
                <c:pt idx="4364">
                  <c:v>1.1286654108406747E-2</c:v>
                </c:pt>
                <c:pt idx="4365">
                  <c:v>1.2406435795538628E-2</c:v>
                </c:pt>
                <c:pt idx="4366">
                  <c:v>1.4244000335516106E-2</c:v>
                </c:pt>
                <c:pt idx="4367">
                  <c:v>1.0355187992500054E-2</c:v>
                </c:pt>
                <c:pt idx="4368">
                  <c:v>1.3866891629986425E-2</c:v>
                </c:pt>
                <c:pt idx="4369">
                  <c:v>9.7887249025119197E-3</c:v>
                </c:pt>
                <c:pt idx="4370">
                  <c:v>1.1703676126723813E-2</c:v>
                </c:pt>
                <c:pt idx="4371">
                  <c:v>1.4952216299818577E-2</c:v>
                </c:pt>
                <c:pt idx="4372">
                  <c:v>9.3157820228693417E-3</c:v>
                </c:pt>
                <c:pt idx="4373">
                  <c:v>1.4912738377618208E-2</c:v>
                </c:pt>
                <c:pt idx="4374">
                  <c:v>1.1316847661369096E-2</c:v>
                </c:pt>
                <c:pt idx="4375">
                  <c:v>1.8661079521685268E-2</c:v>
                </c:pt>
                <c:pt idx="4376">
                  <c:v>1.3849894403893377E-2</c:v>
                </c:pt>
                <c:pt idx="4377">
                  <c:v>1.1579199744869626E-2</c:v>
                </c:pt>
                <c:pt idx="4378">
                  <c:v>1.0199118291272596E-2</c:v>
                </c:pt>
                <c:pt idx="4379">
                  <c:v>1.0218522226017952E-2</c:v>
                </c:pt>
                <c:pt idx="4380">
                  <c:v>1.4224359786008599E-2</c:v>
                </c:pt>
                <c:pt idx="4381">
                  <c:v>1.6360203031018032E-2</c:v>
                </c:pt>
                <c:pt idx="4382">
                  <c:v>1.5528474120001454E-2</c:v>
                </c:pt>
                <c:pt idx="4383">
                  <c:v>6.7121432716622711E-3</c:v>
                </c:pt>
                <c:pt idx="4384">
                  <c:v>1.8395715759419593E-2</c:v>
                </c:pt>
                <c:pt idx="4385">
                  <c:v>1.5072756399316824E-2</c:v>
                </c:pt>
                <c:pt idx="4386">
                  <c:v>1.0200049368475052E-2</c:v>
                </c:pt>
                <c:pt idx="4387">
                  <c:v>1.4131033776610676E-2</c:v>
                </c:pt>
                <c:pt idx="4388">
                  <c:v>1.6605098630716873E-2</c:v>
                </c:pt>
                <c:pt idx="4389">
                  <c:v>1.3005566087976737E-2</c:v>
                </c:pt>
                <c:pt idx="4390">
                  <c:v>1.4319271568267726E-2</c:v>
                </c:pt>
                <c:pt idx="4391">
                  <c:v>9.3187560275488669E-3</c:v>
                </c:pt>
                <c:pt idx="4392">
                  <c:v>1.0529371939342509E-2</c:v>
                </c:pt>
                <c:pt idx="4393">
                  <c:v>1.2340821257156472E-2</c:v>
                </c:pt>
                <c:pt idx="4394">
                  <c:v>1.3424167007732985E-2</c:v>
                </c:pt>
                <c:pt idx="4395">
                  <c:v>1.2956551174077428E-2</c:v>
                </c:pt>
                <c:pt idx="4396">
                  <c:v>1.4210476746707952E-2</c:v>
                </c:pt>
                <c:pt idx="4397">
                  <c:v>9.5732977198468207E-3</c:v>
                </c:pt>
                <c:pt idx="4398">
                  <c:v>1.0444953040813672E-2</c:v>
                </c:pt>
                <c:pt idx="4399">
                  <c:v>1.4932426661820441E-2</c:v>
                </c:pt>
                <c:pt idx="4400">
                  <c:v>1.3806985054193305E-2</c:v>
                </c:pt>
                <c:pt idx="4401">
                  <c:v>1.1618843258280597E-2</c:v>
                </c:pt>
                <c:pt idx="4402">
                  <c:v>9.5973862690342821E-3</c:v>
                </c:pt>
                <c:pt idx="4403">
                  <c:v>1.5081169588307183E-2</c:v>
                </c:pt>
                <c:pt idx="4404">
                  <c:v>1.3137086450399392E-2</c:v>
                </c:pt>
                <c:pt idx="4405">
                  <c:v>9.7939735866188482E-3</c:v>
                </c:pt>
                <c:pt idx="4406">
                  <c:v>1.1963976034063286E-2</c:v>
                </c:pt>
                <c:pt idx="4407">
                  <c:v>1.2336244119357681E-2</c:v>
                </c:pt>
                <c:pt idx="4408">
                  <c:v>9.6213570649024503E-3</c:v>
                </c:pt>
                <c:pt idx="4409">
                  <c:v>1.6100360939876667E-2</c:v>
                </c:pt>
                <c:pt idx="4410">
                  <c:v>1.3168675081074038E-2</c:v>
                </c:pt>
                <c:pt idx="4411">
                  <c:v>9.5218121088985318E-3</c:v>
                </c:pt>
                <c:pt idx="4412">
                  <c:v>1.8019843742304132E-2</c:v>
                </c:pt>
                <c:pt idx="4413">
                  <c:v>9.6732236482298221E-3</c:v>
                </c:pt>
                <c:pt idx="4414">
                  <c:v>1.8263847217394925E-2</c:v>
                </c:pt>
                <c:pt idx="4415">
                  <c:v>1.8794551774568874E-2</c:v>
                </c:pt>
                <c:pt idx="4416">
                  <c:v>1.395873396845901E-2</c:v>
                </c:pt>
                <c:pt idx="4417">
                  <c:v>1.3900120420019861E-2</c:v>
                </c:pt>
                <c:pt idx="4418">
                  <c:v>1.4087966762898614E-2</c:v>
                </c:pt>
                <c:pt idx="4419">
                  <c:v>1.3937612922088958E-2</c:v>
                </c:pt>
                <c:pt idx="4420">
                  <c:v>1.0617977917769928E-2</c:v>
                </c:pt>
                <c:pt idx="4421">
                  <c:v>1.3826620564832231E-2</c:v>
                </c:pt>
                <c:pt idx="4422">
                  <c:v>9.5663214340211758E-3</c:v>
                </c:pt>
                <c:pt idx="4423">
                  <c:v>9.8880402040913088E-3</c:v>
                </c:pt>
                <c:pt idx="4424">
                  <c:v>1.1642007531275412E-2</c:v>
                </c:pt>
                <c:pt idx="4425">
                  <c:v>1.4419436350020146E-2</c:v>
                </c:pt>
                <c:pt idx="4426">
                  <c:v>1.409250508640581E-2</c:v>
                </c:pt>
                <c:pt idx="4427">
                  <c:v>9.4312372224460879E-3</c:v>
                </c:pt>
                <c:pt idx="4428">
                  <c:v>1.2197129918631033E-2</c:v>
                </c:pt>
                <c:pt idx="4429">
                  <c:v>1.4229806726489979E-2</c:v>
                </c:pt>
                <c:pt idx="4430">
                  <c:v>9.6555161853307987E-3</c:v>
                </c:pt>
                <c:pt idx="4431">
                  <c:v>1.2002879915162856E-2</c:v>
                </c:pt>
                <c:pt idx="4432">
                  <c:v>9.6555161853307987E-3</c:v>
                </c:pt>
                <c:pt idx="4433">
                  <c:v>9.6742806607821898E-3</c:v>
                </c:pt>
                <c:pt idx="4434">
                  <c:v>9.8517444126806422E-3</c:v>
                </c:pt>
                <c:pt idx="4435">
                  <c:v>1.5163825745194537E-2</c:v>
                </c:pt>
                <c:pt idx="4436">
                  <c:v>1.2468965226223755E-2</c:v>
                </c:pt>
                <c:pt idx="4437">
                  <c:v>1.1037677669451181E-2</c:v>
                </c:pt>
                <c:pt idx="4438">
                  <c:v>1.3268784103789988E-2</c:v>
                </c:pt>
                <c:pt idx="4439">
                  <c:v>1.5511284098905344E-2</c:v>
                </c:pt>
                <c:pt idx="4440">
                  <c:v>9.7052461331794283E-3</c:v>
                </c:pt>
                <c:pt idx="4441">
                  <c:v>1.1150785629704592E-2</c:v>
                </c:pt>
                <c:pt idx="4442">
                  <c:v>1.6925294805887697E-2</c:v>
                </c:pt>
                <c:pt idx="4443">
                  <c:v>1.0275359886113562E-2</c:v>
                </c:pt>
                <c:pt idx="4444">
                  <c:v>1.4830630810695749E-2</c:v>
                </c:pt>
                <c:pt idx="4445">
                  <c:v>1.1316847661369096E-2</c:v>
                </c:pt>
                <c:pt idx="4446">
                  <c:v>1.774207684011481E-2</c:v>
                </c:pt>
                <c:pt idx="4447">
                  <c:v>1.3824281704775376E-2</c:v>
                </c:pt>
                <c:pt idx="4448">
                  <c:v>1.1078226110210934E-2</c:v>
                </c:pt>
                <c:pt idx="4449">
                  <c:v>1.6118413230157853E-2</c:v>
                </c:pt>
                <c:pt idx="4450">
                  <c:v>1.0234777413205347E-2</c:v>
                </c:pt>
                <c:pt idx="4451">
                  <c:v>1.1130790395669004E-2</c:v>
                </c:pt>
                <c:pt idx="4452">
                  <c:v>1.1766506833316757E-2</c:v>
                </c:pt>
                <c:pt idx="4453">
                  <c:v>9.7775108894510715E-3</c:v>
                </c:pt>
                <c:pt idx="4454">
                  <c:v>1.4632932006181711E-2</c:v>
                </c:pt>
                <c:pt idx="4455">
                  <c:v>1.1817784525220375E-2</c:v>
                </c:pt>
                <c:pt idx="4456">
                  <c:v>1.7484792450961066E-2</c:v>
                </c:pt>
                <c:pt idx="4457">
                  <c:v>1.4314377025050456E-2</c:v>
                </c:pt>
                <c:pt idx="4458">
                  <c:v>9.5973862690342821E-3</c:v>
                </c:pt>
                <c:pt idx="4459">
                  <c:v>1.4131033776610676E-2</c:v>
                </c:pt>
                <c:pt idx="4460">
                  <c:v>1.6482271217304095E-2</c:v>
                </c:pt>
                <c:pt idx="4461">
                  <c:v>1.0159325322859023E-2</c:v>
                </c:pt>
                <c:pt idx="4462">
                  <c:v>1.4076638263943286E-2</c:v>
                </c:pt>
                <c:pt idx="4463">
                  <c:v>1.2709317111296293E-2</c:v>
                </c:pt>
                <c:pt idx="4464">
                  <c:v>1.0489722334954776E-2</c:v>
                </c:pt>
                <c:pt idx="4465">
                  <c:v>1.1695158743048405E-2</c:v>
                </c:pt>
                <c:pt idx="4466">
                  <c:v>1.280950118159367E-2</c:v>
                </c:pt>
                <c:pt idx="4467">
                  <c:v>1.2827425767470623E-2</c:v>
                </c:pt>
                <c:pt idx="4468">
                  <c:v>1.1274999294063035E-2</c:v>
                </c:pt>
                <c:pt idx="4469">
                  <c:v>1.3674008432626254E-2</c:v>
                </c:pt>
                <c:pt idx="4470">
                  <c:v>1.4516225571417792E-2</c:v>
                </c:pt>
                <c:pt idx="4471">
                  <c:v>1.8794551774568874E-2</c:v>
                </c:pt>
                <c:pt idx="4472">
                  <c:v>1.0427048330630994E-2</c:v>
                </c:pt>
                <c:pt idx="4473">
                  <c:v>9.5875674124176469E-3</c:v>
                </c:pt>
                <c:pt idx="4474">
                  <c:v>1.0521097322520765E-2</c:v>
                </c:pt>
                <c:pt idx="4475">
                  <c:v>9.8211411261484478E-3</c:v>
                </c:pt>
                <c:pt idx="4476">
                  <c:v>1.1315413003646817E-2</c:v>
                </c:pt>
                <c:pt idx="4477">
                  <c:v>1.0314187891232576E-2</c:v>
                </c:pt>
                <c:pt idx="4478">
                  <c:v>1.5588506853553261E-2</c:v>
                </c:pt>
                <c:pt idx="4479">
                  <c:v>1.5434244138739563E-2</c:v>
                </c:pt>
                <c:pt idx="4480">
                  <c:v>1.1963198236748265E-2</c:v>
                </c:pt>
                <c:pt idx="4481">
                  <c:v>1.5298716201155594E-2</c:v>
                </c:pt>
                <c:pt idx="4482">
                  <c:v>1.8001796391182507E-2</c:v>
                </c:pt>
                <c:pt idx="4483">
                  <c:v>1.5425894668362873E-2</c:v>
                </c:pt>
                <c:pt idx="4484">
                  <c:v>1.6001662566933018E-2</c:v>
                </c:pt>
                <c:pt idx="4485">
                  <c:v>1.0432472633287067E-2</c:v>
                </c:pt>
                <c:pt idx="4486">
                  <c:v>1.001423593038704E-2</c:v>
                </c:pt>
                <c:pt idx="4487">
                  <c:v>1.3196116820853487E-2</c:v>
                </c:pt>
                <c:pt idx="4488">
                  <c:v>1.7510001937665859E-2</c:v>
                </c:pt>
                <c:pt idx="4489">
                  <c:v>1.5156765882168693E-2</c:v>
                </c:pt>
                <c:pt idx="4490">
                  <c:v>1.1699733043287452E-2</c:v>
                </c:pt>
                <c:pt idx="4491">
                  <c:v>1.6100360939876667E-2</c:v>
                </c:pt>
                <c:pt idx="4492">
                  <c:v>1.8661079521685268E-2</c:v>
                </c:pt>
                <c:pt idx="4493">
                  <c:v>1.206492048453863E-2</c:v>
                </c:pt>
                <c:pt idx="4494">
                  <c:v>1.23453440931807E-2</c:v>
                </c:pt>
                <c:pt idx="4495">
                  <c:v>1.05531112465891E-2</c:v>
                </c:pt>
                <c:pt idx="4496">
                  <c:v>1.0429352240312708E-2</c:v>
                </c:pt>
                <c:pt idx="4497">
                  <c:v>1.0622417067170098E-2</c:v>
                </c:pt>
                <c:pt idx="4498">
                  <c:v>9.5978250892483231E-3</c:v>
                </c:pt>
                <c:pt idx="4499">
                  <c:v>9.717019206749786E-3</c:v>
                </c:pt>
                <c:pt idx="4500">
                  <c:v>1.4996259129818388E-2</c:v>
                </c:pt>
                <c:pt idx="4501">
                  <c:v>9.4941699412726139E-3</c:v>
                </c:pt>
                <c:pt idx="4502">
                  <c:v>1.3849894403893379E-2</c:v>
                </c:pt>
                <c:pt idx="4503">
                  <c:v>1.2717176604064104E-2</c:v>
                </c:pt>
                <c:pt idx="4504">
                  <c:v>1.0785346482839398E-2</c:v>
                </c:pt>
                <c:pt idx="4505">
                  <c:v>1.2545114866620695E-2</c:v>
                </c:pt>
                <c:pt idx="4506">
                  <c:v>1.2706267916788671E-2</c:v>
                </c:pt>
                <c:pt idx="4507">
                  <c:v>1.3027473597566359E-2</c:v>
                </c:pt>
                <c:pt idx="4508">
                  <c:v>1.7103671905773405E-2</c:v>
                </c:pt>
                <c:pt idx="4509">
                  <c:v>1.1553522049655381E-2</c:v>
                </c:pt>
                <c:pt idx="4510">
                  <c:v>1.0113664470399615E-2</c:v>
                </c:pt>
                <c:pt idx="4511">
                  <c:v>1.0404454971843374E-2</c:v>
                </c:pt>
                <c:pt idx="4512">
                  <c:v>1.0342325803158046E-2</c:v>
                </c:pt>
                <c:pt idx="4513">
                  <c:v>9.9517832840157142E-3</c:v>
                </c:pt>
                <c:pt idx="4514">
                  <c:v>1.422474026965917E-2</c:v>
                </c:pt>
                <c:pt idx="4515">
                  <c:v>1.4148879873072288E-2</c:v>
                </c:pt>
                <c:pt idx="4516">
                  <c:v>1.3009110546230461E-2</c:v>
                </c:pt>
                <c:pt idx="4517">
                  <c:v>1.0579562012371212E-2</c:v>
                </c:pt>
                <c:pt idx="4518">
                  <c:v>1.4244000335516106E-2</c:v>
                </c:pt>
                <c:pt idx="4519">
                  <c:v>1.5334777520948459E-2</c:v>
                </c:pt>
                <c:pt idx="4520">
                  <c:v>1.2220605861326714E-2</c:v>
                </c:pt>
                <c:pt idx="4521">
                  <c:v>1.1484025901896058E-2</c:v>
                </c:pt>
                <c:pt idx="4522">
                  <c:v>1.1170957929046488E-2</c:v>
                </c:pt>
                <c:pt idx="4523">
                  <c:v>1.1103742306070523E-2</c:v>
                </c:pt>
                <c:pt idx="4524">
                  <c:v>1.2890514367866566E-2</c:v>
                </c:pt>
                <c:pt idx="4525">
                  <c:v>1.2186301579098497E-2</c:v>
                </c:pt>
                <c:pt idx="4526">
                  <c:v>1.049835125197526E-2</c:v>
                </c:pt>
                <c:pt idx="4527">
                  <c:v>1.5269305110121279E-2</c:v>
                </c:pt>
                <c:pt idx="4528">
                  <c:v>1.2972249134427266E-2</c:v>
                </c:pt>
                <c:pt idx="4529">
                  <c:v>1.2964927636934487E-2</c:v>
                </c:pt>
                <c:pt idx="4530">
                  <c:v>1.3849894403893379E-2</c:v>
                </c:pt>
                <c:pt idx="4531">
                  <c:v>1.2765275876281712E-2</c:v>
                </c:pt>
                <c:pt idx="4532">
                  <c:v>1.0187204148936787E-2</c:v>
                </c:pt>
                <c:pt idx="4533">
                  <c:v>1.1860533476006531E-2</c:v>
                </c:pt>
                <c:pt idx="4534">
                  <c:v>1.0258850148799395E-2</c:v>
                </c:pt>
                <c:pt idx="4535">
                  <c:v>1.4161652659714672E-2</c:v>
                </c:pt>
                <c:pt idx="4536">
                  <c:v>1.3404443770521725E-2</c:v>
                </c:pt>
                <c:pt idx="4537">
                  <c:v>1.3644159474946559E-2</c:v>
                </c:pt>
                <c:pt idx="4538">
                  <c:v>1.3461833015792735E-2</c:v>
                </c:pt>
                <c:pt idx="4539">
                  <c:v>1.355564515662541E-2</c:v>
                </c:pt>
                <c:pt idx="4540">
                  <c:v>9.9533208727755271E-3</c:v>
                </c:pt>
                <c:pt idx="4541">
                  <c:v>1.0240941083441087E-2</c:v>
                </c:pt>
                <c:pt idx="4542">
                  <c:v>1.1523368940796714E-2</c:v>
                </c:pt>
                <c:pt idx="4543">
                  <c:v>1.73570973225694E-2</c:v>
                </c:pt>
                <c:pt idx="4544">
                  <c:v>1.1545579285161931E-2</c:v>
                </c:pt>
                <c:pt idx="4545">
                  <c:v>1.8528130402520309E-2</c:v>
                </c:pt>
                <c:pt idx="4546">
                  <c:v>1.3521701753187084E-2</c:v>
                </c:pt>
                <c:pt idx="4547">
                  <c:v>1.0201929652973661E-2</c:v>
                </c:pt>
                <c:pt idx="4548">
                  <c:v>1.1476432674520195E-2</c:v>
                </c:pt>
                <c:pt idx="4549">
                  <c:v>1.1098525930097839E-2</c:v>
                </c:pt>
                <c:pt idx="4550">
                  <c:v>1.4830630810695749E-2</c:v>
                </c:pt>
                <c:pt idx="4551">
                  <c:v>1.5081169588307179E-2</c:v>
                </c:pt>
                <c:pt idx="4552">
                  <c:v>1.1706238115787464E-2</c:v>
                </c:pt>
                <c:pt idx="4553">
                  <c:v>1.0164661231496943E-2</c:v>
                </c:pt>
                <c:pt idx="4554">
                  <c:v>1.2675983482620766E-2</c:v>
                </c:pt>
                <c:pt idx="4555">
                  <c:v>1.1427197176769118E-2</c:v>
                </c:pt>
                <c:pt idx="4556">
                  <c:v>1.2961478007528808E-2</c:v>
                </c:pt>
                <c:pt idx="4557">
                  <c:v>1.0396034154872173E-2</c:v>
                </c:pt>
                <c:pt idx="4558">
                  <c:v>1.0285885267414079E-2</c:v>
                </c:pt>
                <c:pt idx="4559">
                  <c:v>1.1242888918919244E-2</c:v>
                </c:pt>
                <c:pt idx="4560">
                  <c:v>1.364869326837167E-2</c:v>
                </c:pt>
                <c:pt idx="4561">
                  <c:v>1.1401739475669198E-2</c:v>
                </c:pt>
                <c:pt idx="4562">
                  <c:v>1.1886501898264552E-2</c:v>
                </c:pt>
                <c:pt idx="4563">
                  <c:v>1.0199118291272596E-2</c:v>
                </c:pt>
                <c:pt idx="4564">
                  <c:v>1.8661079521685268E-2</c:v>
                </c:pt>
                <c:pt idx="4565">
                  <c:v>1.0322470639899549E-2</c:v>
                </c:pt>
                <c:pt idx="4566">
                  <c:v>1.6728668547775244E-2</c:v>
                </c:pt>
                <c:pt idx="4567">
                  <c:v>1.3226751981993291E-2</c:v>
                </c:pt>
                <c:pt idx="4568">
                  <c:v>1.0267488646913093E-2</c:v>
                </c:pt>
                <c:pt idx="4569">
                  <c:v>1.3842888435093081E-2</c:v>
                </c:pt>
                <c:pt idx="4570">
                  <c:v>1.5546131243015434E-2</c:v>
                </c:pt>
                <c:pt idx="4571">
                  <c:v>1.3735477438161735E-2</c:v>
                </c:pt>
                <c:pt idx="4572">
                  <c:v>1.3323680807700692E-2</c:v>
                </c:pt>
                <c:pt idx="4573">
                  <c:v>1.4367156485985241E-2</c:v>
                </c:pt>
                <c:pt idx="4574">
                  <c:v>1.774207684011481E-2</c:v>
                </c:pt>
                <c:pt idx="4575">
                  <c:v>1.0787508195407211E-2</c:v>
                </c:pt>
                <c:pt idx="4576">
                  <c:v>1.1155032780301371E-2</c:v>
                </c:pt>
                <c:pt idx="4577">
                  <c:v>1.6728668547775244E-2</c:v>
                </c:pt>
                <c:pt idx="4578">
                  <c:v>1.0775553261082978E-2</c:v>
                </c:pt>
                <c:pt idx="4579">
                  <c:v>9.7806068461881151E-3</c:v>
                </c:pt>
                <c:pt idx="4580">
                  <c:v>1.6360203031018029E-2</c:v>
                </c:pt>
                <c:pt idx="4581">
                  <c:v>1.3299665165112334E-2</c:v>
                </c:pt>
                <c:pt idx="4582">
                  <c:v>9.3931921459049338E-3</c:v>
                </c:pt>
                <c:pt idx="4583">
                  <c:v>1.4739662175072128E-2</c:v>
                </c:pt>
                <c:pt idx="4584">
                  <c:v>1.5712515718385011E-2</c:v>
                </c:pt>
                <c:pt idx="4585">
                  <c:v>1.8162832231029692E-2</c:v>
                </c:pt>
                <c:pt idx="4586">
                  <c:v>1.2357430750214492E-2</c:v>
                </c:pt>
                <c:pt idx="4587">
                  <c:v>1.1512513353023538E-2</c:v>
                </c:pt>
                <c:pt idx="4588">
                  <c:v>1.7106126896024754E-2</c:v>
                </c:pt>
                <c:pt idx="4589">
                  <c:v>1.0725350755565655E-2</c:v>
                </c:pt>
                <c:pt idx="4590">
                  <c:v>1.0725350755565655E-2</c:v>
                </c:pt>
                <c:pt idx="4591">
                  <c:v>1.3016354954297676E-2</c:v>
                </c:pt>
                <c:pt idx="4592">
                  <c:v>1.1288317773245004E-2</c:v>
                </c:pt>
                <c:pt idx="4593">
                  <c:v>1.0154326017134094E-2</c:v>
                </c:pt>
                <c:pt idx="4594">
                  <c:v>1.0678381654700331E-2</c:v>
                </c:pt>
                <c:pt idx="4595">
                  <c:v>1.2137228702577031E-2</c:v>
                </c:pt>
                <c:pt idx="4596">
                  <c:v>1.3934878700601628E-2</c:v>
                </c:pt>
                <c:pt idx="4597">
                  <c:v>1.4991675924920072E-2</c:v>
                </c:pt>
                <c:pt idx="4598">
                  <c:v>1.0082673107123581E-2</c:v>
                </c:pt>
                <c:pt idx="4599">
                  <c:v>9.5663214340211741E-3</c:v>
                </c:pt>
                <c:pt idx="4600">
                  <c:v>1.5241798667462335E-2</c:v>
                </c:pt>
                <c:pt idx="4601">
                  <c:v>1.1103742306070523E-2</c:v>
                </c:pt>
                <c:pt idx="4602">
                  <c:v>1.0502583005742475E-2</c:v>
                </c:pt>
                <c:pt idx="4603">
                  <c:v>1.3025664141353185E-2</c:v>
                </c:pt>
                <c:pt idx="4604">
                  <c:v>1.3401185870619408E-2</c:v>
                </c:pt>
                <c:pt idx="4605">
                  <c:v>1.1863708145930605E-2</c:v>
                </c:pt>
                <c:pt idx="4606">
                  <c:v>1.4076638263943288E-2</c:v>
                </c:pt>
                <c:pt idx="4607">
                  <c:v>9.834664969892876E-3</c:v>
                </c:pt>
                <c:pt idx="4608">
                  <c:v>9.9261004395188607E-3</c:v>
                </c:pt>
                <c:pt idx="4609">
                  <c:v>9.8517444126806422E-3</c:v>
                </c:pt>
                <c:pt idx="4610">
                  <c:v>1.3627615734674556E-2</c:v>
                </c:pt>
                <c:pt idx="4611">
                  <c:v>1.5194608787896911E-2</c:v>
                </c:pt>
                <c:pt idx="4612">
                  <c:v>1.151055011055027E-2</c:v>
                </c:pt>
                <c:pt idx="4613">
                  <c:v>1.3213046716334708E-2</c:v>
                </c:pt>
                <c:pt idx="4614">
                  <c:v>1.0342667118598622E-2</c:v>
                </c:pt>
                <c:pt idx="4615">
                  <c:v>1.0556532643402264E-2</c:v>
                </c:pt>
                <c:pt idx="4616">
                  <c:v>1.1351167148178644E-2</c:v>
                </c:pt>
                <c:pt idx="4617">
                  <c:v>1.4367156485985241E-2</c:v>
                </c:pt>
                <c:pt idx="4618">
                  <c:v>1.1203108781188782E-2</c:v>
                </c:pt>
                <c:pt idx="4619">
                  <c:v>1.4749960029107697E-2</c:v>
                </c:pt>
                <c:pt idx="4620">
                  <c:v>1.0656135167696059E-2</c:v>
                </c:pt>
                <c:pt idx="4621">
                  <c:v>1.3683470601174546E-2</c:v>
                </c:pt>
                <c:pt idx="4622">
                  <c:v>1.5383173610200159E-2</c:v>
                </c:pt>
                <c:pt idx="4623">
                  <c:v>1.2595367603558399E-2</c:v>
                </c:pt>
                <c:pt idx="4624">
                  <c:v>1.0832805402431004E-2</c:v>
                </c:pt>
                <c:pt idx="4625">
                  <c:v>1.0322470639899549E-2</c:v>
                </c:pt>
                <c:pt idx="4626">
                  <c:v>1.7871638832514841E-2</c:v>
                </c:pt>
                <c:pt idx="4627">
                  <c:v>1.2067434478968134E-2</c:v>
                </c:pt>
                <c:pt idx="4628">
                  <c:v>1.2859167661068191E-2</c:v>
                </c:pt>
                <c:pt idx="4629">
                  <c:v>1.0200049368475052E-2</c:v>
                </c:pt>
                <c:pt idx="4630">
                  <c:v>1.0912978398749273E-2</c:v>
                </c:pt>
                <c:pt idx="4631">
                  <c:v>1.3389202405394427E-2</c:v>
                </c:pt>
                <c:pt idx="4632">
                  <c:v>1.4442119867290834E-2</c:v>
                </c:pt>
                <c:pt idx="4633">
                  <c:v>1.4818894355887473E-2</c:v>
                </c:pt>
                <c:pt idx="4634">
                  <c:v>1.0602495561197555E-2</c:v>
                </c:pt>
                <c:pt idx="4635">
                  <c:v>1.0031203482956627E-2</c:v>
                </c:pt>
                <c:pt idx="4636">
                  <c:v>1.3127394136794177E-2</c:v>
                </c:pt>
                <c:pt idx="4637">
                  <c:v>1.0187204148936787E-2</c:v>
                </c:pt>
                <c:pt idx="4638">
                  <c:v>1.3967112561819482E-2</c:v>
                </c:pt>
                <c:pt idx="4639">
                  <c:v>1.275392637728834E-2</c:v>
                </c:pt>
                <c:pt idx="4640">
                  <c:v>1.0046892325851551E-2</c:v>
                </c:pt>
                <c:pt idx="4641">
                  <c:v>1.148920964723065E-2</c:v>
                </c:pt>
                <c:pt idx="4642">
                  <c:v>1.2071617542513475E-2</c:v>
                </c:pt>
                <c:pt idx="4643">
                  <c:v>1.0408189214601274E-2</c:v>
                </c:pt>
                <c:pt idx="4644">
                  <c:v>1.660509863071687E-2</c:v>
                </c:pt>
                <c:pt idx="4645">
                  <c:v>1.4242746835475655E-2</c:v>
                </c:pt>
                <c:pt idx="4646">
                  <c:v>1.4922098813626461E-2</c:v>
                </c:pt>
                <c:pt idx="4647">
                  <c:v>1.0304820225874024E-2</c:v>
                </c:pt>
                <c:pt idx="4648">
                  <c:v>1.0731349005205417E-2</c:v>
                </c:pt>
                <c:pt idx="4649">
                  <c:v>1.5644725188612919E-2</c:v>
                </c:pt>
                <c:pt idx="4650">
                  <c:v>1.331492732469809E-2</c:v>
                </c:pt>
                <c:pt idx="4651">
                  <c:v>1.4656858912891799E-2</c:v>
                </c:pt>
                <c:pt idx="4652">
                  <c:v>1.6200182288353199E-2</c:v>
                </c:pt>
                <c:pt idx="4653">
                  <c:v>1.4484811124009152E-2</c:v>
                </c:pt>
                <c:pt idx="4654">
                  <c:v>1.5081169588307179E-2</c:v>
                </c:pt>
                <c:pt idx="4655">
                  <c:v>1.8162832231029692E-2</c:v>
                </c:pt>
                <c:pt idx="4656">
                  <c:v>1.0972784808687778E-2</c:v>
                </c:pt>
                <c:pt idx="4657">
                  <c:v>1.0799797679566986E-2</c:v>
                </c:pt>
                <c:pt idx="4658">
                  <c:v>1.0760490141003149E-2</c:v>
                </c:pt>
                <c:pt idx="4659">
                  <c:v>1.0725350755565655E-2</c:v>
                </c:pt>
                <c:pt idx="4660">
                  <c:v>1.7230052311804852E-2</c:v>
                </c:pt>
                <c:pt idx="4661">
                  <c:v>1.3202565157529446E-2</c:v>
                </c:pt>
                <c:pt idx="4662">
                  <c:v>1.1952485275193983E-2</c:v>
                </c:pt>
                <c:pt idx="4663">
                  <c:v>1.0657284975144706E-2</c:v>
                </c:pt>
                <c:pt idx="4664">
                  <c:v>1.4159173434704696E-2</c:v>
                </c:pt>
                <c:pt idx="4665">
                  <c:v>1.2130087016171161E-2</c:v>
                </c:pt>
                <c:pt idx="4666">
                  <c:v>1.8369661035481624E-2</c:v>
                </c:pt>
                <c:pt idx="4667">
                  <c:v>1.05531112465891E-2</c:v>
                </c:pt>
                <c:pt idx="4668">
                  <c:v>1.0399872814492022E-2</c:v>
                </c:pt>
                <c:pt idx="4669">
                  <c:v>9.5653657619813506E-3</c:v>
                </c:pt>
                <c:pt idx="4670">
                  <c:v>1.197152171771039E-2</c:v>
                </c:pt>
                <c:pt idx="4671">
                  <c:v>1.3745806503885767E-2</c:v>
                </c:pt>
                <c:pt idx="4672">
                  <c:v>9.5732977198468207E-3</c:v>
                </c:pt>
                <c:pt idx="4673">
                  <c:v>1.4288376155840431E-2</c:v>
                </c:pt>
                <c:pt idx="4674">
                  <c:v>9.851744412680644E-3</c:v>
                </c:pt>
                <c:pt idx="4675">
                  <c:v>9.8211596976906772E-3</c:v>
                </c:pt>
                <c:pt idx="4676">
                  <c:v>1.365415897220758E-2</c:v>
                </c:pt>
                <c:pt idx="4677">
                  <c:v>1.2401283054205866E-2</c:v>
                </c:pt>
                <c:pt idx="4678">
                  <c:v>1.0543102252007813E-2</c:v>
                </c:pt>
                <c:pt idx="4679">
                  <c:v>1.1963198236748265E-2</c:v>
                </c:pt>
                <c:pt idx="4680">
                  <c:v>1.3306023585005959E-2</c:v>
                </c:pt>
                <c:pt idx="4681">
                  <c:v>1.092645394020407E-2</c:v>
                </c:pt>
                <c:pt idx="4682">
                  <c:v>9.5690768826218516E-3</c:v>
                </c:pt>
                <c:pt idx="4683">
                  <c:v>1.1351114744160251E-2</c:v>
                </c:pt>
                <c:pt idx="4684">
                  <c:v>1.4023079188701031E-2</c:v>
                </c:pt>
                <c:pt idx="4685">
                  <c:v>1.6852964635850839E-2</c:v>
                </c:pt>
                <c:pt idx="4686">
                  <c:v>1.2977494831131904E-2</c:v>
                </c:pt>
                <c:pt idx="4687">
                  <c:v>1.0515441147225977E-2</c:v>
                </c:pt>
                <c:pt idx="4688">
                  <c:v>1.4297439516260625E-2</c:v>
                </c:pt>
                <c:pt idx="4689">
                  <c:v>1.1551482612409856E-2</c:v>
                </c:pt>
                <c:pt idx="4690">
                  <c:v>1.1170957929046488E-2</c:v>
                </c:pt>
                <c:pt idx="4691">
                  <c:v>1.5384459777862482E-2</c:v>
                </c:pt>
                <c:pt idx="4692">
                  <c:v>1.2180918971242221E-2</c:v>
                </c:pt>
                <c:pt idx="4693">
                  <c:v>1.3115856453671925E-2</c:v>
                </c:pt>
                <c:pt idx="4694">
                  <c:v>1.0098854751095369E-2</c:v>
                </c:pt>
                <c:pt idx="4695">
                  <c:v>1.3902980606056711E-2</c:v>
                </c:pt>
                <c:pt idx="4696">
                  <c:v>9.9238433342404495E-3</c:v>
                </c:pt>
                <c:pt idx="4697">
                  <c:v>1.1794822385215391E-2</c:v>
                </c:pt>
                <c:pt idx="4698">
                  <c:v>1.384989440389338E-2</c:v>
                </c:pt>
                <c:pt idx="4699">
                  <c:v>1.0069275629952633E-2</c:v>
                </c:pt>
                <c:pt idx="4700">
                  <c:v>1.6078681950175446E-2</c:v>
                </c:pt>
                <c:pt idx="4701">
                  <c:v>1.1456515705688709E-2</c:v>
                </c:pt>
                <c:pt idx="4702">
                  <c:v>1.4467807282463925E-2</c:v>
                </c:pt>
                <c:pt idx="4703">
                  <c:v>9.6089874853925138E-3</c:v>
                </c:pt>
                <c:pt idx="4704">
                  <c:v>1.0661618734203314E-2</c:v>
                </c:pt>
                <c:pt idx="4705">
                  <c:v>1.0258850148799395E-2</c:v>
                </c:pt>
                <c:pt idx="4706">
                  <c:v>1.3035779086216569E-2</c:v>
                </c:pt>
                <c:pt idx="4707">
                  <c:v>1.049835125197526E-2</c:v>
                </c:pt>
                <c:pt idx="4708">
                  <c:v>1.1037677669451181E-2</c:v>
                </c:pt>
                <c:pt idx="4709">
                  <c:v>1.5807718646568842E-2</c:v>
                </c:pt>
                <c:pt idx="4710">
                  <c:v>1.6482271217304091E-2</c:v>
                </c:pt>
                <c:pt idx="4711">
                  <c:v>1.4670749734442233E-2</c:v>
                </c:pt>
                <c:pt idx="4712">
                  <c:v>1.383981491350712E-2</c:v>
                </c:pt>
                <c:pt idx="4713">
                  <c:v>1.1941092954631667E-2</c:v>
                </c:pt>
                <c:pt idx="4714">
                  <c:v>1.3824281704775374E-2</c:v>
                </c:pt>
                <c:pt idx="4715">
                  <c:v>9.5973342412913887E-3</c:v>
                </c:pt>
                <c:pt idx="4716">
                  <c:v>1.3266591152681396E-2</c:v>
                </c:pt>
                <c:pt idx="4717">
                  <c:v>1.0340435881771927E-2</c:v>
                </c:pt>
                <c:pt idx="4718">
                  <c:v>1.441711545283081E-2</c:v>
                </c:pt>
                <c:pt idx="4719">
                  <c:v>1.5184363566364186E-2</c:v>
                </c:pt>
                <c:pt idx="4720">
                  <c:v>1.5618520989042381E-2</c:v>
                </c:pt>
                <c:pt idx="4721">
                  <c:v>1.3842810103737418E-2</c:v>
                </c:pt>
                <c:pt idx="4722">
                  <c:v>1.3102028074088135E-2</c:v>
                </c:pt>
                <c:pt idx="4723">
                  <c:v>1.6930985901629614E-2</c:v>
                </c:pt>
                <c:pt idx="4724">
                  <c:v>1.2615922576644388E-2</c:v>
                </c:pt>
                <c:pt idx="4725">
                  <c:v>1.0242284846599968E-2</c:v>
                </c:pt>
                <c:pt idx="4726">
                  <c:v>1.0839842417194918E-2</c:v>
                </c:pt>
                <c:pt idx="4727">
                  <c:v>1.7230052311804852E-2</c:v>
                </c:pt>
                <c:pt idx="4728">
                  <c:v>1.6360203031018032E-2</c:v>
                </c:pt>
                <c:pt idx="4729">
                  <c:v>1.0225253914721061E-2</c:v>
                </c:pt>
                <c:pt idx="4730">
                  <c:v>1.8528130402520309E-2</c:v>
                </c:pt>
                <c:pt idx="4731">
                  <c:v>9.8839769893505937E-3</c:v>
                </c:pt>
                <c:pt idx="4732">
                  <c:v>1.0355187992500054E-2</c:v>
                </c:pt>
                <c:pt idx="4733">
                  <c:v>1.1085065477628289E-2</c:v>
                </c:pt>
                <c:pt idx="4734">
                  <c:v>1.7484792450961066E-2</c:v>
                </c:pt>
                <c:pt idx="4735">
                  <c:v>1.3057068960728063E-2</c:v>
                </c:pt>
                <c:pt idx="4736">
                  <c:v>1.8671632070631446E-2</c:v>
                </c:pt>
                <c:pt idx="4737">
                  <c:v>9.3720980769758776E-3</c:v>
                </c:pt>
                <c:pt idx="4738">
                  <c:v>1.1272366575596644E-2</c:v>
                </c:pt>
                <c:pt idx="4739">
                  <c:v>1.2678233104272041E-2</c:v>
                </c:pt>
                <c:pt idx="4740">
                  <c:v>9.5732977198468207E-3</c:v>
                </c:pt>
                <c:pt idx="4741">
                  <c:v>1.4598173478091839E-2</c:v>
                </c:pt>
                <c:pt idx="4742">
                  <c:v>9.6730729121530835E-3</c:v>
                </c:pt>
                <c:pt idx="4743">
                  <c:v>9.6544161042757554E-3</c:v>
                </c:pt>
                <c:pt idx="4744">
                  <c:v>1.1579199744869626E-2</c:v>
                </c:pt>
                <c:pt idx="4745">
                  <c:v>1.4910893426652935E-2</c:v>
                </c:pt>
                <c:pt idx="4746">
                  <c:v>1.0184335578524524E-2</c:v>
                </c:pt>
                <c:pt idx="4747">
                  <c:v>1.4314377025050456E-2</c:v>
                </c:pt>
                <c:pt idx="4748">
                  <c:v>1.1316847661369096E-2</c:v>
                </c:pt>
                <c:pt idx="4749">
                  <c:v>1.3088010981072576E-2</c:v>
                </c:pt>
                <c:pt idx="4750">
                  <c:v>1.0994454816060078E-2</c:v>
                </c:pt>
                <c:pt idx="4751">
                  <c:v>9.6385020773340543E-3</c:v>
                </c:pt>
                <c:pt idx="4752">
                  <c:v>1.0919227021181211E-2</c:v>
                </c:pt>
                <c:pt idx="4753">
                  <c:v>1.3532646830793636E-2</c:v>
                </c:pt>
                <c:pt idx="4754">
                  <c:v>9.4676317617837045E-3</c:v>
                </c:pt>
                <c:pt idx="4755">
                  <c:v>1.096427331776919E-2</c:v>
                </c:pt>
                <c:pt idx="4756">
                  <c:v>1.3842810103737418E-2</c:v>
                </c:pt>
                <c:pt idx="4757">
                  <c:v>1.0187873581924065E-2</c:v>
                </c:pt>
                <c:pt idx="4758">
                  <c:v>1.8162832231029692E-2</c:v>
                </c:pt>
                <c:pt idx="4759">
                  <c:v>1.039134687011423E-2</c:v>
                </c:pt>
                <c:pt idx="4760">
                  <c:v>1.446912698500487E-2</c:v>
                </c:pt>
                <c:pt idx="4761">
                  <c:v>1.441711545283081E-2</c:v>
                </c:pt>
                <c:pt idx="4762">
                  <c:v>1.3306490360399657E-2</c:v>
                </c:pt>
                <c:pt idx="4763">
                  <c:v>1.3866891629986427E-2</c:v>
                </c:pt>
                <c:pt idx="4764">
                  <c:v>1.3882356534975661E-2</c:v>
                </c:pt>
                <c:pt idx="4765">
                  <c:v>1.3549413122192863E-2</c:v>
                </c:pt>
                <c:pt idx="4766">
                  <c:v>1.1732397192662145E-2</c:v>
                </c:pt>
                <c:pt idx="4767">
                  <c:v>1.3199039228649449E-2</c:v>
                </c:pt>
                <c:pt idx="4768">
                  <c:v>9.5973862690342839E-3</c:v>
                </c:pt>
                <c:pt idx="4769">
                  <c:v>1.0632078915043908E-2</c:v>
                </c:pt>
                <c:pt idx="4770">
                  <c:v>1.2560921745630702E-2</c:v>
                </c:pt>
                <c:pt idx="4771">
                  <c:v>1.5298716201155594E-2</c:v>
                </c:pt>
                <c:pt idx="4772">
                  <c:v>1.4670749734442235E-2</c:v>
                </c:pt>
                <c:pt idx="4773">
                  <c:v>1.0907497346881831E-2</c:v>
                </c:pt>
                <c:pt idx="4774">
                  <c:v>1.0060746969388152E-2</c:v>
                </c:pt>
                <c:pt idx="4775">
                  <c:v>1.1543082951208993E-2</c:v>
                </c:pt>
                <c:pt idx="4776">
                  <c:v>1.0220621362782867E-2</c:v>
                </c:pt>
                <c:pt idx="4777">
                  <c:v>1.906302168500059E-2</c:v>
                </c:pt>
                <c:pt idx="4778">
                  <c:v>1.0609211937929571E-2</c:v>
                </c:pt>
                <c:pt idx="4779">
                  <c:v>1.1170957929046488E-2</c:v>
                </c:pt>
                <c:pt idx="4780">
                  <c:v>1.5344006605141125E-2</c:v>
                </c:pt>
                <c:pt idx="4781">
                  <c:v>1.5998727079513643E-2</c:v>
                </c:pt>
                <c:pt idx="4782">
                  <c:v>1.4337240002852822E-2</c:v>
                </c:pt>
                <c:pt idx="4783">
                  <c:v>1.1696413394844153E-2</c:v>
                </c:pt>
                <c:pt idx="4784">
                  <c:v>1.0342667118598622E-2</c:v>
                </c:pt>
                <c:pt idx="4785">
                  <c:v>1.3446133862995747E-2</c:v>
                </c:pt>
                <c:pt idx="4786">
                  <c:v>1.1382024848836261E-2</c:v>
                </c:pt>
                <c:pt idx="4787">
                  <c:v>1.4469126985004872E-2</c:v>
                </c:pt>
                <c:pt idx="4788">
                  <c:v>1.2026988114449001E-2</c:v>
                </c:pt>
                <c:pt idx="4789">
                  <c:v>1.1526754040348287E-2</c:v>
                </c:pt>
                <c:pt idx="4790">
                  <c:v>9.961751536154485E-3</c:v>
                </c:pt>
                <c:pt idx="4791">
                  <c:v>1.5167446413524818E-2</c:v>
                </c:pt>
                <c:pt idx="4792">
                  <c:v>1.4912738377618209E-2</c:v>
                </c:pt>
                <c:pt idx="4793">
                  <c:v>1.3055957454077739E-2</c:v>
                </c:pt>
                <c:pt idx="4794">
                  <c:v>1.3876782910384536E-2</c:v>
                </c:pt>
                <c:pt idx="4795">
                  <c:v>1.6728668547775244E-2</c:v>
                </c:pt>
                <c:pt idx="4796">
                  <c:v>1.141387838140962E-2</c:v>
                </c:pt>
                <c:pt idx="4797">
                  <c:v>1.5933010011191028E-2</c:v>
                </c:pt>
                <c:pt idx="4798">
                  <c:v>1.3449908905687114E-2</c:v>
                </c:pt>
                <c:pt idx="4799">
                  <c:v>1.6728668547775244E-2</c:v>
                </c:pt>
                <c:pt idx="4800">
                  <c:v>1.5879871097141299E-2</c:v>
                </c:pt>
                <c:pt idx="4801">
                  <c:v>1.088145271491703E-2</c:v>
                </c:pt>
                <c:pt idx="4802">
                  <c:v>1.8794551774568874E-2</c:v>
                </c:pt>
                <c:pt idx="4803">
                  <c:v>1.5413130945862857E-2</c:v>
                </c:pt>
                <c:pt idx="4804">
                  <c:v>1.022662499477398E-2</c:v>
                </c:pt>
                <c:pt idx="4805">
                  <c:v>1.0700842383847118E-2</c:v>
                </c:pt>
                <c:pt idx="4806">
                  <c:v>1.774207684011481E-2</c:v>
                </c:pt>
                <c:pt idx="4807">
                  <c:v>1.3169166002341536E-2</c:v>
                </c:pt>
                <c:pt idx="4808">
                  <c:v>1.3582694831933981E-2</c:v>
                </c:pt>
                <c:pt idx="4809">
                  <c:v>9.4907725154830362E-3</c:v>
                </c:pt>
                <c:pt idx="4810">
                  <c:v>1.3598641621461611E-2</c:v>
                </c:pt>
                <c:pt idx="4811">
                  <c:v>1.2965631113948009E-2</c:v>
                </c:pt>
                <c:pt idx="4812">
                  <c:v>1.3709273138729028E-2</c:v>
                </c:pt>
                <c:pt idx="4813">
                  <c:v>1.4910893426652935E-2</c:v>
                </c:pt>
                <c:pt idx="4814">
                  <c:v>9.608987485392512E-3</c:v>
                </c:pt>
                <c:pt idx="4815">
                  <c:v>9.6934705756580048E-3</c:v>
                </c:pt>
                <c:pt idx="4816">
                  <c:v>1.1766506833316757E-2</c:v>
                </c:pt>
                <c:pt idx="4817">
                  <c:v>1.5194608787896909E-2</c:v>
                </c:pt>
                <c:pt idx="4818">
                  <c:v>9.8037998926552797E-3</c:v>
                </c:pt>
                <c:pt idx="4819">
                  <c:v>1.1773160982480031E-2</c:v>
                </c:pt>
                <c:pt idx="4820">
                  <c:v>1.0226624994773982E-2</c:v>
                </c:pt>
                <c:pt idx="4821">
                  <c:v>1.5344006605141125E-2</c:v>
                </c:pt>
                <c:pt idx="4822">
                  <c:v>1.3651090665102414E-2</c:v>
                </c:pt>
                <c:pt idx="4823">
                  <c:v>9.717019206749786E-3</c:v>
                </c:pt>
                <c:pt idx="4824">
                  <c:v>1.0707956600985225E-2</c:v>
                </c:pt>
                <c:pt idx="4825">
                  <c:v>1.3876909228259618E-2</c:v>
                </c:pt>
                <c:pt idx="4826">
                  <c:v>9.4061268168608662E-3</c:v>
                </c:pt>
                <c:pt idx="4827">
                  <c:v>1.8928536094734424E-2</c:v>
                </c:pt>
                <c:pt idx="4828">
                  <c:v>1.0520100903489369E-2</c:v>
                </c:pt>
                <c:pt idx="4829">
                  <c:v>1.1050488904892273E-2</c:v>
                </c:pt>
                <c:pt idx="4830">
                  <c:v>1.457921900807845E-2</c:v>
                </c:pt>
                <c:pt idx="4831">
                  <c:v>1.0909084634781437E-2</c:v>
                </c:pt>
                <c:pt idx="4832">
                  <c:v>1.4006256218093129E-2</c:v>
                </c:pt>
                <c:pt idx="4833">
                  <c:v>1.8794551774568877E-2</c:v>
                </c:pt>
                <c:pt idx="4834">
                  <c:v>9.5736305537674742E-3</c:v>
                </c:pt>
                <c:pt idx="4835">
                  <c:v>1.2998122405389707E-2</c:v>
                </c:pt>
                <c:pt idx="4836">
                  <c:v>1.0081415372885393E-2</c:v>
                </c:pt>
                <c:pt idx="4837">
                  <c:v>1.3760407071507566E-2</c:v>
                </c:pt>
                <c:pt idx="4838">
                  <c:v>1.1265890807758274E-2</c:v>
                </c:pt>
                <c:pt idx="4839">
                  <c:v>1.3045232510250847E-2</c:v>
                </c:pt>
                <c:pt idx="4840">
                  <c:v>9.5688548890340459E-3</c:v>
                </c:pt>
                <c:pt idx="4841">
                  <c:v>1.0175353975714294E-2</c:v>
                </c:pt>
                <c:pt idx="4842">
                  <c:v>1.2009999053947099E-2</c:v>
                </c:pt>
                <c:pt idx="4843">
                  <c:v>1.5528474120001454E-2</c:v>
                </c:pt>
                <c:pt idx="4844">
                  <c:v>1.4830630810695749E-2</c:v>
                </c:pt>
                <c:pt idx="4845">
                  <c:v>9.6720610726149132E-3</c:v>
                </c:pt>
                <c:pt idx="4846">
                  <c:v>1.2728879670685539E-2</c:v>
                </c:pt>
                <c:pt idx="4847">
                  <c:v>1.4367156485985239E-2</c:v>
                </c:pt>
                <c:pt idx="4848">
                  <c:v>1.0415862908379366E-2</c:v>
                </c:pt>
                <c:pt idx="4849">
                  <c:v>1.2514587919144535E-2</c:v>
                </c:pt>
                <c:pt idx="4850">
                  <c:v>9.6097611956754737E-3</c:v>
                </c:pt>
                <c:pt idx="4851">
                  <c:v>9.6232476208579377E-3</c:v>
                </c:pt>
                <c:pt idx="4852">
                  <c:v>9.9533208727755271E-3</c:v>
                </c:pt>
                <c:pt idx="4853">
                  <c:v>1.1484025901896058E-2</c:v>
                </c:pt>
                <c:pt idx="4854">
                  <c:v>1.4319271568267724E-2</c:v>
                </c:pt>
                <c:pt idx="4855">
                  <c:v>1.0647053421891031E-2</c:v>
                </c:pt>
                <c:pt idx="4856">
                  <c:v>1.0267488646913093E-2</c:v>
                </c:pt>
                <c:pt idx="4857">
                  <c:v>1.3920174483762864E-2</c:v>
                </c:pt>
                <c:pt idx="4858">
                  <c:v>1.0236602764243317E-2</c:v>
                </c:pt>
                <c:pt idx="4859">
                  <c:v>1.1393171504955469E-2</c:v>
                </c:pt>
                <c:pt idx="4860">
                  <c:v>1.2500262736278502E-2</c:v>
                </c:pt>
                <c:pt idx="4861">
                  <c:v>1.8661079521685268E-2</c:v>
                </c:pt>
                <c:pt idx="4862">
                  <c:v>1.2989156683119321E-2</c:v>
                </c:pt>
                <c:pt idx="4863">
                  <c:v>1.5167446413524818E-2</c:v>
                </c:pt>
                <c:pt idx="4864">
                  <c:v>1.0187204148936788E-2</c:v>
                </c:pt>
                <c:pt idx="4865">
                  <c:v>1.2938845706495103E-2</c:v>
                </c:pt>
                <c:pt idx="4866">
                  <c:v>1.499625912981839E-2</c:v>
                </c:pt>
                <c:pt idx="4867">
                  <c:v>1.2737583146090536E-2</c:v>
                </c:pt>
                <c:pt idx="4868">
                  <c:v>1.0166014611662727E-2</c:v>
                </c:pt>
                <c:pt idx="4869">
                  <c:v>1.2342821936693608E-2</c:v>
                </c:pt>
                <c:pt idx="4870">
                  <c:v>1.0322470639899549E-2</c:v>
                </c:pt>
                <c:pt idx="4871">
                  <c:v>9.9589988512449636E-3</c:v>
                </c:pt>
                <c:pt idx="4872">
                  <c:v>7.775377123624156E-3</c:v>
                </c:pt>
                <c:pt idx="4873">
                  <c:v>1.7871638832514841E-2</c:v>
                </c:pt>
                <c:pt idx="4874">
                  <c:v>1.4632932006181711E-2</c:v>
                </c:pt>
                <c:pt idx="4875">
                  <c:v>1.0226624994773982E-2</c:v>
                </c:pt>
                <c:pt idx="4876">
                  <c:v>1.0629507518278614E-2</c:v>
                </c:pt>
                <c:pt idx="4877">
                  <c:v>1.6852964635850839E-2</c:v>
                </c:pt>
                <c:pt idx="4878">
                  <c:v>1.0230010689704224E-2</c:v>
                </c:pt>
                <c:pt idx="4879">
                  <c:v>1.4188266558946014E-2</c:v>
                </c:pt>
                <c:pt idx="4880">
                  <c:v>9.4549152915738427E-3</c:v>
                </c:pt>
                <c:pt idx="4881">
                  <c:v>1.349118063436725E-2</c:v>
                </c:pt>
                <c:pt idx="4882">
                  <c:v>1.2030262807684834E-2</c:v>
                </c:pt>
                <c:pt idx="4883">
                  <c:v>1.3063840172900756E-2</c:v>
                </c:pt>
                <c:pt idx="4884">
                  <c:v>1.4910893426652935E-2</c:v>
                </c:pt>
                <c:pt idx="4885">
                  <c:v>9.5973862690342839E-3</c:v>
                </c:pt>
                <c:pt idx="4886">
                  <c:v>9.5875674124176469E-3</c:v>
                </c:pt>
                <c:pt idx="4887">
                  <c:v>1.0609211937929571E-2</c:v>
                </c:pt>
                <c:pt idx="4888">
                  <c:v>1.467724295351251E-2</c:v>
                </c:pt>
                <c:pt idx="4889">
                  <c:v>1.4107761123317455E-2</c:v>
                </c:pt>
                <c:pt idx="4890">
                  <c:v>1.1719600580907156E-2</c:v>
                </c:pt>
                <c:pt idx="4891">
                  <c:v>9.6223646147814996E-3</c:v>
                </c:pt>
                <c:pt idx="4892">
                  <c:v>1.0678381654700331E-2</c:v>
                </c:pt>
                <c:pt idx="4893">
                  <c:v>1.2503283771941239E-2</c:v>
                </c:pt>
                <c:pt idx="4894">
                  <c:v>1.0561549031695776E-2</c:v>
                </c:pt>
                <c:pt idx="4895">
                  <c:v>1.0652727665362276E-2</c:v>
                </c:pt>
                <c:pt idx="4896">
                  <c:v>9.9838121248006454E-3</c:v>
                </c:pt>
                <c:pt idx="4897">
                  <c:v>1.5712515718385011E-2</c:v>
                </c:pt>
                <c:pt idx="4898">
                  <c:v>1.3118446300647669E-2</c:v>
                </c:pt>
                <c:pt idx="4899">
                  <c:v>1.1470398135439664E-2</c:v>
                </c:pt>
                <c:pt idx="4900">
                  <c:v>1.4637253852239254E-2</c:v>
                </c:pt>
                <c:pt idx="4901">
                  <c:v>1.0934468986873586E-2</c:v>
                </c:pt>
                <c:pt idx="4902">
                  <c:v>1.499625912981839E-2</c:v>
                </c:pt>
                <c:pt idx="4903">
                  <c:v>1.422980672648998E-2</c:v>
                </c:pt>
                <c:pt idx="4904">
                  <c:v>1.3575987010238868E-2</c:v>
                </c:pt>
                <c:pt idx="4905">
                  <c:v>1.3967112561819482E-2</c:v>
                </c:pt>
                <c:pt idx="4906">
                  <c:v>1.4201752820903989E-2</c:v>
                </c:pt>
                <c:pt idx="4907">
                  <c:v>1.5419015476876895E-2</c:v>
                </c:pt>
                <c:pt idx="4908">
                  <c:v>1.4310291478180321E-2</c:v>
                </c:pt>
                <c:pt idx="4909">
                  <c:v>1.0659660754928718E-2</c:v>
                </c:pt>
                <c:pt idx="4910">
                  <c:v>9.5799798832001421E-3</c:v>
                </c:pt>
                <c:pt idx="4911">
                  <c:v>1.906302168500059E-2</c:v>
                </c:pt>
                <c:pt idx="4912">
                  <c:v>1.1936268805503848E-2</c:v>
                </c:pt>
                <c:pt idx="4913">
                  <c:v>1.4741319428931792E-2</c:v>
                </c:pt>
                <c:pt idx="4914">
                  <c:v>1.4297439516260625E-2</c:v>
                </c:pt>
                <c:pt idx="4915">
                  <c:v>9.3171229146309254E-3</c:v>
                </c:pt>
                <c:pt idx="4916">
                  <c:v>1.1712001551684418E-2</c:v>
                </c:pt>
                <c:pt idx="4917">
                  <c:v>1.4367156485985241E-2</c:v>
                </c:pt>
                <c:pt idx="4918">
                  <c:v>9.6097611956754703E-3</c:v>
                </c:pt>
                <c:pt idx="4919">
                  <c:v>1.1561905776903322E-2</c:v>
                </c:pt>
                <c:pt idx="4920">
                  <c:v>9.7170192067497843E-3</c:v>
                </c:pt>
                <c:pt idx="4921">
                  <c:v>9.6232476208579342E-3</c:v>
                </c:pt>
                <c:pt idx="4922">
                  <c:v>9.9533208727755271E-3</c:v>
                </c:pt>
                <c:pt idx="4923">
                  <c:v>1.5591951989782103E-2</c:v>
                </c:pt>
                <c:pt idx="4924">
                  <c:v>1.1716409573774044E-2</c:v>
                </c:pt>
                <c:pt idx="4925">
                  <c:v>1.0785346482839398E-2</c:v>
                </c:pt>
                <c:pt idx="4926">
                  <c:v>1.3386453101100431E-2</c:v>
                </c:pt>
                <c:pt idx="4927">
                  <c:v>1.5275486507150462E-2</c:v>
                </c:pt>
                <c:pt idx="4928">
                  <c:v>1.0825737332084057E-2</c:v>
                </c:pt>
                <c:pt idx="4929">
                  <c:v>1.4579219008078452E-2</c:v>
                </c:pt>
                <c:pt idx="4930">
                  <c:v>9.9682891772094051E-3</c:v>
                </c:pt>
                <c:pt idx="4931">
                  <c:v>1.8661079521685268E-2</c:v>
                </c:pt>
                <c:pt idx="4932">
                  <c:v>1.3128194712138252E-2</c:v>
                </c:pt>
                <c:pt idx="4933">
                  <c:v>1.0622417067170098E-2</c:v>
                </c:pt>
                <c:pt idx="4934">
                  <c:v>1.0283284436038655E-2</c:v>
                </c:pt>
                <c:pt idx="4935">
                  <c:v>1.2851780203183156E-2</c:v>
                </c:pt>
                <c:pt idx="4936">
                  <c:v>1.499625912981839E-2</c:v>
                </c:pt>
                <c:pt idx="4937">
                  <c:v>1.1076921176361535E-2</c:v>
                </c:pt>
                <c:pt idx="4938">
                  <c:v>1.383981491350712E-2</c:v>
                </c:pt>
                <c:pt idx="4939">
                  <c:v>1.3876992723142755E-2</c:v>
                </c:pt>
                <c:pt idx="4940">
                  <c:v>1.6301105982438266E-2</c:v>
                </c:pt>
                <c:pt idx="4941">
                  <c:v>1.5879871097141299E-2</c:v>
                </c:pt>
                <c:pt idx="4942">
                  <c:v>1.5072756399316824E-2</c:v>
                </c:pt>
                <c:pt idx="4943">
                  <c:v>9.4363675938818111E-3</c:v>
                </c:pt>
                <c:pt idx="4944">
                  <c:v>1.3984850690816109E-2</c:v>
                </c:pt>
                <c:pt idx="4945">
                  <c:v>1.4632932006181711E-2</c:v>
                </c:pt>
                <c:pt idx="4946">
                  <c:v>9.6375102621556533E-3</c:v>
                </c:pt>
                <c:pt idx="4947">
                  <c:v>1.3654520987914342E-2</c:v>
                </c:pt>
                <c:pt idx="4948">
                  <c:v>1.5998727079513646E-2</c:v>
                </c:pt>
                <c:pt idx="4949">
                  <c:v>1.0320008971376771E-2</c:v>
                </c:pt>
                <c:pt idx="4950">
                  <c:v>1.4148879873072288E-2</c:v>
                </c:pt>
                <c:pt idx="4951">
                  <c:v>1.2857125702901429E-2</c:v>
                </c:pt>
                <c:pt idx="4952">
                  <c:v>1.349118063436725E-2</c:v>
                </c:pt>
                <c:pt idx="4953">
                  <c:v>1.2030262807684834E-2</c:v>
                </c:pt>
                <c:pt idx="4954">
                  <c:v>1.2977494831131907E-2</c:v>
                </c:pt>
                <c:pt idx="4955">
                  <c:v>1.2947504530533947E-2</c:v>
                </c:pt>
                <c:pt idx="4956">
                  <c:v>1.1369993683639858E-2</c:v>
                </c:pt>
                <c:pt idx="4957">
                  <c:v>1.1126261192309094E-2</c:v>
                </c:pt>
                <c:pt idx="4958">
                  <c:v>9.2899796990666625E-3</c:v>
                </c:pt>
                <c:pt idx="4959">
                  <c:v>9.6147187975790267E-3</c:v>
                </c:pt>
                <c:pt idx="4960">
                  <c:v>1.1719600580907156E-2</c:v>
                </c:pt>
                <c:pt idx="4961">
                  <c:v>9.6223646147815031E-3</c:v>
                </c:pt>
                <c:pt idx="4962">
                  <c:v>1.0678381654700331E-2</c:v>
                </c:pt>
                <c:pt idx="4963">
                  <c:v>1.3476815384015758E-2</c:v>
                </c:pt>
                <c:pt idx="4964">
                  <c:v>9.7409704201740031E-3</c:v>
                </c:pt>
                <c:pt idx="4965">
                  <c:v>1.066504244025005E-2</c:v>
                </c:pt>
                <c:pt idx="4966">
                  <c:v>1.2726230744355057E-2</c:v>
                </c:pt>
                <c:pt idx="4967">
                  <c:v>9.4189515636548659E-3</c:v>
                </c:pt>
                <c:pt idx="4968">
                  <c:v>1.4637253852239254E-2</c:v>
                </c:pt>
                <c:pt idx="4969">
                  <c:v>1.3061675215031326E-2</c:v>
                </c:pt>
                <c:pt idx="4970">
                  <c:v>1.1486351318839291E-2</c:v>
                </c:pt>
                <c:pt idx="4971">
                  <c:v>1.8456701259377491E-2</c:v>
                </c:pt>
                <c:pt idx="4972">
                  <c:v>9.7796298640014673E-3</c:v>
                </c:pt>
                <c:pt idx="4973">
                  <c:v>1.8661079521685268E-2</c:v>
                </c:pt>
                <c:pt idx="4974">
                  <c:v>1.906302168500059E-2</c:v>
                </c:pt>
                <c:pt idx="4975">
                  <c:v>1.4043816940215014E-2</c:v>
                </c:pt>
                <c:pt idx="4976">
                  <c:v>1.5072756399316824E-2</c:v>
                </c:pt>
                <c:pt idx="4977">
                  <c:v>1.3993973667379783E-2</c:v>
                </c:pt>
                <c:pt idx="4978">
                  <c:v>1.3817706763828255E-2</c:v>
                </c:pt>
                <c:pt idx="4979">
                  <c:v>1.1173025858215857E-2</c:v>
                </c:pt>
                <c:pt idx="4980">
                  <c:v>1.3839814913507121E-2</c:v>
                </c:pt>
                <c:pt idx="4981">
                  <c:v>9.5688548890340459E-3</c:v>
                </c:pt>
                <c:pt idx="4982">
                  <c:v>1.0140191073869681E-2</c:v>
                </c:pt>
                <c:pt idx="4983">
                  <c:v>1.1882796521238389E-2</c:v>
                </c:pt>
                <c:pt idx="4984">
                  <c:v>1.4741319428931792E-2</c:v>
                </c:pt>
                <c:pt idx="4985">
                  <c:v>1.4749960029107695E-2</c:v>
                </c:pt>
                <c:pt idx="4986">
                  <c:v>9.6410829593058973E-3</c:v>
                </c:pt>
                <c:pt idx="4987">
                  <c:v>1.2572189861927166E-2</c:v>
                </c:pt>
                <c:pt idx="4988">
                  <c:v>1.4319271568267726E-2</c:v>
                </c:pt>
                <c:pt idx="4989">
                  <c:v>9.6232476208579377E-3</c:v>
                </c:pt>
                <c:pt idx="4990">
                  <c:v>1.2461492430334014E-2</c:v>
                </c:pt>
                <c:pt idx="4991">
                  <c:v>9.6232476208579342E-3</c:v>
                </c:pt>
                <c:pt idx="4992">
                  <c:v>9.638502077334056E-3</c:v>
                </c:pt>
                <c:pt idx="4993">
                  <c:v>9.9178413612654118E-3</c:v>
                </c:pt>
                <c:pt idx="4994">
                  <c:v>1.5569474240932775E-2</c:v>
                </c:pt>
                <c:pt idx="4995">
                  <c:v>1.2203215142149552E-2</c:v>
                </c:pt>
                <c:pt idx="4996">
                  <c:v>1.3044338301955732E-2</c:v>
                </c:pt>
                <c:pt idx="4997">
                  <c:v>1.334525241386334E-2</c:v>
                </c:pt>
                <c:pt idx="4998">
                  <c:v>1.5419015476876895E-2</c:v>
                </c:pt>
                <c:pt idx="4999">
                  <c:v>1.1448894409104977E-2</c:v>
                </c:pt>
              </c:numCache>
            </c:numRef>
          </c:xVal>
          <c:yVal>
            <c:numRef>
              <c:f>Markowitz!$N$44:$N$6000</c:f>
              <c:numCache>
                <c:formatCode>0.00%</c:formatCode>
                <c:ptCount val="5957"/>
                <c:pt idx="0">
                  <c:v>8.3617345592206741E-4</c:v>
                </c:pt>
                <c:pt idx="1">
                  <c:v>2.1587394432831478E-3</c:v>
                </c:pt>
                <c:pt idx="2">
                  <c:v>2.4093953490554481E-3</c:v>
                </c:pt>
                <c:pt idx="3">
                  <c:v>1.241655581725951E-3</c:v>
                </c:pt>
                <c:pt idx="4">
                  <c:v>2.0016154220366634E-3</c:v>
                </c:pt>
                <c:pt idx="5">
                  <c:v>1.7341466750485793E-3</c:v>
                </c:pt>
                <c:pt idx="6">
                  <c:v>1.851187665424041E-3</c:v>
                </c:pt>
                <c:pt idx="7">
                  <c:v>6.9252117278039837E-4</c:v>
                </c:pt>
                <c:pt idx="8">
                  <c:v>8.1704539585372878E-4</c:v>
                </c:pt>
                <c:pt idx="9">
                  <c:v>1.5162655103046967E-3</c:v>
                </c:pt>
                <c:pt idx="10">
                  <c:v>8.0459297354639576E-4</c:v>
                </c:pt>
                <c:pt idx="11">
                  <c:v>2.0530039753539398E-3</c:v>
                </c:pt>
                <c:pt idx="12">
                  <c:v>8.9798614085139351E-4</c:v>
                </c:pt>
                <c:pt idx="13">
                  <c:v>7.9836676239272925E-4</c:v>
                </c:pt>
                <c:pt idx="14">
                  <c:v>1.7816225864633176E-3</c:v>
                </c:pt>
                <c:pt idx="15">
                  <c:v>1.7769510293890842E-3</c:v>
                </c:pt>
                <c:pt idx="16">
                  <c:v>1.7343060987354266E-3</c:v>
                </c:pt>
                <c:pt idx="17">
                  <c:v>1.2610918648413593E-3</c:v>
                </c:pt>
                <c:pt idx="18">
                  <c:v>1.3406907383514222E-3</c:v>
                </c:pt>
                <c:pt idx="19">
                  <c:v>7.8130026815534642E-4</c:v>
                </c:pt>
                <c:pt idx="20">
                  <c:v>1.9890557037746748E-3</c:v>
                </c:pt>
                <c:pt idx="21">
                  <c:v>7.7980655797206099E-4</c:v>
                </c:pt>
                <c:pt idx="22">
                  <c:v>1.2125847466781146E-3</c:v>
                </c:pt>
                <c:pt idx="23">
                  <c:v>2.2515450547255958E-3</c:v>
                </c:pt>
                <c:pt idx="24">
                  <c:v>9.7031097148963413E-4</c:v>
                </c:pt>
                <c:pt idx="25">
                  <c:v>1.2610918648413593E-3</c:v>
                </c:pt>
                <c:pt idx="26">
                  <c:v>2.0738975735289118E-3</c:v>
                </c:pt>
                <c:pt idx="27">
                  <c:v>1.5823511874338129E-3</c:v>
                </c:pt>
                <c:pt idx="28">
                  <c:v>6.1518901803068516E-4</c:v>
                </c:pt>
                <c:pt idx="29">
                  <c:v>9.3768165063879848E-4</c:v>
                </c:pt>
                <c:pt idx="30">
                  <c:v>1.321618808037726E-3</c:v>
                </c:pt>
                <c:pt idx="31">
                  <c:v>8.6357968513093631E-4</c:v>
                </c:pt>
                <c:pt idx="32">
                  <c:v>1.969336753790582E-3</c:v>
                </c:pt>
                <c:pt idx="33">
                  <c:v>1.0100579416173908E-3</c:v>
                </c:pt>
                <c:pt idx="34">
                  <c:v>6.8579222078568277E-4</c:v>
                </c:pt>
                <c:pt idx="35">
                  <c:v>2.402659818826577E-3</c:v>
                </c:pt>
                <c:pt idx="36">
                  <c:v>1.2125847466781146E-3</c:v>
                </c:pt>
                <c:pt idx="37">
                  <c:v>1.3054114034459015E-3</c:v>
                </c:pt>
                <c:pt idx="38">
                  <c:v>2.4026598188265774E-3</c:v>
                </c:pt>
                <c:pt idx="39">
                  <c:v>1.2362970171395106E-3</c:v>
                </c:pt>
                <c:pt idx="40">
                  <c:v>1.8006179197463253E-3</c:v>
                </c:pt>
                <c:pt idx="41">
                  <c:v>1.5754515887227726E-3</c:v>
                </c:pt>
                <c:pt idx="42">
                  <c:v>6.2403285009006665E-4</c:v>
                </c:pt>
                <c:pt idx="43">
                  <c:v>2.5409372609969914E-3</c:v>
                </c:pt>
                <c:pt idx="44">
                  <c:v>1.7271954117291034E-3</c:v>
                </c:pt>
                <c:pt idx="45">
                  <c:v>1.633298068600342E-3</c:v>
                </c:pt>
                <c:pt idx="46">
                  <c:v>1.9254243014589978E-3</c:v>
                </c:pt>
                <c:pt idx="47">
                  <c:v>1.7557405619505252E-3</c:v>
                </c:pt>
                <c:pt idx="48">
                  <c:v>1.2630753283569525E-3</c:v>
                </c:pt>
                <c:pt idx="49">
                  <c:v>1.0488944063828138E-3</c:v>
                </c:pt>
                <c:pt idx="50">
                  <c:v>1.5542411212842138E-3</c:v>
                </c:pt>
                <c:pt idx="51">
                  <c:v>1.0904959457740063E-3</c:v>
                </c:pt>
                <c:pt idx="52">
                  <c:v>1.2650248744221629E-3</c:v>
                </c:pt>
                <c:pt idx="53">
                  <c:v>1.2768239031645738E-3</c:v>
                </c:pt>
                <c:pt idx="54">
                  <c:v>2.4093953490554485E-3</c:v>
                </c:pt>
                <c:pt idx="55">
                  <c:v>2.1594657163665158E-3</c:v>
                </c:pt>
                <c:pt idx="56">
                  <c:v>1.2335607977757338E-3</c:v>
                </c:pt>
                <c:pt idx="57">
                  <c:v>2.4026598188265774E-3</c:v>
                </c:pt>
                <c:pt idx="58">
                  <c:v>1.9593387310908425E-3</c:v>
                </c:pt>
                <c:pt idx="59">
                  <c:v>1.8795430669112515E-3</c:v>
                </c:pt>
                <c:pt idx="60">
                  <c:v>8.3708479811782084E-4</c:v>
                </c:pt>
                <c:pt idx="61">
                  <c:v>6.2403285009006665E-4</c:v>
                </c:pt>
                <c:pt idx="62">
                  <c:v>1.8617928991433205E-3</c:v>
                </c:pt>
                <c:pt idx="63">
                  <c:v>1.3111348737585189E-3</c:v>
                </c:pt>
                <c:pt idx="64">
                  <c:v>2.1163185084060298E-3</c:v>
                </c:pt>
                <c:pt idx="65">
                  <c:v>1.9744882320087941E-3</c:v>
                </c:pt>
                <c:pt idx="66">
                  <c:v>7.6648159536282269E-4</c:v>
                </c:pt>
                <c:pt idx="67">
                  <c:v>1.1512319540261139E-3</c:v>
                </c:pt>
                <c:pt idx="68">
                  <c:v>1.1800146400706662E-3</c:v>
                </c:pt>
                <c:pt idx="69">
                  <c:v>8.5288065080847035E-4</c:v>
                </c:pt>
                <c:pt idx="70">
                  <c:v>2.2231896532383861E-3</c:v>
                </c:pt>
                <c:pt idx="71">
                  <c:v>1.4070887646952619E-3</c:v>
                </c:pt>
                <c:pt idx="72">
                  <c:v>1.9071721953150937E-3</c:v>
                </c:pt>
                <c:pt idx="73">
                  <c:v>2.4488579226379114E-3</c:v>
                </c:pt>
                <c:pt idx="74">
                  <c:v>1.2650248744221629E-3</c:v>
                </c:pt>
                <c:pt idx="75">
                  <c:v>1.6991520304182267E-3</c:v>
                </c:pt>
                <c:pt idx="76">
                  <c:v>6.1518901803068505E-4</c:v>
                </c:pt>
                <c:pt idx="77">
                  <c:v>1.2545368488733534E-3</c:v>
                </c:pt>
                <c:pt idx="78">
                  <c:v>9.5381588152414079E-4</c:v>
                </c:pt>
                <c:pt idx="79">
                  <c:v>9.7234841716048524E-4</c:v>
                </c:pt>
                <c:pt idx="80">
                  <c:v>1.2519148424861507E-3</c:v>
                </c:pt>
                <c:pt idx="81">
                  <c:v>1.2428261386472268E-3</c:v>
                </c:pt>
                <c:pt idx="82">
                  <c:v>1.6775127071583492E-3</c:v>
                </c:pt>
                <c:pt idx="83">
                  <c:v>1.6237892461892012E-3</c:v>
                </c:pt>
                <c:pt idx="84">
                  <c:v>1.5966620561613321E-3</c:v>
                </c:pt>
                <c:pt idx="85">
                  <c:v>1.312353467166233E-3</c:v>
                </c:pt>
                <c:pt idx="86">
                  <c:v>1.692470357574308E-3</c:v>
                </c:pt>
                <c:pt idx="87">
                  <c:v>1.5059099625303136E-3</c:v>
                </c:pt>
                <c:pt idx="88">
                  <c:v>1.514910347852953E-3</c:v>
                </c:pt>
                <c:pt idx="89">
                  <c:v>1.1034511089223886E-3</c:v>
                </c:pt>
                <c:pt idx="90">
                  <c:v>1.0972248977687219E-3</c:v>
                </c:pt>
                <c:pt idx="91">
                  <c:v>1.7191438151065246E-3</c:v>
                </c:pt>
                <c:pt idx="92">
                  <c:v>9.9463547145170581E-4</c:v>
                </c:pt>
                <c:pt idx="93">
                  <c:v>1.0349627862320568E-3</c:v>
                </c:pt>
                <c:pt idx="94">
                  <c:v>1.5444546952044949E-3</c:v>
                </c:pt>
                <c:pt idx="95">
                  <c:v>1.1497561246042386E-3</c:v>
                </c:pt>
                <c:pt idx="96">
                  <c:v>1.7073859504283606E-3</c:v>
                </c:pt>
                <c:pt idx="97">
                  <c:v>1.143340334110243E-3</c:v>
                </c:pt>
                <c:pt idx="98">
                  <c:v>9.1777417269496087E-4</c:v>
                </c:pt>
                <c:pt idx="99">
                  <c:v>1.2063627515882048E-3</c:v>
                </c:pt>
                <c:pt idx="100">
                  <c:v>1.1408083758443876E-3</c:v>
                </c:pt>
                <c:pt idx="101">
                  <c:v>9.9846354727210112E-4</c:v>
                </c:pt>
                <c:pt idx="102">
                  <c:v>2.0738975735289113E-3</c:v>
                </c:pt>
                <c:pt idx="103">
                  <c:v>2.3763514364382684E-3</c:v>
                </c:pt>
                <c:pt idx="104">
                  <c:v>5.5467198709782987E-4</c:v>
                </c:pt>
                <c:pt idx="105">
                  <c:v>2.4357037314437567E-3</c:v>
                </c:pt>
                <c:pt idx="106">
                  <c:v>1.0254977842912949E-3</c:v>
                </c:pt>
                <c:pt idx="107">
                  <c:v>6.7384253931939905E-4</c:v>
                </c:pt>
                <c:pt idx="108">
                  <c:v>9.8515309700272476E-4</c:v>
                </c:pt>
                <c:pt idx="109">
                  <c:v>2.3012034582075586E-3</c:v>
                </c:pt>
                <c:pt idx="110">
                  <c:v>1.7779941717360396E-3</c:v>
                </c:pt>
                <c:pt idx="111">
                  <c:v>1.0324635943666735E-3</c:v>
                </c:pt>
                <c:pt idx="112">
                  <c:v>1.8936086003011592E-3</c:v>
                </c:pt>
                <c:pt idx="113">
                  <c:v>7.6100949547072997E-4</c:v>
                </c:pt>
                <c:pt idx="114">
                  <c:v>1.2335607977757338E-3</c:v>
                </c:pt>
                <c:pt idx="115">
                  <c:v>1.2637138712285616E-3</c:v>
                </c:pt>
                <c:pt idx="116">
                  <c:v>1.2616544529731419E-3</c:v>
                </c:pt>
                <c:pt idx="117">
                  <c:v>2.32842318279162E-3</c:v>
                </c:pt>
                <c:pt idx="118">
                  <c:v>1.1283559535370546E-3</c:v>
                </c:pt>
                <c:pt idx="119">
                  <c:v>2.310760994728362E-3</c:v>
                </c:pt>
                <c:pt idx="120">
                  <c:v>5.9912800547540061E-4</c:v>
                </c:pt>
                <c:pt idx="121">
                  <c:v>1.1739685247492307E-3</c:v>
                </c:pt>
                <c:pt idx="122">
                  <c:v>1.3204402826185516E-3</c:v>
                </c:pt>
                <c:pt idx="123">
                  <c:v>7.067274466545162E-4</c:v>
                </c:pt>
                <c:pt idx="124">
                  <c:v>7.1605073625211025E-4</c:v>
                </c:pt>
                <c:pt idx="125">
                  <c:v>1.2742018967773713E-3</c:v>
                </c:pt>
                <c:pt idx="126">
                  <c:v>2.0726745500399828E-3</c:v>
                </c:pt>
                <c:pt idx="127">
                  <c:v>8.7930750739039388E-4</c:v>
                </c:pt>
                <c:pt idx="128">
                  <c:v>2.1375289758445888E-3</c:v>
                </c:pt>
                <c:pt idx="129">
                  <c:v>1.7408562209210564E-3</c:v>
                </c:pt>
                <c:pt idx="130">
                  <c:v>5.9501667438639999E-4</c:v>
                </c:pt>
                <c:pt idx="131">
                  <c:v>1.1889866891932927E-3</c:v>
                </c:pt>
                <c:pt idx="132">
                  <c:v>1.0411889973857235E-3</c:v>
                </c:pt>
                <c:pt idx="133">
                  <c:v>1.2728908935837702E-3</c:v>
                </c:pt>
                <c:pt idx="134">
                  <c:v>7.8665393900710797E-4</c:v>
                </c:pt>
                <c:pt idx="135">
                  <c:v>1.2545368488733532E-3</c:v>
                </c:pt>
                <c:pt idx="136">
                  <c:v>1.9608860045187419E-3</c:v>
                </c:pt>
                <c:pt idx="137">
                  <c:v>7.9674011082925028E-4</c:v>
                </c:pt>
                <c:pt idx="138">
                  <c:v>2.1857740987548243E-3</c:v>
                </c:pt>
                <c:pt idx="139">
                  <c:v>1.6977580213775128E-3</c:v>
                </c:pt>
                <c:pt idx="140">
                  <c:v>1.3913856160262324E-3</c:v>
                </c:pt>
                <c:pt idx="141">
                  <c:v>1.8830033665818793E-3</c:v>
                </c:pt>
                <c:pt idx="142">
                  <c:v>1.5141551851153997E-3</c:v>
                </c:pt>
                <c:pt idx="143">
                  <c:v>1.7810450675868875E-3</c:v>
                </c:pt>
                <c:pt idx="144">
                  <c:v>1.3615657328692316E-3</c:v>
                </c:pt>
                <c:pt idx="145">
                  <c:v>2.3962411578612943E-3</c:v>
                </c:pt>
                <c:pt idx="146">
                  <c:v>1.5979493576711596E-3</c:v>
                </c:pt>
                <c:pt idx="147">
                  <c:v>1.2336696981069856E-3</c:v>
                </c:pt>
                <c:pt idx="148">
                  <c:v>2.1269237421253093E-3</c:v>
                </c:pt>
                <c:pt idx="149">
                  <c:v>1.6083799427709083E-3</c:v>
                </c:pt>
                <c:pt idx="150">
                  <c:v>1.1220706253903319E-3</c:v>
                </c:pt>
                <c:pt idx="151">
                  <c:v>2.4768964548615336E-3</c:v>
                </c:pt>
                <c:pt idx="152">
                  <c:v>5.8044937201440097E-4</c:v>
                </c:pt>
                <c:pt idx="153">
                  <c:v>1.2755128999709724E-3</c:v>
                </c:pt>
                <c:pt idx="154">
                  <c:v>1.8835601789684313E-3</c:v>
                </c:pt>
                <c:pt idx="155">
                  <c:v>9.8174424741721551E-4</c:v>
                </c:pt>
                <c:pt idx="156">
                  <c:v>1.2075380774738541E-3</c:v>
                </c:pt>
                <c:pt idx="157">
                  <c:v>1.1408083758443876E-3</c:v>
                </c:pt>
                <c:pt idx="158">
                  <c:v>1.0972248977687219E-3</c:v>
                </c:pt>
                <c:pt idx="159">
                  <c:v>1.7059896239123701E-3</c:v>
                </c:pt>
                <c:pt idx="160">
                  <c:v>1.3697234045527561E-3</c:v>
                </c:pt>
                <c:pt idx="161">
                  <c:v>1.0723200531540561E-3</c:v>
                </c:pt>
                <c:pt idx="162">
                  <c:v>1.5444546952044949E-3</c:v>
                </c:pt>
                <c:pt idx="163">
                  <c:v>1.1497561246042386E-3</c:v>
                </c:pt>
                <c:pt idx="164">
                  <c:v>1.7073859504283606E-3</c:v>
                </c:pt>
                <c:pt idx="165">
                  <c:v>1.1107446272305406E-3</c:v>
                </c:pt>
                <c:pt idx="166">
                  <c:v>1.7604121190247586E-3</c:v>
                </c:pt>
                <c:pt idx="167">
                  <c:v>9.5915698377780495E-4</c:v>
                </c:pt>
                <c:pt idx="168">
                  <c:v>2.0378027650608836E-3</c:v>
                </c:pt>
                <c:pt idx="169">
                  <c:v>9.3794651633924604E-4</c:v>
                </c:pt>
                <c:pt idx="170">
                  <c:v>2.0016154220366634E-3</c:v>
                </c:pt>
                <c:pt idx="171">
                  <c:v>2.3631972452441141E-3</c:v>
                </c:pt>
                <c:pt idx="172">
                  <c:v>5.5467198709783019E-4</c:v>
                </c:pt>
                <c:pt idx="173">
                  <c:v>2.4225495402496028E-3</c:v>
                </c:pt>
                <c:pt idx="174">
                  <c:v>1.0225103639247238E-3</c:v>
                </c:pt>
                <c:pt idx="175">
                  <c:v>1.2532258456797519E-3</c:v>
                </c:pt>
                <c:pt idx="176">
                  <c:v>1.246670829711746E-3</c:v>
                </c:pt>
                <c:pt idx="177">
                  <c:v>1.3151277758071882E-3</c:v>
                </c:pt>
                <c:pt idx="178">
                  <c:v>7.2060036081507644E-4</c:v>
                </c:pt>
                <c:pt idx="179">
                  <c:v>1.259780861647758E-3</c:v>
                </c:pt>
                <c:pt idx="180">
                  <c:v>7.5478328431706357E-4</c:v>
                </c:pt>
                <c:pt idx="181">
                  <c:v>1.2715798903901688E-3</c:v>
                </c:pt>
                <c:pt idx="182">
                  <c:v>9.6820503180567309E-4</c:v>
                </c:pt>
                <c:pt idx="183">
                  <c:v>6.9874738393406488E-4</c:v>
                </c:pt>
                <c:pt idx="184">
                  <c:v>1.2850288534691876E-3</c:v>
                </c:pt>
                <c:pt idx="185">
                  <c:v>2.593554025773609E-3</c:v>
                </c:pt>
                <c:pt idx="186">
                  <c:v>1.1666996349020725E-3</c:v>
                </c:pt>
                <c:pt idx="187">
                  <c:v>2.4488579226379114E-3</c:v>
                </c:pt>
                <c:pt idx="188">
                  <c:v>1.6815039259155684E-3</c:v>
                </c:pt>
                <c:pt idx="189">
                  <c:v>8.2932371271662202E-4</c:v>
                </c:pt>
                <c:pt idx="190">
                  <c:v>1.1845737584685104E-3</c:v>
                </c:pt>
                <c:pt idx="191">
                  <c:v>9.412450301764765E-4</c:v>
                </c:pt>
                <c:pt idx="192">
                  <c:v>6.6827393779441129E-4</c:v>
                </c:pt>
                <c:pt idx="193">
                  <c:v>2.2011603781602663E-3</c:v>
                </c:pt>
                <c:pt idx="194">
                  <c:v>1.5452496764138258E-3</c:v>
                </c:pt>
                <c:pt idx="195">
                  <c:v>8.206538166839496E-4</c:v>
                </c:pt>
                <c:pt idx="196">
                  <c:v>2.0279238044249724E-3</c:v>
                </c:pt>
                <c:pt idx="197">
                  <c:v>7.7656776718496565E-4</c:v>
                </c:pt>
                <c:pt idx="198">
                  <c:v>6.6139011701206582E-4</c:v>
                </c:pt>
                <c:pt idx="199">
                  <c:v>1.7981614968276436E-3</c:v>
                </c:pt>
                <c:pt idx="200">
                  <c:v>2.2966074816337819E-3</c:v>
                </c:pt>
                <c:pt idx="201">
                  <c:v>1.3635576289943484E-3</c:v>
                </c:pt>
                <c:pt idx="202">
                  <c:v>9.6820503180567331E-4</c:v>
                </c:pt>
                <c:pt idx="203">
                  <c:v>1.8036688155971732E-3</c:v>
                </c:pt>
                <c:pt idx="204">
                  <c:v>2.0542321868132806E-3</c:v>
                </c:pt>
                <c:pt idx="205">
                  <c:v>1.1194976091378113E-3</c:v>
                </c:pt>
                <c:pt idx="206">
                  <c:v>6.7570604896354024E-4</c:v>
                </c:pt>
                <c:pt idx="207">
                  <c:v>8.7112533160571776E-4</c:v>
                </c:pt>
                <c:pt idx="208">
                  <c:v>2.2910076283080591E-3</c:v>
                </c:pt>
                <c:pt idx="209">
                  <c:v>2.304250138018498E-3</c:v>
                </c:pt>
                <c:pt idx="210">
                  <c:v>1.1034511089223886E-3</c:v>
                </c:pt>
                <c:pt idx="211">
                  <c:v>2.5277830698028371E-3</c:v>
                </c:pt>
                <c:pt idx="212">
                  <c:v>1.2637138712285616E-3</c:v>
                </c:pt>
                <c:pt idx="213">
                  <c:v>1.5426688341147188E-3</c:v>
                </c:pt>
                <c:pt idx="214">
                  <c:v>1.5754515887227729E-3</c:v>
                </c:pt>
                <c:pt idx="215">
                  <c:v>1.2610918648413591E-3</c:v>
                </c:pt>
                <c:pt idx="216">
                  <c:v>9.2544854448617874E-4</c:v>
                </c:pt>
                <c:pt idx="217">
                  <c:v>8.7337787736752536E-4</c:v>
                </c:pt>
                <c:pt idx="218">
                  <c:v>1.0536414196930565E-3</c:v>
                </c:pt>
                <c:pt idx="219">
                  <c:v>9.3206800782126803E-4</c:v>
                </c:pt>
                <c:pt idx="220">
                  <c:v>1.6310027256458426E-3</c:v>
                </c:pt>
                <c:pt idx="221">
                  <c:v>2.4488579226379114E-3</c:v>
                </c:pt>
                <c:pt idx="222">
                  <c:v>2.0845028072481913E-3</c:v>
                </c:pt>
                <c:pt idx="223">
                  <c:v>1.5704140745656265E-3</c:v>
                </c:pt>
                <c:pt idx="224">
                  <c:v>1.8963818924834291E-3</c:v>
                </c:pt>
                <c:pt idx="225">
                  <c:v>9.6157190377293045E-4</c:v>
                </c:pt>
                <c:pt idx="226">
                  <c:v>1.6005671480184543E-3</c:v>
                </c:pt>
                <c:pt idx="227">
                  <c:v>1.177187660450882E-3</c:v>
                </c:pt>
                <c:pt idx="228">
                  <c:v>1.1408083758443876E-3</c:v>
                </c:pt>
                <c:pt idx="229">
                  <c:v>1.0972248977687219E-3</c:v>
                </c:pt>
                <c:pt idx="230">
                  <c:v>1.8002085159265449E-3</c:v>
                </c:pt>
                <c:pt idx="231">
                  <c:v>9.0575110348088846E-4</c:v>
                </c:pt>
                <c:pt idx="232">
                  <c:v>1.0723200531540561E-3</c:v>
                </c:pt>
                <c:pt idx="233">
                  <c:v>1.5419057377296201E-3</c:v>
                </c:pt>
                <c:pt idx="234">
                  <c:v>1.1497561246042386E-3</c:v>
                </c:pt>
                <c:pt idx="235">
                  <c:v>1.3538898013726916E-3</c:v>
                </c:pt>
                <c:pt idx="236">
                  <c:v>2.2910076283080591E-3</c:v>
                </c:pt>
                <c:pt idx="237">
                  <c:v>1.78110352456618E-3</c:v>
                </c:pt>
                <c:pt idx="238">
                  <c:v>9.3794651633924571E-4</c:v>
                </c:pt>
                <c:pt idx="239">
                  <c:v>1.3624854276231744E-3</c:v>
                </c:pt>
                <c:pt idx="240">
                  <c:v>9.1777417269496087E-4</c:v>
                </c:pt>
                <c:pt idx="241">
                  <c:v>2.0279238044249724E-3</c:v>
                </c:pt>
                <c:pt idx="242">
                  <c:v>2.381449351388018E-3</c:v>
                </c:pt>
                <c:pt idx="243">
                  <c:v>2.1463115251723615E-3</c:v>
                </c:pt>
                <c:pt idx="244">
                  <c:v>1.651325840036851E-3</c:v>
                </c:pt>
                <c:pt idx="245">
                  <c:v>1.0349627862320568E-3</c:v>
                </c:pt>
                <c:pt idx="246">
                  <c:v>1.2558478520669544E-3</c:v>
                </c:pt>
                <c:pt idx="247">
                  <c:v>1.0100579416173908E-3</c:v>
                </c:pt>
                <c:pt idx="248">
                  <c:v>1.3282639163640407E-3</c:v>
                </c:pt>
                <c:pt idx="249">
                  <c:v>6.8417172902772536E-4</c:v>
                </c:pt>
                <c:pt idx="250">
                  <c:v>1.2637138712285618E-3</c:v>
                </c:pt>
                <c:pt idx="251">
                  <c:v>1.1396699527820961E-3</c:v>
                </c:pt>
                <c:pt idx="252">
                  <c:v>1.051260656868004E-3</c:v>
                </c:pt>
                <c:pt idx="253">
                  <c:v>6.8579222078568288E-4</c:v>
                </c:pt>
                <c:pt idx="254">
                  <c:v>1.8940180041209394E-3</c:v>
                </c:pt>
                <c:pt idx="255">
                  <c:v>1.2874868812464755E-3</c:v>
                </c:pt>
                <c:pt idx="256">
                  <c:v>8.2699862629567809E-4</c:v>
                </c:pt>
                <c:pt idx="257">
                  <c:v>1.1850578956762461E-3</c:v>
                </c:pt>
                <c:pt idx="258">
                  <c:v>1.195541705161299E-3</c:v>
                </c:pt>
                <c:pt idx="259">
                  <c:v>7.8665393900710819E-4</c:v>
                </c:pt>
                <c:pt idx="260">
                  <c:v>1.2283306191167129E-3</c:v>
                </c:pt>
                <c:pt idx="261">
                  <c:v>1.2783521191504651E-3</c:v>
                </c:pt>
                <c:pt idx="262">
                  <c:v>1.651325840036851E-3</c:v>
                </c:pt>
                <c:pt idx="263">
                  <c:v>6.4544753349711265E-4</c:v>
                </c:pt>
                <c:pt idx="264">
                  <c:v>1.2650248744221632E-3</c:v>
                </c:pt>
                <c:pt idx="265">
                  <c:v>1.0474152085393899E-3</c:v>
                </c:pt>
                <c:pt idx="266">
                  <c:v>1.3282639163640407E-3</c:v>
                </c:pt>
                <c:pt idx="267">
                  <c:v>6.1518901803068505E-4</c:v>
                </c:pt>
                <c:pt idx="268">
                  <c:v>5.7422316086073446E-4</c:v>
                </c:pt>
                <c:pt idx="269">
                  <c:v>9.5927448613631065E-4</c:v>
                </c:pt>
                <c:pt idx="270">
                  <c:v>2.2515450547255962E-3</c:v>
                </c:pt>
                <c:pt idx="271">
                  <c:v>6.8629496162673186E-4</c:v>
                </c:pt>
                <c:pt idx="272">
                  <c:v>1.2519148424861505E-3</c:v>
                </c:pt>
                <c:pt idx="273">
                  <c:v>1.0008297977572912E-3</c:v>
                </c:pt>
                <c:pt idx="274">
                  <c:v>1.847221380755262E-3</c:v>
                </c:pt>
                <c:pt idx="275">
                  <c:v>1.2001869837149513E-3</c:v>
                </c:pt>
                <c:pt idx="276">
                  <c:v>1.4321689356242293E-3</c:v>
                </c:pt>
                <c:pt idx="277">
                  <c:v>1.2689578840029666E-3</c:v>
                </c:pt>
                <c:pt idx="278">
                  <c:v>1.7516857893477311E-3</c:v>
                </c:pt>
                <c:pt idx="279">
                  <c:v>1.5542411212842138E-3</c:v>
                </c:pt>
                <c:pt idx="280">
                  <c:v>1.1211517600678833E-3</c:v>
                </c:pt>
                <c:pt idx="281">
                  <c:v>8.9897711019362985E-4</c:v>
                </c:pt>
                <c:pt idx="282">
                  <c:v>1.6072672898806109E-3</c:v>
                </c:pt>
                <c:pt idx="283">
                  <c:v>1.9360295351782773E-3</c:v>
                </c:pt>
                <c:pt idx="284">
                  <c:v>1.0536414196930565E-3</c:v>
                </c:pt>
                <c:pt idx="285">
                  <c:v>1.7716754706736059E-3</c:v>
                </c:pt>
                <c:pt idx="286">
                  <c:v>1.2401158137437399E-3</c:v>
                </c:pt>
                <c:pt idx="287">
                  <c:v>1.0186358909163862E-3</c:v>
                </c:pt>
                <c:pt idx="288">
                  <c:v>1.7875562631083641E-3</c:v>
                </c:pt>
                <c:pt idx="289">
                  <c:v>8.7742948540639064E-4</c:v>
                </c:pt>
                <c:pt idx="290">
                  <c:v>1.1699284682485237E-3</c:v>
                </c:pt>
                <c:pt idx="291">
                  <c:v>1.1283559535370546E-3</c:v>
                </c:pt>
                <c:pt idx="292">
                  <c:v>7.8494091266910915E-4</c:v>
                </c:pt>
                <c:pt idx="293">
                  <c:v>9.1666477431239315E-4</c:v>
                </c:pt>
                <c:pt idx="294">
                  <c:v>7.734619177780631E-4</c:v>
                </c:pt>
                <c:pt idx="295">
                  <c:v>1.1408083758443876E-3</c:v>
                </c:pt>
                <c:pt idx="296">
                  <c:v>7.26136908074253E-4</c:v>
                </c:pt>
                <c:pt idx="297">
                  <c:v>2.0147696132308181E-3</c:v>
                </c:pt>
                <c:pt idx="298">
                  <c:v>1.5267535358535061E-3</c:v>
                </c:pt>
                <c:pt idx="299">
                  <c:v>5.4458581527568766E-4</c:v>
                </c:pt>
                <c:pt idx="300">
                  <c:v>2.4357037314437571E-3</c:v>
                </c:pt>
                <c:pt idx="301">
                  <c:v>9.8515309700272476E-4</c:v>
                </c:pt>
                <c:pt idx="302">
                  <c:v>1.2932424058249043E-3</c:v>
                </c:pt>
                <c:pt idx="303">
                  <c:v>8.4383260278060178E-4</c:v>
                </c:pt>
                <c:pt idx="304">
                  <c:v>1.00031579908411E-3</c:v>
                </c:pt>
                <c:pt idx="305">
                  <c:v>1.8425424430294948E-3</c:v>
                </c:pt>
                <c:pt idx="306">
                  <c:v>1.1497561246042389E-3</c:v>
                </c:pt>
                <c:pt idx="307">
                  <c:v>1.27289089358377E-3</c:v>
                </c:pt>
                <c:pt idx="308">
                  <c:v>2.0279238044249724E-3</c:v>
                </c:pt>
                <c:pt idx="309">
                  <c:v>1.6535369275940735E-3</c:v>
                </c:pt>
                <c:pt idx="310">
                  <c:v>6.5553370531925507E-4</c:v>
                </c:pt>
                <c:pt idx="311">
                  <c:v>1.1793356909286126E-3</c:v>
                </c:pt>
                <c:pt idx="312">
                  <c:v>1.7027143933541276E-3</c:v>
                </c:pt>
                <c:pt idx="313">
                  <c:v>1.3063030534803115E-3</c:v>
                </c:pt>
                <c:pt idx="314">
                  <c:v>2.0805405692015896E-3</c:v>
                </c:pt>
                <c:pt idx="315">
                  <c:v>9.5698128456344787E-4</c:v>
                </c:pt>
                <c:pt idx="316">
                  <c:v>1.7267767286693084E-3</c:v>
                </c:pt>
                <c:pt idx="317">
                  <c:v>8.4031886458796768E-4</c:v>
                </c:pt>
                <c:pt idx="318">
                  <c:v>1.4131621303962361E-3</c:v>
                </c:pt>
                <c:pt idx="319">
                  <c:v>1.6111876513416907E-3</c:v>
                </c:pt>
                <c:pt idx="320">
                  <c:v>9.5534147655550715E-4</c:v>
                </c:pt>
                <c:pt idx="321">
                  <c:v>2.0410779956191267E-3</c:v>
                </c:pt>
                <c:pt idx="322">
                  <c:v>2.4883204962203743E-3</c:v>
                </c:pt>
                <c:pt idx="323">
                  <c:v>9.7630909552561278E-4</c:v>
                </c:pt>
                <c:pt idx="324">
                  <c:v>2.5540914521911462E-3</c:v>
                </c:pt>
                <c:pt idx="325">
                  <c:v>1.8295802380650396E-3</c:v>
                </c:pt>
                <c:pt idx="326">
                  <c:v>1.6464522597944965E-3</c:v>
                </c:pt>
                <c:pt idx="327">
                  <c:v>9.4803268816138857E-4</c:v>
                </c:pt>
                <c:pt idx="328">
                  <c:v>1.8193719642662022E-3</c:v>
                </c:pt>
                <c:pt idx="329">
                  <c:v>1.310624333837302E-3</c:v>
                </c:pt>
                <c:pt idx="330">
                  <c:v>1.8193719642662027E-3</c:v>
                </c:pt>
                <c:pt idx="331">
                  <c:v>2.1989282899489786E-3</c:v>
                </c:pt>
                <c:pt idx="332">
                  <c:v>1.6977580213775128E-3</c:v>
                </c:pt>
                <c:pt idx="333">
                  <c:v>1.4784766975129203E-3</c:v>
                </c:pt>
                <c:pt idx="334">
                  <c:v>1.8723981328625998E-3</c:v>
                </c:pt>
                <c:pt idx="335">
                  <c:v>1.8875993431556562E-3</c:v>
                </c:pt>
                <c:pt idx="336">
                  <c:v>1.0847724754613891E-3</c:v>
                </c:pt>
                <c:pt idx="337">
                  <c:v>1.140484080799831E-3</c:v>
                </c:pt>
                <c:pt idx="338">
                  <c:v>1.5648463550034933E-3</c:v>
                </c:pt>
                <c:pt idx="339">
                  <c:v>1.8030649386546872E-3</c:v>
                </c:pt>
                <c:pt idx="340">
                  <c:v>1.5031694372305254E-3</c:v>
                </c:pt>
                <c:pt idx="341">
                  <c:v>7.2365222854873091E-4</c:v>
                </c:pt>
                <c:pt idx="342">
                  <c:v>1.0598676308467231E-3</c:v>
                </c:pt>
                <c:pt idx="343">
                  <c:v>9.1715300281358029E-4</c:v>
                </c:pt>
                <c:pt idx="344">
                  <c:v>1.9543309885507358E-3</c:v>
                </c:pt>
                <c:pt idx="345">
                  <c:v>1.1850536796124893E-3</c:v>
                </c:pt>
                <c:pt idx="346">
                  <c:v>1.2742902152936559E-3</c:v>
                </c:pt>
                <c:pt idx="347">
                  <c:v>1.2768239031645736E-3</c:v>
                </c:pt>
                <c:pt idx="348">
                  <c:v>1.2020967211293049E-3</c:v>
                </c:pt>
                <c:pt idx="349">
                  <c:v>2.0277488169461321E-3</c:v>
                </c:pt>
                <c:pt idx="350">
                  <c:v>1.2440488233245437E-3</c:v>
                </c:pt>
                <c:pt idx="351">
                  <c:v>1.04392504733177E-3</c:v>
                </c:pt>
                <c:pt idx="352">
                  <c:v>1.5436358875649341E-3</c:v>
                </c:pt>
                <c:pt idx="353">
                  <c:v>1.8723981328625998E-3</c:v>
                </c:pt>
                <c:pt idx="354">
                  <c:v>1.0909986866150558E-3</c:v>
                </c:pt>
                <c:pt idx="355">
                  <c:v>1.7649325150980782E-3</c:v>
                </c:pt>
                <c:pt idx="356">
                  <c:v>1.2785761149270046E-3</c:v>
                </c:pt>
                <c:pt idx="357">
                  <c:v>9.5811885998353078E-4</c:v>
                </c:pt>
                <c:pt idx="358">
                  <c:v>2.4357037314437567E-3</c:v>
                </c:pt>
                <c:pt idx="359">
                  <c:v>1.8405824317047612E-3</c:v>
                </c:pt>
                <c:pt idx="360">
                  <c:v>1.0862516733048126E-3</c:v>
                </c:pt>
                <c:pt idx="361">
                  <c:v>1.6460378374220346E-3</c:v>
                </c:pt>
                <c:pt idx="362">
                  <c:v>1.5620270497412689E-3</c:v>
                </c:pt>
                <c:pt idx="363">
                  <c:v>8.6734331358424789E-4</c:v>
                </c:pt>
                <c:pt idx="364">
                  <c:v>1.3303401639525891E-3</c:v>
                </c:pt>
                <c:pt idx="365">
                  <c:v>1.9466347688975572E-3</c:v>
                </c:pt>
                <c:pt idx="366">
                  <c:v>8.7357205634989239E-4</c:v>
                </c:pt>
                <c:pt idx="367">
                  <c:v>1.1798096668380845E-3</c:v>
                </c:pt>
                <c:pt idx="368">
                  <c:v>2.1200031427840529E-3</c:v>
                </c:pt>
                <c:pt idx="369">
                  <c:v>2.243679035563989E-3</c:v>
                </c:pt>
                <c:pt idx="370">
                  <c:v>6.5553370531925518E-4</c:v>
                </c:pt>
                <c:pt idx="371">
                  <c:v>1.1942718660319445E-3</c:v>
                </c:pt>
                <c:pt idx="372">
                  <c:v>6.2228776948625652E-4</c:v>
                </c:pt>
                <c:pt idx="373">
                  <c:v>1.5860568224420524E-3</c:v>
                </c:pt>
                <c:pt idx="374">
                  <c:v>1.3023238984538736E-3</c:v>
                </c:pt>
                <c:pt idx="375">
                  <c:v>8.4817645162206144E-4</c:v>
                </c:pt>
                <c:pt idx="376">
                  <c:v>2.593554025773609E-3</c:v>
                </c:pt>
                <c:pt idx="377">
                  <c:v>1.5033622706204226E-3</c:v>
                </c:pt>
                <c:pt idx="378">
                  <c:v>1.5724082876840096E-3</c:v>
                </c:pt>
                <c:pt idx="379">
                  <c:v>1.7663457956698047E-3</c:v>
                </c:pt>
                <c:pt idx="380">
                  <c:v>1.1305202603757508E-3</c:v>
                </c:pt>
                <c:pt idx="381">
                  <c:v>1.4011091996690202E-3</c:v>
                </c:pt>
                <c:pt idx="382">
                  <c:v>1.2676468808093654E-3</c:v>
                </c:pt>
                <c:pt idx="383">
                  <c:v>1.7385315981535768E-3</c:v>
                </c:pt>
                <c:pt idx="384">
                  <c:v>2.0050757217072918E-3</c:v>
                </c:pt>
                <c:pt idx="385">
                  <c:v>1.5258348576297951E-3</c:v>
                </c:pt>
                <c:pt idx="386">
                  <c:v>9.5811885998353078E-4</c:v>
                </c:pt>
                <c:pt idx="387">
                  <c:v>1.8437651277068115E-3</c:v>
                </c:pt>
                <c:pt idx="388">
                  <c:v>1.5185266575878996E-3</c:v>
                </c:pt>
                <c:pt idx="389">
                  <c:v>1.1057485265590083E-3</c:v>
                </c:pt>
                <c:pt idx="390">
                  <c:v>1.2073407339037098E-3</c:v>
                </c:pt>
                <c:pt idx="391">
                  <c:v>2.1200031427840525E-3</c:v>
                </c:pt>
                <c:pt idx="392">
                  <c:v>2.5646236369980982E-3</c:v>
                </c:pt>
                <c:pt idx="393">
                  <c:v>1.5648303728544126E-3</c:v>
                </c:pt>
                <c:pt idx="394">
                  <c:v>1.6567406242501883E-3</c:v>
                </c:pt>
                <c:pt idx="395">
                  <c:v>1.2742018967773713E-3</c:v>
                </c:pt>
                <c:pt idx="396">
                  <c:v>1.6931472834291221E-3</c:v>
                </c:pt>
                <c:pt idx="397">
                  <c:v>1.6921091596348479E-3</c:v>
                </c:pt>
                <c:pt idx="398">
                  <c:v>1.2630753283569525E-3</c:v>
                </c:pt>
                <c:pt idx="399">
                  <c:v>1.0488944063828138E-3</c:v>
                </c:pt>
                <c:pt idx="400">
                  <c:v>6.0510284620854231E-4</c:v>
                </c:pt>
                <c:pt idx="401">
                  <c:v>1.011052788187923E-3</c:v>
                </c:pt>
                <c:pt idx="402">
                  <c:v>1.2571588552605555E-3</c:v>
                </c:pt>
                <c:pt idx="403">
                  <c:v>2.4225495402496028E-3</c:v>
                </c:pt>
                <c:pt idx="404">
                  <c:v>1.8087667305469227E-3</c:v>
                </c:pt>
                <c:pt idx="405">
                  <c:v>1.9135132525165293E-3</c:v>
                </c:pt>
                <c:pt idx="406">
                  <c:v>2.2396483034804291E-3</c:v>
                </c:pt>
                <c:pt idx="407">
                  <c:v>1.4123183103307859E-3</c:v>
                </c:pt>
                <c:pt idx="408">
                  <c:v>1.1526116206505555E-3</c:v>
                </c:pt>
                <c:pt idx="409">
                  <c:v>9.2351215534744002E-4</c:v>
                </c:pt>
                <c:pt idx="410">
                  <c:v>1.271579890390169E-3</c:v>
                </c:pt>
                <c:pt idx="411">
                  <c:v>1.3382875398180445E-3</c:v>
                </c:pt>
                <c:pt idx="412">
                  <c:v>1.1647077387769553E-3</c:v>
                </c:pt>
                <c:pt idx="413">
                  <c:v>1.8936086003011592E-3</c:v>
                </c:pt>
                <c:pt idx="414">
                  <c:v>9.5090167948762804E-4</c:v>
                </c:pt>
                <c:pt idx="415">
                  <c:v>1.5435047205326236E-3</c:v>
                </c:pt>
                <c:pt idx="416">
                  <c:v>1.2490011487266781E-3</c:v>
                </c:pt>
                <c:pt idx="417">
                  <c:v>1.5512743279097424E-3</c:v>
                </c:pt>
                <c:pt idx="418">
                  <c:v>7.6100949547073008E-4</c:v>
                </c:pt>
                <c:pt idx="419">
                  <c:v>7.5478328431706357E-4</c:v>
                </c:pt>
                <c:pt idx="420">
                  <c:v>1.2335607977757338E-3</c:v>
                </c:pt>
                <c:pt idx="421">
                  <c:v>1.4216083248165558E-3</c:v>
                </c:pt>
                <c:pt idx="422">
                  <c:v>1.4725136229127994E-3</c:v>
                </c:pt>
                <c:pt idx="423">
                  <c:v>2.0516101804260787E-3</c:v>
                </c:pt>
                <c:pt idx="424">
                  <c:v>1.2356361181527491E-3</c:v>
                </c:pt>
                <c:pt idx="425">
                  <c:v>2.054232186813281E-3</c:v>
                </c:pt>
                <c:pt idx="426">
                  <c:v>2.4883204962203747E-3</c:v>
                </c:pt>
                <c:pt idx="427">
                  <c:v>6.5665761604168484E-4</c:v>
                </c:pt>
                <c:pt idx="428">
                  <c:v>2.5540914521911462E-3</c:v>
                </c:pt>
                <c:pt idx="429">
                  <c:v>1.9070465550648078E-3</c:v>
                </c:pt>
                <c:pt idx="430">
                  <c:v>1.2676468808093652E-3</c:v>
                </c:pt>
                <c:pt idx="431">
                  <c:v>2.3390284165108999E-3</c:v>
                </c:pt>
                <c:pt idx="432">
                  <c:v>1.8087667305469227E-3</c:v>
                </c:pt>
                <c:pt idx="433">
                  <c:v>1.6224685001736678E-3</c:v>
                </c:pt>
                <c:pt idx="434">
                  <c:v>2.1989282899489786E-3</c:v>
                </c:pt>
                <c:pt idx="435">
                  <c:v>6.5553370531925507E-4</c:v>
                </c:pt>
                <c:pt idx="436">
                  <c:v>1.2440488233245435E-3</c:v>
                </c:pt>
                <c:pt idx="437">
                  <c:v>5.7484433074211515E-4</c:v>
                </c:pt>
                <c:pt idx="438">
                  <c:v>1.5330306538456546E-3</c:v>
                </c:pt>
                <c:pt idx="439">
                  <c:v>2.2966074816337819E-3</c:v>
                </c:pt>
                <c:pt idx="440">
                  <c:v>8.8054385678921262E-4</c:v>
                </c:pt>
                <c:pt idx="441">
                  <c:v>2.1200031427840529E-3</c:v>
                </c:pt>
                <c:pt idx="442">
                  <c:v>1.3817380765135169E-3</c:v>
                </c:pt>
                <c:pt idx="443">
                  <c:v>1.6069896862120335E-3</c:v>
                </c:pt>
                <c:pt idx="444">
                  <c:v>1.2610918648413593E-3</c:v>
                </c:pt>
                <c:pt idx="445">
                  <c:v>1.2256947786141268E-3</c:v>
                </c:pt>
                <c:pt idx="446">
                  <c:v>8.9798614085139341E-4</c:v>
                </c:pt>
                <c:pt idx="447">
                  <c:v>1.4242744904619006E-3</c:v>
                </c:pt>
                <c:pt idx="448">
                  <c:v>1.2492928360989485E-3</c:v>
                </c:pt>
                <c:pt idx="449">
                  <c:v>1.3013437680569743E-3</c:v>
                </c:pt>
                <c:pt idx="450">
                  <c:v>2.4093953490554485E-3</c:v>
                </c:pt>
                <c:pt idx="451">
                  <c:v>1.0900249203633077E-3</c:v>
                </c:pt>
                <c:pt idx="452">
                  <c:v>1.6184387846918859E-3</c:v>
                </c:pt>
                <c:pt idx="453">
                  <c:v>1.75335263309265E-3</c:v>
                </c:pt>
                <c:pt idx="454">
                  <c:v>1.7061238308575468E-3</c:v>
                </c:pt>
                <c:pt idx="455">
                  <c:v>9.3534340777339268E-4</c:v>
                </c:pt>
                <c:pt idx="456">
                  <c:v>9.9137930815639116E-4</c:v>
                </c:pt>
                <c:pt idx="457">
                  <c:v>1.8936086003011588E-3</c:v>
                </c:pt>
                <c:pt idx="458">
                  <c:v>9.1634861768932416E-4</c:v>
                </c:pt>
                <c:pt idx="459">
                  <c:v>1.2728908935837702E-3</c:v>
                </c:pt>
                <c:pt idx="460">
                  <c:v>1.4972193147829342E-3</c:v>
                </c:pt>
                <c:pt idx="461">
                  <c:v>8.9798614085139341E-4</c:v>
                </c:pt>
                <c:pt idx="462">
                  <c:v>8.099406540342149E-4</c:v>
                </c:pt>
                <c:pt idx="463">
                  <c:v>9.7752473838685623E-4</c:v>
                </c:pt>
                <c:pt idx="464">
                  <c:v>2.2239698284018286E-3</c:v>
                </c:pt>
                <c:pt idx="465">
                  <c:v>1.4942765172564227E-3</c:v>
                </c:pt>
                <c:pt idx="466">
                  <c:v>1.7631369111386723E-3</c:v>
                </c:pt>
                <c:pt idx="467">
                  <c:v>1.5754515887227729E-3</c:v>
                </c:pt>
                <c:pt idx="468">
                  <c:v>1.9052519578147129E-3</c:v>
                </c:pt>
                <c:pt idx="469">
                  <c:v>8.4082632974596526E-4</c:v>
                </c:pt>
                <c:pt idx="470">
                  <c:v>1.5860568224420521E-3</c:v>
                </c:pt>
                <c:pt idx="471">
                  <c:v>1.2452032280777542E-3</c:v>
                </c:pt>
                <c:pt idx="472">
                  <c:v>1.6602934584770096E-3</c:v>
                </c:pt>
                <c:pt idx="473">
                  <c:v>1.6708986921962884E-3</c:v>
                </c:pt>
                <c:pt idx="474">
                  <c:v>1.4747215011871222E-3</c:v>
                </c:pt>
                <c:pt idx="475">
                  <c:v>2.1068489515898982E-3</c:v>
                </c:pt>
                <c:pt idx="476">
                  <c:v>2.0147696132308181E-3</c:v>
                </c:pt>
                <c:pt idx="477">
                  <c:v>2.4692495824369096E-3</c:v>
                </c:pt>
                <c:pt idx="478">
                  <c:v>2.4620121138320657E-3</c:v>
                </c:pt>
                <c:pt idx="479">
                  <c:v>1.1916086955804951E-3</c:v>
                </c:pt>
                <c:pt idx="480">
                  <c:v>1.6176485278233518E-3</c:v>
                </c:pt>
                <c:pt idx="481">
                  <c:v>2.1686868979798666E-3</c:v>
                </c:pt>
                <c:pt idx="482">
                  <c:v>1.5356970336753983E-3</c:v>
                </c:pt>
                <c:pt idx="483">
                  <c:v>1.1702235343691221E-3</c:v>
                </c:pt>
                <c:pt idx="484">
                  <c:v>1.7663457956698047E-3</c:v>
                </c:pt>
                <c:pt idx="485">
                  <c:v>8.6722488454391673E-4</c:v>
                </c:pt>
                <c:pt idx="486">
                  <c:v>2.0227681101668521E-3</c:v>
                </c:pt>
                <c:pt idx="487">
                  <c:v>2.4488579226379114E-3</c:v>
                </c:pt>
                <c:pt idx="488">
                  <c:v>8.3572402931472831E-4</c:v>
                </c:pt>
                <c:pt idx="489">
                  <c:v>1.6690912774087389E-3</c:v>
                </c:pt>
                <c:pt idx="490">
                  <c:v>7.9836676239272925E-4</c:v>
                </c:pt>
                <c:pt idx="491">
                  <c:v>7.9214055123906274E-4</c:v>
                </c:pt>
                <c:pt idx="492">
                  <c:v>1.0100579416173908E-3</c:v>
                </c:pt>
                <c:pt idx="493">
                  <c:v>1.5162655103046967E-3</c:v>
                </c:pt>
                <c:pt idx="494">
                  <c:v>2.0424185661616838E-3</c:v>
                </c:pt>
                <c:pt idx="495">
                  <c:v>1.122129742383388E-3</c:v>
                </c:pt>
                <c:pt idx="496">
                  <c:v>1.9360295351782773E-3</c:v>
                </c:pt>
                <c:pt idx="497">
                  <c:v>1.4523412792685141E-3</c:v>
                </c:pt>
                <c:pt idx="498">
                  <c:v>1.2464233015976179E-3</c:v>
                </c:pt>
                <c:pt idx="499">
                  <c:v>1.0998511202196814E-3</c:v>
                </c:pt>
                <c:pt idx="500">
                  <c:v>1.1719436476764771E-3</c:v>
                </c:pt>
                <c:pt idx="501">
                  <c:v>1.2755128999709724E-3</c:v>
                </c:pt>
                <c:pt idx="502">
                  <c:v>2.2753970141952229E-3</c:v>
                </c:pt>
                <c:pt idx="503">
                  <c:v>6.958783926078253E-4</c:v>
                </c:pt>
                <c:pt idx="504">
                  <c:v>9.2786034451710329E-4</c:v>
                </c:pt>
                <c:pt idx="505">
                  <c:v>1.2808763582920915E-3</c:v>
                </c:pt>
                <c:pt idx="506">
                  <c:v>2.5167684322637777E-3</c:v>
                </c:pt>
                <c:pt idx="507">
                  <c:v>1.837248913632654E-3</c:v>
                </c:pt>
                <c:pt idx="508">
                  <c:v>2.402659818826577E-3</c:v>
                </c:pt>
                <c:pt idx="509">
                  <c:v>1.6388511961817429E-3</c:v>
                </c:pt>
                <c:pt idx="510">
                  <c:v>1.2479818329053471E-3</c:v>
                </c:pt>
                <c:pt idx="511">
                  <c:v>1.2388048105501385E-3</c:v>
                </c:pt>
                <c:pt idx="512">
                  <c:v>1.3882559401891003E-3</c:v>
                </c:pt>
                <c:pt idx="513">
                  <c:v>1.2597808616477582E-3</c:v>
                </c:pt>
                <c:pt idx="514">
                  <c:v>1.233560797775734E-3</c:v>
                </c:pt>
                <c:pt idx="515">
                  <c:v>9.3534340777339268E-4</c:v>
                </c:pt>
                <c:pt idx="516">
                  <c:v>1.4098092960741454E-3</c:v>
                </c:pt>
                <c:pt idx="517">
                  <c:v>1.2492928360989485E-3</c:v>
                </c:pt>
                <c:pt idx="518">
                  <c:v>1.3220351735983966E-3</c:v>
                </c:pt>
                <c:pt idx="519">
                  <c:v>2.4883204962203747E-3</c:v>
                </c:pt>
                <c:pt idx="520">
                  <c:v>1.135248206446914E-3</c:v>
                </c:pt>
                <c:pt idx="521">
                  <c:v>1.6046753591909516E-3</c:v>
                </c:pt>
                <c:pt idx="522">
                  <c:v>1.7337164748428174E-3</c:v>
                </c:pt>
                <c:pt idx="523">
                  <c:v>1.8489555772127539E-3</c:v>
                </c:pt>
                <c:pt idx="524">
                  <c:v>9.3534340777339268E-4</c:v>
                </c:pt>
                <c:pt idx="525">
                  <c:v>9.9137930815639138E-4</c:v>
                </c:pt>
                <c:pt idx="526">
                  <c:v>1.9042138340204387E-3</c:v>
                </c:pt>
                <c:pt idx="527">
                  <c:v>9.0881140334205641E-4</c:v>
                </c:pt>
                <c:pt idx="528">
                  <c:v>1.1404927274745102E-3</c:v>
                </c:pt>
                <c:pt idx="529">
                  <c:v>1.1784986636444832E-3</c:v>
                </c:pt>
                <c:pt idx="530">
                  <c:v>8.9175992969772679E-4</c:v>
                </c:pt>
                <c:pt idx="531">
                  <c:v>8.2054588775349463E-4</c:v>
                </c:pt>
                <c:pt idx="532">
                  <c:v>1.0638181823534759E-3</c:v>
                </c:pt>
                <c:pt idx="533">
                  <c:v>2.2095046340140732E-3</c:v>
                </c:pt>
                <c:pt idx="534">
                  <c:v>8.5440266277572795E-4</c:v>
                </c:pt>
                <c:pt idx="535">
                  <c:v>1.6146903359941247E-3</c:v>
                </c:pt>
                <c:pt idx="536">
                  <c:v>1.4321689356242293E-3</c:v>
                </c:pt>
                <c:pt idx="537">
                  <c:v>1.5516921638093388E-3</c:v>
                </c:pt>
                <c:pt idx="538">
                  <c:v>1.0127022142713395E-3</c:v>
                </c:pt>
                <c:pt idx="539">
                  <c:v>1.9996609374939543E-3</c:v>
                </c:pt>
                <c:pt idx="540">
                  <c:v>1.5330306538456546E-3</c:v>
                </c:pt>
                <c:pt idx="541">
                  <c:v>1.0626036807927695E-3</c:v>
                </c:pt>
                <c:pt idx="542">
                  <c:v>1.2676468808093654E-3</c:v>
                </c:pt>
                <c:pt idx="543">
                  <c:v>1.2715798903901688E-3</c:v>
                </c:pt>
                <c:pt idx="544">
                  <c:v>2.356778584278831E-3</c:v>
                </c:pt>
                <c:pt idx="545">
                  <c:v>2.0279238044249724E-3</c:v>
                </c:pt>
                <c:pt idx="546">
                  <c:v>2.0147696132308181E-3</c:v>
                </c:pt>
                <c:pt idx="547">
                  <c:v>2.4667006249620349E-3</c:v>
                </c:pt>
                <c:pt idx="548">
                  <c:v>2.4488579226379114E-3</c:v>
                </c:pt>
                <c:pt idx="549">
                  <c:v>1.1916086955804951E-3</c:v>
                </c:pt>
                <c:pt idx="550">
                  <c:v>1.8028794059126866E-3</c:v>
                </c:pt>
                <c:pt idx="551">
                  <c:v>9.6024825238805872E-4</c:v>
                </c:pt>
                <c:pt idx="552">
                  <c:v>2.1200031427840525E-3</c:v>
                </c:pt>
                <c:pt idx="553">
                  <c:v>1.0949770763238628E-3</c:v>
                </c:pt>
                <c:pt idx="554">
                  <c:v>1.8299771979854815E-3</c:v>
                </c:pt>
                <c:pt idx="555">
                  <c:v>9.6098785130977057E-4</c:v>
                </c:pt>
                <c:pt idx="556">
                  <c:v>2.0214571069732505E-3</c:v>
                </c:pt>
                <c:pt idx="557">
                  <c:v>2.4488579226379114E-3</c:v>
                </c:pt>
                <c:pt idx="558">
                  <c:v>8.0222672306120516E-4</c:v>
                </c:pt>
                <c:pt idx="559">
                  <c:v>2.4225936995077449E-3</c:v>
                </c:pt>
                <c:pt idx="560">
                  <c:v>7.9214055123906263E-4</c:v>
                </c:pt>
                <c:pt idx="561">
                  <c:v>7.8591434008539623E-4</c:v>
                </c:pt>
                <c:pt idx="562">
                  <c:v>1.2401158137437399E-3</c:v>
                </c:pt>
                <c:pt idx="563">
                  <c:v>1.421608324816556E-3</c:v>
                </c:pt>
                <c:pt idx="564">
                  <c:v>1.4725136229127994E-3</c:v>
                </c:pt>
                <c:pt idx="565">
                  <c:v>2.1200031427840525E-3</c:v>
                </c:pt>
                <c:pt idx="566">
                  <c:v>1.1159035312297216E-3</c:v>
                </c:pt>
                <c:pt idx="567">
                  <c:v>2.0102661712132343E-3</c:v>
                </c:pt>
                <c:pt idx="568">
                  <c:v>1.5238729477404294E-3</c:v>
                </c:pt>
                <c:pt idx="569">
                  <c:v>6.7060374853230339E-4</c:v>
                </c:pt>
                <c:pt idx="570">
                  <c:v>9.5041783646792808E-4</c:v>
                </c:pt>
                <c:pt idx="571">
                  <c:v>1.424186171945616E-3</c:v>
                </c:pt>
                <c:pt idx="572">
                  <c:v>1.1929698032190487E-3</c:v>
                </c:pt>
                <c:pt idx="573">
                  <c:v>7.7656776718496544E-4</c:v>
                </c:pt>
                <c:pt idx="574">
                  <c:v>6.353613616749699E-4</c:v>
                </c:pt>
                <c:pt idx="575">
                  <c:v>2.4225495402496024E-3</c:v>
                </c:pt>
                <c:pt idx="576">
                  <c:v>1.8617928991433205E-3</c:v>
                </c:pt>
                <c:pt idx="577">
                  <c:v>6.6561987714139771E-4</c:v>
                </c:pt>
                <c:pt idx="578">
                  <c:v>1.2440488233245435E-3</c:v>
                </c:pt>
                <c:pt idx="579">
                  <c:v>2.4026598188265774E-3</c:v>
                </c:pt>
                <c:pt idx="580">
                  <c:v>2.3567785842788305E-3</c:v>
                </c:pt>
                <c:pt idx="581">
                  <c:v>1.5860568224420524E-3</c:v>
                </c:pt>
                <c:pt idx="582">
                  <c:v>1.2388048105501388E-3</c:v>
                </c:pt>
                <c:pt idx="583">
                  <c:v>2.1068489515898982E-3</c:v>
                </c:pt>
                <c:pt idx="584">
                  <c:v>1.3843959795206244E-3</c:v>
                </c:pt>
                <c:pt idx="585">
                  <c:v>1.2597808616477582E-3</c:v>
                </c:pt>
                <c:pt idx="586">
                  <c:v>1.2243837754205256E-3</c:v>
                </c:pt>
                <c:pt idx="587">
                  <c:v>8.9798614085139341E-4</c:v>
                </c:pt>
                <c:pt idx="588">
                  <c:v>1.3138411073924034E-3</c:v>
                </c:pt>
                <c:pt idx="589">
                  <c:v>1.2492928360989485E-3</c:v>
                </c:pt>
                <c:pt idx="590">
                  <c:v>1.3220351735983966E-3</c:v>
                </c:pt>
                <c:pt idx="591">
                  <c:v>2.3962411578612938E-3</c:v>
                </c:pt>
                <c:pt idx="592">
                  <c:v>1.0389042279403743E-3</c:v>
                </c:pt>
                <c:pt idx="593">
                  <c:v>1.4598355204009969E-3</c:v>
                </c:pt>
                <c:pt idx="594">
                  <c:v>1.7337164748428174E-3</c:v>
                </c:pt>
                <c:pt idx="595">
                  <c:v>1.7374204701182494E-3</c:v>
                </c:pt>
                <c:pt idx="596">
                  <c:v>1.0228801633855797E-3</c:v>
                </c:pt>
                <c:pt idx="597">
                  <c:v>1.2125847466781148E-3</c:v>
                </c:pt>
                <c:pt idx="598">
                  <c:v>1.0536414196930565E-3</c:v>
                </c:pt>
                <c:pt idx="599">
                  <c:v>1.5913018071469613E-3</c:v>
                </c:pt>
                <c:pt idx="600">
                  <c:v>1.5086408245297968E-3</c:v>
                </c:pt>
                <c:pt idx="601">
                  <c:v>9.9760551931005778E-4</c:v>
                </c:pt>
                <c:pt idx="602">
                  <c:v>1.1094114373156687E-3</c:v>
                </c:pt>
                <c:pt idx="603">
                  <c:v>1.0420227745631919E-3</c:v>
                </c:pt>
                <c:pt idx="604">
                  <c:v>1.1105793379023586E-3</c:v>
                </c:pt>
                <c:pt idx="605">
                  <c:v>1.6749927303940921E-3</c:v>
                </c:pt>
                <c:pt idx="606">
                  <c:v>1.8088987447871295E-3</c:v>
                </c:pt>
                <c:pt idx="607">
                  <c:v>1.6496882247577296E-3</c:v>
                </c:pt>
                <c:pt idx="608">
                  <c:v>5.5467198709782998E-4</c:v>
                </c:pt>
                <c:pt idx="609">
                  <c:v>1.2361828041629365E-3</c:v>
                </c:pt>
                <c:pt idx="610">
                  <c:v>2.0738975735289109E-3</c:v>
                </c:pt>
                <c:pt idx="611">
                  <c:v>1.5330306538456546E-3</c:v>
                </c:pt>
                <c:pt idx="612">
                  <c:v>1.1462804757364805E-3</c:v>
                </c:pt>
                <c:pt idx="613">
                  <c:v>1.259780861647758E-3</c:v>
                </c:pt>
                <c:pt idx="614">
                  <c:v>2.4488579226379114E-3</c:v>
                </c:pt>
                <c:pt idx="615">
                  <c:v>2.2778534371139048E-3</c:v>
                </c:pt>
                <c:pt idx="616">
                  <c:v>2.0147696132308181E-3</c:v>
                </c:pt>
                <c:pt idx="617">
                  <c:v>1.9226902748717377E-3</c:v>
                </c:pt>
                <c:pt idx="618">
                  <c:v>1.7032334552512646E-3</c:v>
                </c:pt>
                <c:pt idx="619">
                  <c:v>2.3699327754729852E-3</c:v>
                </c:pt>
                <c:pt idx="620">
                  <c:v>1.1388481951496211E-3</c:v>
                </c:pt>
                <c:pt idx="621">
                  <c:v>9.1429852382720245E-4</c:v>
                </c:pt>
                <c:pt idx="622">
                  <c:v>1.2702688871965677E-3</c:v>
                </c:pt>
                <c:pt idx="623">
                  <c:v>1.3522336723086629E-3</c:v>
                </c:pt>
                <c:pt idx="624">
                  <c:v>1.1786538712675741E-3</c:v>
                </c:pt>
                <c:pt idx="625">
                  <c:v>1.8299771979854815E-3</c:v>
                </c:pt>
                <c:pt idx="626">
                  <c:v>9.6484781197824659E-4</c:v>
                </c:pt>
                <c:pt idx="627">
                  <c:v>1.5238685622827909E-3</c:v>
                </c:pt>
                <c:pt idx="628">
                  <c:v>1.2220835320315895E-3</c:v>
                </c:pt>
                <c:pt idx="629">
                  <c:v>1.5084784056490538E-3</c:v>
                </c:pt>
                <c:pt idx="630">
                  <c:v>7.5478328431706357E-4</c:v>
                </c:pt>
                <c:pt idx="631">
                  <c:v>7.4855707316339695E-4</c:v>
                </c:pt>
                <c:pt idx="632">
                  <c:v>1.2322497945821327E-3</c:v>
                </c:pt>
                <c:pt idx="633">
                  <c:v>1.3111749417470588E-3</c:v>
                </c:pt>
                <c:pt idx="634">
                  <c:v>5.5554452739973493E-4</c:v>
                </c:pt>
                <c:pt idx="635">
                  <c:v>2.0358339828447218E-3</c:v>
                </c:pt>
                <c:pt idx="636">
                  <c:v>1.2669327574134507E-3</c:v>
                </c:pt>
                <c:pt idx="637">
                  <c:v>2.0420818723710724E-3</c:v>
                </c:pt>
                <c:pt idx="638">
                  <c:v>1.6921091596348479E-3</c:v>
                </c:pt>
                <c:pt idx="639">
                  <c:v>6.7060374853230339E-4</c:v>
                </c:pt>
                <c:pt idx="640">
                  <c:v>2.5409372609969914E-3</c:v>
                </c:pt>
                <c:pt idx="641">
                  <c:v>1.8834043383218436E-3</c:v>
                </c:pt>
                <c:pt idx="642">
                  <c:v>1.2584698584541568E-3</c:v>
                </c:pt>
                <c:pt idx="643">
                  <c:v>2.3233252678418709E-3</c:v>
                </c:pt>
                <c:pt idx="644">
                  <c:v>1.8193719642662022E-3</c:v>
                </c:pt>
                <c:pt idx="645">
                  <c:v>1.6067653515046383E-3</c:v>
                </c:pt>
                <c:pt idx="646">
                  <c:v>1.9360295351782775E-3</c:v>
                </c:pt>
                <c:pt idx="647">
                  <c:v>8.4227541708919106E-4</c:v>
                </c:pt>
                <c:pt idx="648">
                  <c:v>1.1889866891932927E-3</c:v>
                </c:pt>
                <c:pt idx="649">
                  <c:v>2.2252366723372876E-3</c:v>
                </c:pt>
                <c:pt idx="650">
                  <c:v>2.2594552331453455E-3</c:v>
                </c:pt>
                <c:pt idx="651">
                  <c:v>6.4544753349711265E-4</c:v>
                </c:pt>
                <c:pt idx="652">
                  <c:v>1.0902400204542638E-3</c:v>
                </c:pt>
                <c:pt idx="653">
                  <c:v>1.3918242483356592E-3</c:v>
                </c:pt>
                <c:pt idx="654">
                  <c:v>2.402659818826577E-3</c:v>
                </c:pt>
                <c:pt idx="655">
                  <c:v>2.3002729691795521E-3</c:v>
                </c:pt>
                <c:pt idx="656">
                  <c:v>9.1740437323410489E-4</c:v>
                </c:pt>
                <c:pt idx="657">
                  <c:v>2.2279469972407745E-3</c:v>
                </c:pt>
                <c:pt idx="658">
                  <c:v>1.3272257925697663E-3</c:v>
                </c:pt>
                <c:pt idx="659">
                  <c:v>1.5411116484233081E-3</c:v>
                </c:pt>
                <c:pt idx="660">
                  <c:v>1.7557405619505252E-3</c:v>
                </c:pt>
                <c:pt idx="661">
                  <c:v>1.0509591820025274E-3</c:v>
                </c:pt>
                <c:pt idx="662">
                  <c:v>1.4207453579188529E-3</c:v>
                </c:pt>
                <c:pt idx="663">
                  <c:v>1.2689578840029666E-3</c:v>
                </c:pt>
                <c:pt idx="664">
                  <c:v>1.7516857893477311E-3</c:v>
                </c:pt>
                <c:pt idx="665">
                  <c:v>2.0233278278511957E-3</c:v>
                </c:pt>
                <c:pt idx="666">
                  <c:v>1.4945382183690935E-3</c:v>
                </c:pt>
                <c:pt idx="667">
                  <c:v>9.4803268816138824E-4</c:v>
                </c:pt>
                <c:pt idx="668">
                  <c:v>1.856919318900966E-3</c:v>
                </c:pt>
                <c:pt idx="669">
                  <c:v>1.5650804325328207E-3</c:v>
                </c:pt>
                <c:pt idx="670">
                  <c:v>1.7216210344111879E-3</c:v>
                </c:pt>
                <c:pt idx="671">
                  <c:v>9.6921051348777181E-4</c:v>
                </c:pt>
                <c:pt idx="672">
                  <c:v>2.1331573339782072E-3</c:v>
                </c:pt>
                <c:pt idx="673">
                  <c:v>2.5803998345794547E-3</c:v>
                </c:pt>
                <c:pt idx="674">
                  <c:v>1.3925912670784885E-3</c:v>
                </c:pt>
                <c:pt idx="675">
                  <c:v>1.208651737097311E-3</c:v>
                </c:pt>
                <c:pt idx="676">
                  <c:v>6.6761632816573233E-4</c:v>
                </c:pt>
                <c:pt idx="677">
                  <c:v>8.0689460724677224E-4</c:v>
                </c:pt>
                <c:pt idx="678">
                  <c:v>1.7239248607926862E-3</c:v>
                </c:pt>
                <c:pt idx="679">
                  <c:v>6.2527518985282748E-4</c:v>
                </c:pt>
                <c:pt idx="680">
                  <c:v>1.2361828041629365E-3</c:v>
                </c:pt>
                <c:pt idx="681">
                  <c:v>2.0738975735289109E-3</c:v>
                </c:pt>
                <c:pt idx="682">
                  <c:v>5.9501667438640021E-4</c:v>
                </c:pt>
                <c:pt idx="683">
                  <c:v>9.8745894676685814E-4</c:v>
                </c:pt>
                <c:pt idx="684">
                  <c:v>2.3173160106963677E-3</c:v>
                </c:pt>
                <c:pt idx="685">
                  <c:v>2.4488579226379114E-3</c:v>
                </c:pt>
                <c:pt idx="686">
                  <c:v>2.2646992459197505E-3</c:v>
                </c:pt>
                <c:pt idx="687">
                  <c:v>1.9292894500978859E-3</c:v>
                </c:pt>
                <c:pt idx="688">
                  <c:v>5.4458581527568745E-4</c:v>
                </c:pt>
                <c:pt idx="689">
                  <c:v>9.2140760597492005E-4</c:v>
                </c:pt>
                <c:pt idx="690">
                  <c:v>1.6211490649002502E-3</c:v>
                </c:pt>
                <c:pt idx="691">
                  <c:v>1.233750297088578E-3</c:v>
                </c:pt>
                <c:pt idx="692">
                  <c:v>2.4620121138320657E-3</c:v>
                </c:pt>
                <c:pt idx="693">
                  <c:v>7.4233086200973055E-4</c:v>
                </c:pt>
                <c:pt idx="694">
                  <c:v>1.122129742383388E-3</c:v>
                </c:pt>
                <c:pt idx="695">
                  <c:v>7.8777784972953731E-4</c:v>
                </c:pt>
                <c:pt idx="696">
                  <c:v>1.22962778819493E-3</c:v>
                </c:pt>
                <c:pt idx="697">
                  <c:v>1.1398346095926398E-3</c:v>
                </c:pt>
                <c:pt idx="698">
                  <c:v>1.3655720855742476E-3</c:v>
                </c:pt>
                <c:pt idx="699">
                  <c:v>1.0024564493207701E-3</c:v>
                </c:pt>
                <c:pt idx="700">
                  <c:v>2.2032073972591678E-3</c:v>
                </c:pt>
                <c:pt idx="701">
                  <c:v>1.4886045417240477E-3</c:v>
                </c:pt>
                <c:pt idx="702">
                  <c:v>9.2088854407778253E-4</c:v>
                </c:pt>
                <c:pt idx="703">
                  <c:v>1.3427273369097724E-3</c:v>
                </c:pt>
                <c:pt idx="704">
                  <c:v>5.8107054189578155E-4</c:v>
                </c:pt>
                <c:pt idx="705">
                  <c:v>1.2781349063581751E-3</c:v>
                </c:pt>
                <c:pt idx="706">
                  <c:v>9.4405429845258095E-4</c:v>
                </c:pt>
                <c:pt idx="707">
                  <c:v>2.0845028072481904E-3</c:v>
                </c:pt>
                <c:pt idx="708">
                  <c:v>1.6708986921962887E-3</c:v>
                </c:pt>
                <c:pt idx="709">
                  <c:v>7.2638827849477749E-4</c:v>
                </c:pt>
                <c:pt idx="710">
                  <c:v>2.4883204962203747E-3</c:v>
                </c:pt>
                <c:pt idx="711">
                  <c:v>1.80452335041506E-3</c:v>
                </c:pt>
                <c:pt idx="712">
                  <c:v>2.3436243930846767E-3</c:v>
                </c:pt>
                <c:pt idx="713">
                  <c:v>1.4474457264177423E-3</c:v>
                </c:pt>
                <c:pt idx="714">
                  <c:v>8.3708479811782062E-4</c:v>
                </c:pt>
                <c:pt idx="715">
                  <c:v>1.2051536069097822E-3</c:v>
                </c:pt>
                <c:pt idx="716">
                  <c:v>1.9784504700553957E-3</c:v>
                </c:pt>
                <c:pt idx="717">
                  <c:v>7.5899073302636549E-4</c:v>
                </c:pt>
                <c:pt idx="718">
                  <c:v>1.1837426764188879E-3</c:v>
                </c:pt>
                <c:pt idx="719">
                  <c:v>2.1594657163665158E-3</c:v>
                </c:pt>
                <c:pt idx="720">
                  <c:v>1.6827321373749093E-3</c:v>
                </c:pt>
                <c:pt idx="721">
                  <c:v>1.0474152085393899E-3</c:v>
                </c:pt>
                <c:pt idx="722">
                  <c:v>1.1447865961354644E-3</c:v>
                </c:pt>
                <c:pt idx="723">
                  <c:v>5.8667558316806759E-4</c:v>
                </c:pt>
                <c:pt idx="724">
                  <c:v>2.4450807537036955E-3</c:v>
                </c:pt>
                <c:pt idx="725">
                  <c:v>2.2371681788541254E-3</c:v>
                </c:pt>
                <c:pt idx="726">
                  <c:v>8.8951210825286768E-4</c:v>
                </c:pt>
                <c:pt idx="727">
                  <c:v>2.1648422069153474E-3</c:v>
                </c:pt>
                <c:pt idx="728">
                  <c:v>1.452412349612573E-3</c:v>
                </c:pt>
                <c:pt idx="729">
                  <c:v>1.5873730583011881E-3</c:v>
                </c:pt>
                <c:pt idx="730">
                  <c:v>6.252751898528278E-4</c:v>
                </c:pt>
                <c:pt idx="731">
                  <c:v>1.088930407572104E-3</c:v>
                </c:pt>
                <c:pt idx="732">
                  <c:v>2.2997218530166038E-3</c:v>
                </c:pt>
                <c:pt idx="733">
                  <c:v>1.2097891430996634E-3</c:v>
                </c:pt>
                <c:pt idx="734">
                  <c:v>1.6913661019611721E-3</c:v>
                </c:pt>
                <c:pt idx="735">
                  <c:v>1.5671080106352828E-3</c:v>
                </c:pt>
                <c:pt idx="736">
                  <c:v>9.8515309700272476E-4</c:v>
                </c:pt>
                <c:pt idx="737">
                  <c:v>1.8688452986357789E-3</c:v>
                </c:pt>
                <c:pt idx="738">
                  <c:v>7.7689662249856789E-4</c:v>
                </c:pt>
                <c:pt idx="739">
                  <c:v>9.6647446354172523E-4</c:v>
                </c:pt>
                <c:pt idx="740">
                  <c:v>1.2525844323368553E-3</c:v>
                </c:pt>
                <c:pt idx="741">
                  <c:v>2.5277830698028371E-3</c:v>
                </c:pt>
                <c:pt idx="742">
                  <c:v>1.0175993720284156E-3</c:v>
                </c:pt>
                <c:pt idx="743">
                  <c:v>1.0354100200867275E-3</c:v>
                </c:pt>
                <c:pt idx="744">
                  <c:v>6.4271148355106629E-4</c:v>
                </c:pt>
                <c:pt idx="745">
                  <c:v>1.6859148333769594E-3</c:v>
                </c:pt>
                <c:pt idx="746">
                  <c:v>9.1777417269496087E-4</c:v>
                </c:pt>
                <c:pt idx="747">
                  <c:v>1.7875562631083635E-3</c:v>
                </c:pt>
                <c:pt idx="748">
                  <c:v>1.3569652461390574E-3</c:v>
                </c:pt>
                <c:pt idx="749">
                  <c:v>1.0791529218492409E-3</c:v>
                </c:pt>
                <c:pt idx="750">
                  <c:v>6.353613616749699E-4</c:v>
                </c:pt>
                <c:pt idx="751">
                  <c:v>9.2617903360945469E-4</c:v>
                </c:pt>
                <c:pt idx="752">
                  <c:v>2.2646992459197505E-3</c:v>
                </c:pt>
                <c:pt idx="753">
                  <c:v>2.3830869666671395E-3</c:v>
                </c:pt>
                <c:pt idx="754">
                  <c:v>1.8405824317047612E-3</c:v>
                </c:pt>
                <c:pt idx="755">
                  <c:v>1.9347087891627434E-3</c:v>
                </c:pt>
                <c:pt idx="756">
                  <c:v>1.1034511089223886E-3</c:v>
                </c:pt>
                <c:pt idx="757">
                  <c:v>1.0465941630177266E-3</c:v>
                </c:pt>
                <c:pt idx="758">
                  <c:v>1.5330306538456546E-3</c:v>
                </c:pt>
                <c:pt idx="759">
                  <c:v>1.8285128857811193E-3</c:v>
                </c:pt>
                <c:pt idx="760">
                  <c:v>6.9874738393406498E-4</c:v>
                </c:pt>
                <c:pt idx="761">
                  <c:v>1.33594014200092E-3</c:v>
                </c:pt>
                <c:pt idx="762">
                  <c:v>1.0785462643077225E-3</c:v>
                </c:pt>
                <c:pt idx="763">
                  <c:v>8.7531460534172475E-4</c:v>
                </c:pt>
                <c:pt idx="764">
                  <c:v>2.0016595812948059E-3</c:v>
                </c:pt>
                <c:pt idx="765">
                  <c:v>7.2365222854873102E-4</c:v>
                </c:pt>
                <c:pt idx="766">
                  <c:v>2.593554025773609E-3</c:v>
                </c:pt>
                <c:pt idx="767">
                  <c:v>1.0498093768198081E-3</c:v>
                </c:pt>
                <c:pt idx="768">
                  <c:v>1.950563268298114E-3</c:v>
                </c:pt>
                <c:pt idx="769">
                  <c:v>1.1771960925783958E-3</c:v>
                </c:pt>
                <c:pt idx="770">
                  <c:v>1.0926427106867532E-3</c:v>
                </c:pt>
                <c:pt idx="771">
                  <c:v>1.9637790364119131E-3</c:v>
                </c:pt>
                <c:pt idx="772">
                  <c:v>1.122129742383388E-3</c:v>
                </c:pt>
                <c:pt idx="773">
                  <c:v>1.766253261113612E-3</c:v>
                </c:pt>
                <c:pt idx="774">
                  <c:v>1.0416772258869107E-3</c:v>
                </c:pt>
                <c:pt idx="775">
                  <c:v>2.0951080409674708E-3</c:v>
                </c:pt>
                <c:pt idx="776">
                  <c:v>1.7345300945119657E-3</c:v>
                </c:pt>
                <c:pt idx="777">
                  <c:v>9.9301911616433199E-4</c:v>
                </c:pt>
                <c:pt idx="778">
                  <c:v>2.4093953490554481E-3</c:v>
                </c:pt>
                <c:pt idx="779">
                  <c:v>2.1799499107217064E-3</c:v>
                </c:pt>
                <c:pt idx="780">
                  <c:v>1.675085264950285E-3</c:v>
                </c:pt>
                <c:pt idx="781">
                  <c:v>1.6665222012426529E-3</c:v>
                </c:pt>
                <c:pt idx="782">
                  <c:v>9.0768800087281812E-4</c:v>
                </c:pt>
                <c:pt idx="783">
                  <c:v>1.4242300817346935E-3</c:v>
                </c:pt>
                <c:pt idx="784">
                  <c:v>2.0420818723710732E-3</c:v>
                </c:pt>
                <c:pt idx="785">
                  <c:v>1.1830165727770992E-3</c:v>
                </c:pt>
                <c:pt idx="786">
                  <c:v>1.5543729214354159E-3</c:v>
                </c:pt>
                <c:pt idx="787">
                  <c:v>2.0805405692015896E-3</c:v>
                </c:pt>
                <c:pt idx="788">
                  <c:v>1.5728100966917052E-3</c:v>
                </c:pt>
                <c:pt idx="789">
                  <c:v>1.0411889973857235E-3</c:v>
                </c:pt>
                <c:pt idx="790">
                  <c:v>1.2538433077505669E-3</c:v>
                </c:pt>
                <c:pt idx="791">
                  <c:v>7.1715233555451027E-4</c:v>
                </c:pt>
                <c:pt idx="792">
                  <c:v>9.0642588130200488E-4</c:v>
                </c:pt>
                <c:pt idx="793">
                  <c:v>1.7886146750592763E-3</c:v>
                </c:pt>
                <c:pt idx="794">
                  <c:v>1.1194976091378113E-3</c:v>
                </c:pt>
                <c:pt idx="795">
                  <c:v>1.2755128999709724E-3</c:v>
                </c:pt>
                <c:pt idx="796">
                  <c:v>2.0673863780074353E-3</c:v>
                </c:pt>
                <c:pt idx="797">
                  <c:v>1.5413218547557367E-3</c:v>
                </c:pt>
                <c:pt idx="798">
                  <c:v>6.252751898528278E-4</c:v>
                </c:pt>
                <c:pt idx="799">
                  <c:v>1.1237504831522489E-3</c:v>
                </c:pt>
                <c:pt idx="800">
                  <c:v>2.4225495402496028E-3</c:v>
                </c:pt>
                <c:pt idx="801">
                  <c:v>1.0800479292031094E-3</c:v>
                </c:pt>
                <c:pt idx="802">
                  <c:v>2.0279238044249724E-3</c:v>
                </c:pt>
                <c:pt idx="803">
                  <c:v>9.9204534991258393E-4</c:v>
                </c:pt>
                <c:pt idx="804">
                  <c:v>1.1172229665508365E-3</c:v>
                </c:pt>
                <c:pt idx="805">
                  <c:v>8.3671465982150376E-4</c:v>
                </c:pt>
                <c:pt idx="806">
                  <c:v>1.4140560549781845E-3</c:v>
                </c:pt>
                <c:pt idx="807">
                  <c:v>1.6572052408921597E-3</c:v>
                </c:pt>
                <c:pt idx="808">
                  <c:v>9.9663175305830971E-4</c:v>
                </c:pt>
                <c:pt idx="809">
                  <c:v>1.9444952152424624E-3</c:v>
                </c:pt>
                <c:pt idx="810">
                  <c:v>1.5436358875649345E-3</c:v>
                </c:pt>
                <c:pt idx="811">
                  <c:v>6.8629496162673186E-4</c:v>
                </c:pt>
                <c:pt idx="812">
                  <c:v>2.5803998345794547E-3</c:v>
                </c:pt>
                <c:pt idx="813">
                  <c:v>1.4852150535179559E-3</c:v>
                </c:pt>
                <c:pt idx="814">
                  <c:v>1.5938354950178792E-3</c:v>
                </c:pt>
                <c:pt idx="815">
                  <c:v>9.8837737544995837E-4</c:v>
                </c:pt>
                <c:pt idx="816">
                  <c:v>1.7875562631083637E-3</c:v>
                </c:pt>
                <c:pt idx="817">
                  <c:v>1.2369702352076082E-3</c:v>
                </c:pt>
                <c:pt idx="818">
                  <c:v>8.2699862629567788E-4</c:v>
                </c:pt>
                <c:pt idx="819">
                  <c:v>2.146311525172361E-3</c:v>
                </c:pt>
                <c:pt idx="820">
                  <c:v>2.1939229095554224E-3</c:v>
                </c:pt>
                <c:pt idx="821">
                  <c:v>1.4315865676605461E-3</c:v>
                </c:pt>
                <c:pt idx="822">
                  <c:v>1.9148190677397182E-3</c:v>
                </c:pt>
                <c:pt idx="823">
                  <c:v>1.8379409396736938E-3</c:v>
                </c:pt>
                <c:pt idx="824">
                  <c:v>1.0660938420003895E-3</c:v>
                </c:pt>
                <c:pt idx="825">
                  <c:v>1.1914340018076806E-3</c:v>
                </c:pt>
                <c:pt idx="826">
                  <c:v>1.5966620561613323E-3</c:v>
                </c:pt>
                <c:pt idx="827">
                  <c:v>5.9290179432173399E-4</c:v>
                </c:pt>
                <c:pt idx="828">
                  <c:v>9.8680133713817918E-4</c:v>
                </c:pt>
                <c:pt idx="829">
                  <c:v>2.2910076283080591E-3</c:v>
                </c:pt>
                <c:pt idx="830">
                  <c:v>7.0497359508773149E-4</c:v>
                </c:pt>
                <c:pt idx="831">
                  <c:v>1.2558478520669544E-3</c:v>
                </c:pt>
                <c:pt idx="832">
                  <c:v>9.6907757210757837E-4</c:v>
                </c:pt>
                <c:pt idx="833">
                  <c:v>1.9070023958066655E-3</c:v>
                </c:pt>
                <c:pt idx="834">
                  <c:v>1.1811206700316856E-3</c:v>
                </c:pt>
                <c:pt idx="835">
                  <c:v>2.593554025773609E-3</c:v>
                </c:pt>
                <c:pt idx="836">
                  <c:v>1.5648463550034933E-3</c:v>
                </c:pt>
                <c:pt idx="837">
                  <c:v>9.1011819047190064E-4</c:v>
                </c:pt>
                <c:pt idx="838">
                  <c:v>1.5330306538456546E-3</c:v>
                </c:pt>
                <c:pt idx="839">
                  <c:v>1.0660980580641463E-3</c:v>
                </c:pt>
                <c:pt idx="840">
                  <c:v>1.3173636165241631E-3</c:v>
                </c:pt>
                <c:pt idx="841">
                  <c:v>2.1057132746867503E-3</c:v>
                </c:pt>
                <c:pt idx="842">
                  <c:v>1.0488944063828133E-3</c:v>
                </c:pt>
                <c:pt idx="843">
                  <c:v>1.9139077255439646E-3</c:v>
                </c:pt>
                <c:pt idx="844">
                  <c:v>1.73901173338656E-3</c:v>
                </c:pt>
                <c:pt idx="845">
                  <c:v>9.7892688584905814E-4</c:v>
                </c:pt>
                <c:pt idx="846">
                  <c:v>9.9846354727210068E-4</c:v>
                </c:pt>
                <c:pt idx="847">
                  <c:v>2.3041618195022134E-3</c:v>
                </c:pt>
                <c:pt idx="848">
                  <c:v>9.1777417269496087E-4</c:v>
                </c:pt>
                <c:pt idx="849">
                  <c:v>1.1283559535370546E-3</c:v>
                </c:pt>
                <c:pt idx="850">
                  <c:v>1.5754515887227726E-3</c:v>
                </c:pt>
                <c:pt idx="851">
                  <c:v>2.2515450547255962E-3</c:v>
                </c:pt>
                <c:pt idx="852">
                  <c:v>9.4156961892705919E-4</c:v>
                </c:pt>
                <c:pt idx="853">
                  <c:v>1.0530469015599094E-3</c:v>
                </c:pt>
                <c:pt idx="854">
                  <c:v>1.9254243014589975E-3</c:v>
                </c:pt>
                <c:pt idx="855">
                  <c:v>2.0526871060903519E-3</c:v>
                </c:pt>
                <c:pt idx="856">
                  <c:v>1.270553328389286E-3</c:v>
                </c:pt>
                <c:pt idx="857">
                  <c:v>1.4649597487216804E-3</c:v>
                </c:pt>
                <c:pt idx="858">
                  <c:v>5.8493050256425735E-4</c:v>
                </c:pt>
                <c:pt idx="859">
                  <c:v>2.4751663050262196E-3</c:v>
                </c:pt>
                <c:pt idx="860">
                  <c:v>1.0038317304637244E-3</c:v>
                </c:pt>
                <c:pt idx="861">
                  <c:v>8.3474183093546666E-4</c:v>
                </c:pt>
                <c:pt idx="862">
                  <c:v>1.9380765542771788E-3</c:v>
                </c:pt>
                <c:pt idx="863">
                  <c:v>1.7880753250055002E-3</c:v>
                </c:pt>
                <c:pt idx="864">
                  <c:v>1.6576408780315396E-3</c:v>
                </c:pt>
                <c:pt idx="865">
                  <c:v>7.3610465085606404E-4</c:v>
                </c:pt>
                <c:pt idx="866">
                  <c:v>1.2676468808093654E-3</c:v>
                </c:pt>
                <c:pt idx="867">
                  <c:v>2.0208714049325138E-3</c:v>
                </c:pt>
                <c:pt idx="868">
                  <c:v>1.5413218547557371E-3</c:v>
                </c:pt>
                <c:pt idx="869">
                  <c:v>6.9587839260782519E-4</c:v>
                </c:pt>
                <c:pt idx="870">
                  <c:v>1.035290155605521E-3</c:v>
                </c:pt>
                <c:pt idx="871">
                  <c:v>1.7451353282312454E-3</c:v>
                </c:pt>
                <c:pt idx="872">
                  <c:v>8.6764310614961912E-4</c:v>
                </c:pt>
                <c:pt idx="873">
                  <c:v>2.027923804424972E-3</c:v>
                </c:pt>
                <c:pt idx="874">
                  <c:v>9.0192758255971082E-4</c:v>
                </c:pt>
                <c:pt idx="875">
                  <c:v>1.6636719383438816E-3</c:v>
                </c:pt>
                <c:pt idx="876">
                  <c:v>7.4790789566223179E-4</c:v>
                </c:pt>
                <c:pt idx="877">
                  <c:v>1.4009018637840302E-3</c:v>
                </c:pt>
                <c:pt idx="878">
                  <c:v>1.5044993829405981E-3</c:v>
                </c:pt>
                <c:pt idx="879">
                  <c:v>1.6517845910851857E-3</c:v>
                </c:pt>
                <c:pt idx="880">
                  <c:v>1.2676468808093654E-3</c:v>
                </c:pt>
                <c:pt idx="881">
                  <c:v>1.5436358875649339E-3</c:v>
                </c:pt>
                <c:pt idx="882">
                  <c:v>6.4271148355106618E-4</c:v>
                </c:pt>
                <c:pt idx="883">
                  <c:v>2.501474687414529E-3</c:v>
                </c:pt>
                <c:pt idx="884">
                  <c:v>1.7026976087638193E-3</c:v>
                </c:pt>
                <c:pt idx="885">
                  <c:v>1.514910347852953E-3</c:v>
                </c:pt>
                <c:pt idx="886">
                  <c:v>9.8837737544995837E-4</c:v>
                </c:pt>
                <c:pt idx="887">
                  <c:v>8.3708479811782062E-4</c:v>
                </c:pt>
                <c:pt idx="888">
                  <c:v>1.5573030707468078E-3</c:v>
                </c:pt>
                <c:pt idx="889">
                  <c:v>8.9760182905067559E-4</c:v>
                </c:pt>
                <c:pt idx="890">
                  <c:v>2.048988174038876E-3</c:v>
                </c:pt>
                <c:pt idx="891">
                  <c:v>5.4458581527568734E-4</c:v>
                </c:pt>
                <c:pt idx="892">
                  <c:v>1.6957425929148067E-3</c:v>
                </c:pt>
                <c:pt idx="893">
                  <c:v>6.3025906124373316E-4</c:v>
                </c:pt>
                <c:pt idx="894">
                  <c:v>1.2243837754205254E-3</c:v>
                </c:pt>
                <c:pt idx="895">
                  <c:v>1.1837426764188881E-3</c:v>
                </c:pt>
                <c:pt idx="896">
                  <c:v>2.0632923398096322E-3</c:v>
                </c:pt>
                <c:pt idx="897">
                  <c:v>2.1331573339782072E-3</c:v>
                </c:pt>
                <c:pt idx="898">
                  <c:v>6.8734940647709381E-4</c:v>
                </c:pt>
                <c:pt idx="899">
                  <c:v>1.8871899393358756E-3</c:v>
                </c:pt>
                <c:pt idx="900">
                  <c:v>1.1572346329613101E-3</c:v>
                </c:pt>
                <c:pt idx="901">
                  <c:v>6.6139011701206582E-4</c:v>
                </c:pt>
                <c:pt idx="902">
                  <c:v>1.2466708297117458E-3</c:v>
                </c:pt>
                <c:pt idx="903">
                  <c:v>1.2768239031645738E-3</c:v>
                </c:pt>
                <c:pt idx="904">
                  <c:v>1.3623060546866948E-3</c:v>
                </c:pt>
                <c:pt idx="905">
                  <c:v>1.1798096668380843E-3</c:v>
                </c:pt>
                <c:pt idx="906">
                  <c:v>2.501474687414529E-3</c:v>
                </c:pt>
                <c:pt idx="907">
                  <c:v>1.6390829910384497E-3</c:v>
                </c:pt>
                <c:pt idx="908">
                  <c:v>8.2000042311902754E-4</c:v>
                </c:pt>
                <c:pt idx="909">
                  <c:v>5.8493050256425757E-4</c:v>
                </c:pt>
                <c:pt idx="910">
                  <c:v>1.0660980580641463E-3</c:v>
                </c:pt>
                <c:pt idx="911">
                  <c:v>1.0820244447874584E-3</c:v>
                </c:pt>
                <c:pt idx="912">
                  <c:v>1.6496882247577292E-3</c:v>
                </c:pt>
                <c:pt idx="913">
                  <c:v>1.8995253228904694E-3</c:v>
                </c:pt>
                <c:pt idx="914">
                  <c:v>1.6563312204304081E-3</c:v>
                </c:pt>
                <c:pt idx="915">
                  <c:v>1.1393001533212405E-3</c:v>
                </c:pt>
                <c:pt idx="916">
                  <c:v>1.3916002525591197E-3</c:v>
                </c:pt>
                <c:pt idx="917">
                  <c:v>7.3622307989639531E-4</c:v>
                </c:pt>
                <c:pt idx="918">
                  <c:v>7.2663964891530209E-4</c:v>
                </c:pt>
                <c:pt idx="919">
                  <c:v>1.1283559535370546E-3</c:v>
                </c:pt>
                <c:pt idx="920">
                  <c:v>1.6496882247577299E-3</c:v>
                </c:pt>
                <c:pt idx="921">
                  <c:v>2.141111671656099E-3</c:v>
                </c:pt>
                <c:pt idx="922">
                  <c:v>8.9798614085139341E-4</c:v>
                </c:pt>
                <c:pt idx="923">
                  <c:v>1.0413074264260546E-3</c:v>
                </c:pt>
                <c:pt idx="924">
                  <c:v>1.9254243014589975E-3</c:v>
                </c:pt>
                <c:pt idx="925">
                  <c:v>1.0791529218492411E-3</c:v>
                </c:pt>
                <c:pt idx="926">
                  <c:v>9.1043856315872643E-4</c:v>
                </c:pt>
                <c:pt idx="927">
                  <c:v>1.861073124772481E-3</c:v>
                </c:pt>
                <c:pt idx="928">
                  <c:v>2.0845028072481913E-3</c:v>
                </c:pt>
                <c:pt idx="929">
                  <c:v>1.4628880560085011E-3</c:v>
                </c:pt>
                <c:pt idx="930">
                  <c:v>9.6024825238805872E-4</c:v>
                </c:pt>
                <c:pt idx="931">
                  <c:v>2.5803998345794547E-3</c:v>
                </c:pt>
                <c:pt idx="932">
                  <c:v>1.2689578840029666E-3</c:v>
                </c:pt>
                <c:pt idx="933">
                  <c:v>1.8279720207409929E-3</c:v>
                </c:pt>
                <c:pt idx="934">
                  <c:v>7.967401108292505E-4</c:v>
                </c:pt>
                <c:pt idx="935">
                  <c:v>1.228978610693765E-3</c:v>
                </c:pt>
                <c:pt idx="936">
                  <c:v>1.0995265314690987E-3</c:v>
                </c:pt>
                <c:pt idx="937">
                  <c:v>1.2584698584541571E-3</c:v>
                </c:pt>
                <c:pt idx="938">
                  <c:v>2.0314766386517933E-3</c:v>
                </c:pt>
                <c:pt idx="939">
                  <c:v>1.8616546902949374E-3</c:v>
                </c:pt>
                <c:pt idx="940">
                  <c:v>1.0643487613965796E-3</c:v>
                </c:pt>
                <c:pt idx="941">
                  <c:v>1.2824211900041166E-3</c:v>
                </c:pt>
                <c:pt idx="942">
                  <c:v>1.7557405619505252E-3</c:v>
                </c:pt>
                <c:pt idx="943">
                  <c:v>6.5137126010217632E-4</c:v>
                </c:pt>
                <c:pt idx="944">
                  <c:v>1.935844466065892E-3</c:v>
                </c:pt>
                <c:pt idx="945">
                  <c:v>9.8713469685173644E-4</c:v>
                </c:pt>
                <c:pt idx="946">
                  <c:v>1.0344234362259785E-3</c:v>
                </c:pt>
                <c:pt idx="947">
                  <c:v>2.2552246705509374E-3</c:v>
                </c:pt>
                <c:pt idx="948">
                  <c:v>1.2728908935837702E-3</c:v>
                </c:pt>
                <c:pt idx="949">
                  <c:v>1.3094201182974672E-3</c:v>
                </c:pt>
                <c:pt idx="950">
                  <c:v>1.5413512080156887E-3</c:v>
                </c:pt>
                <c:pt idx="951">
                  <c:v>1.2676468808093654E-3</c:v>
                </c:pt>
                <c:pt idx="952">
                  <c:v>1.6072672898806116E-3</c:v>
                </c:pt>
                <c:pt idx="953">
                  <c:v>2.1481342095638679E-3</c:v>
                </c:pt>
                <c:pt idx="954">
                  <c:v>7.7303222584934139E-4</c:v>
                </c:pt>
                <c:pt idx="955">
                  <c:v>1.1365898284416019E-3</c:v>
                </c:pt>
                <c:pt idx="956">
                  <c:v>1.0589805782049563E-3</c:v>
                </c:pt>
                <c:pt idx="957">
                  <c:v>8.9760182905067559E-4</c:v>
                </c:pt>
                <c:pt idx="958">
                  <c:v>1.628944227878349E-3</c:v>
                </c:pt>
                <c:pt idx="959">
                  <c:v>8.8751565722853328E-4</c:v>
                </c:pt>
                <c:pt idx="960">
                  <c:v>7.1415061744293997E-4</c:v>
                </c:pt>
                <c:pt idx="961">
                  <c:v>1.4141439099125516E-3</c:v>
                </c:pt>
                <c:pt idx="962">
                  <c:v>1.5885132453607345E-3</c:v>
                </c:pt>
                <c:pt idx="963">
                  <c:v>1.0038317304637244E-3</c:v>
                </c:pt>
                <c:pt idx="964">
                  <c:v>1.2584698584541566E-3</c:v>
                </c:pt>
                <c:pt idx="965">
                  <c:v>1.0225103639247238E-3</c:v>
                </c:pt>
                <c:pt idx="966">
                  <c:v>1.2593432458447144E-3</c:v>
                </c:pt>
                <c:pt idx="967">
                  <c:v>8.8573447576058284E-4</c:v>
                </c:pt>
                <c:pt idx="968">
                  <c:v>1.7598713787310878E-3</c:v>
                </c:pt>
                <c:pt idx="969">
                  <c:v>1.8511876654240412E-3</c:v>
                </c:pt>
                <c:pt idx="970">
                  <c:v>1.1355685791337397E-3</c:v>
                </c:pt>
                <c:pt idx="971">
                  <c:v>1.1811206700316859E-3</c:v>
                </c:pt>
                <c:pt idx="972">
                  <c:v>8.3846007926077467E-4</c:v>
                </c:pt>
                <c:pt idx="973">
                  <c:v>2.5672456433853004E-3</c:v>
                </c:pt>
                <c:pt idx="974">
                  <c:v>1.1221339584471448E-3</c:v>
                </c:pt>
                <c:pt idx="975">
                  <c:v>6.8579222078568277E-4</c:v>
                </c:pt>
                <c:pt idx="976">
                  <c:v>1.3126196435610997E-3</c:v>
                </c:pt>
                <c:pt idx="977">
                  <c:v>6.5553370531925507E-4</c:v>
                </c:pt>
                <c:pt idx="978">
                  <c:v>1.2977374953081478E-3</c:v>
                </c:pt>
                <c:pt idx="979">
                  <c:v>1.3938069099158831E-3</c:v>
                </c:pt>
                <c:pt idx="980">
                  <c:v>1.2558478520669544E-3</c:v>
                </c:pt>
                <c:pt idx="981">
                  <c:v>1.246670829711746E-3</c:v>
                </c:pt>
                <c:pt idx="982">
                  <c:v>1.5803644345601369E-3</c:v>
                </c:pt>
                <c:pt idx="983">
                  <c:v>8.206538166839496E-4</c:v>
                </c:pt>
                <c:pt idx="984">
                  <c:v>1.5273920433212058E-3</c:v>
                </c:pt>
                <c:pt idx="985">
                  <c:v>7.7656776718496565E-4</c:v>
                </c:pt>
                <c:pt idx="986">
                  <c:v>7.21907147944921E-4</c:v>
                </c:pt>
                <c:pt idx="987">
                  <c:v>1.2689578840029666E-3</c:v>
                </c:pt>
                <c:pt idx="988">
                  <c:v>1.6921091596348481E-3</c:v>
                </c:pt>
                <c:pt idx="989">
                  <c:v>1.6360320951876021E-3</c:v>
                </c:pt>
                <c:pt idx="990">
                  <c:v>8.7308129623672748E-4</c:v>
                </c:pt>
                <c:pt idx="991">
                  <c:v>1.1989248641441378E-3</c:v>
                </c:pt>
                <c:pt idx="992">
                  <c:v>1.9678452363361158E-3</c:v>
                </c:pt>
                <c:pt idx="993">
                  <c:v>1.1937342451727685E-3</c:v>
                </c:pt>
                <c:pt idx="994">
                  <c:v>1.8992086230923098E-3</c:v>
                </c:pt>
                <c:pt idx="995">
                  <c:v>2.1269237421253093E-3</c:v>
                </c:pt>
                <c:pt idx="996">
                  <c:v>9.984635472721009E-4</c:v>
                </c:pt>
                <c:pt idx="997">
                  <c:v>8.5725714176210536E-4</c:v>
                </c:pt>
                <c:pt idx="998">
                  <c:v>1.4945190268655668E-3</c:v>
                </c:pt>
                <c:pt idx="999">
                  <c:v>1.7784961101120125E-3</c:v>
                </c:pt>
                <c:pt idx="1000">
                  <c:v>5.5467198709782998E-4</c:v>
                </c:pt>
                <c:pt idx="1001">
                  <c:v>1.9890557037746748E-3</c:v>
                </c:pt>
                <c:pt idx="1002">
                  <c:v>1.5783131994213271E-3</c:v>
                </c:pt>
                <c:pt idx="1003">
                  <c:v>1.0690667500270986E-3</c:v>
                </c:pt>
                <c:pt idx="1004">
                  <c:v>9.5795926687895273E-4</c:v>
                </c:pt>
                <c:pt idx="1005">
                  <c:v>2.0410779956191267E-3</c:v>
                </c:pt>
                <c:pt idx="1006">
                  <c:v>1.323018129747612E-3</c:v>
                </c:pt>
                <c:pt idx="1007">
                  <c:v>1.6067510307122802E-3</c:v>
                </c:pt>
                <c:pt idx="1008">
                  <c:v>7.0596456442996783E-4</c:v>
                </c:pt>
                <c:pt idx="1009">
                  <c:v>2.0951080409674708E-3</c:v>
                </c:pt>
                <c:pt idx="1010">
                  <c:v>1.1798538260962268E-3</c:v>
                </c:pt>
                <c:pt idx="1011">
                  <c:v>1.8832277012892748E-3</c:v>
                </c:pt>
                <c:pt idx="1012">
                  <c:v>9.9294891864080905E-4</c:v>
                </c:pt>
                <c:pt idx="1013">
                  <c:v>1.4503807248640848E-3</c:v>
                </c:pt>
                <c:pt idx="1014">
                  <c:v>1.241426816937341E-3</c:v>
                </c:pt>
                <c:pt idx="1015">
                  <c:v>2.47516630502622E-3</c:v>
                </c:pt>
                <c:pt idx="1016">
                  <c:v>2.4238702862651364E-3</c:v>
                </c:pt>
                <c:pt idx="1017">
                  <c:v>1.2692871970704975E-3</c:v>
                </c:pt>
                <c:pt idx="1018">
                  <c:v>1.7692116224082672E-3</c:v>
                </c:pt>
                <c:pt idx="1019">
                  <c:v>1.5274405433418647E-3</c:v>
                </c:pt>
                <c:pt idx="1020">
                  <c:v>1.7557405619505252E-3</c:v>
                </c:pt>
                <c:pt idx="1021">
                  <c:v>1.4926232935617324E-3</c:v>
                </c:pt>
                <c:pt idx="1022">
                  <c:v>1.1039260911545564E-3</c:v>
                </c:pt>
                <c:pt idx="1023">
                  <c:v>1.0993252654935262E-3</c:v>
                </c:pt>
                <c:pt idx="1024">
                  <c:v>9.7984838931922721E-4</c:v>
                </c:pt>
                <c:pt idx="1025">
                  <c:v>1.6433383966648661E-3</c:v>
                </c:pt>
                <c:pt idx="1026">
                  <c:v>9.3794651633924571E-4</c:v>
                </c:pt>
                <c:pt idx="1027">
                  <c:v>6.5155970109193517E-4</c:v>
                </c:pt>
                <c:pt idx="1028">
                  <c:v>8.4817645162206133E-4</c:v>
                </c:pt>
                <c:pt idx="1029">
                  <c:v>1.0186358909163862E-3</c:v>
                </c:pt>
                <c:pt idx="1030">
                  <c:v>7.7358034681839437E-4</c:v>
                </c:pt>
                <c:pt idx="1031">
                  <c:v>1.4318864828683979E-3</c:v>
                </c:pt>
                <c:pt idx="1032">
                  <c:v>1.2780570530298672E-3</c:v>
                </c:pt>
                <c:pt idx="1033">
                  <c:v>7.5490171335739474E-4</c:v>
                </c:pt>
                <c:pt idx="1034">
                  <c:v>1.5330306538456546E-3</c:v>
                </c:pt>
                <c:pt idx="1035">
                  <c:v>1.2463098012138647E-3</c:v>
                </c:pt>
                <c:pt idx="1036">
                  <c:v>1.8936086003011592E-3</c:v>
                </c:pt>
                <c:pt idx="1037">
                  <c:v>1.0742886659763362E-3</c:v>
                </c:pt>
                <c:pt idx="1038">
                  <c:v>1.1758766572572807E-3</c:v>
                </c:pt>
                <c:pt idx="1039">
                  <c:v>1.0579074501519566E-3</c:v>
                </c:pt>
                <c:pt idx="1040">
                  <c:v>2.5146288786086829E-3</c:v>
                </c:pt>
                <c:pt idx="1041">
                  <c:v>1.0595430420961402E-3</c:v>
                </c:pt>
                <c:pt idx="1042">
                  <c:v>1.122129742383388E-3</c:v>
                </c:pt>
                <c:pt idx="1043">
                  <c:v>2.2962958003406057E-3</c:v>
                </c:pt>
                <c:pt idx="1044">
                  <c:v>6.7657858926544519E-4</c:v>
                </c:pt>
                <c:pt idx="1045">
                  <c:v>1.800546181576114E-3</c:v>
                </c:pt>
                <c:pt idx="1046">
                  <c:v>1.3351902919802351E-3</c:v>
                </c:pt>
                <c:pt idx="1047">
                  <c:v>7.3622307989639531E-4</c:v>
                </c:pt>
                <c:pt idx="1048">
                  <c:v>1.3559271223447834E-3</c:v>
                </c:pt>
                <c:pt idx="1049">
                  <c:v>1.9195200227690255E-3</c:v>
                </c:pt>
                <c:pt idx="1050">
                  <c:v>1.1142721553492945E-3</c:v>
                </c:pt>
                <c:pt idx="1051">
                  <c:v>1.2361828041629363E-3</c:v>
                </c:pt>
                <c:pt idx="1052">
                  <c:v>8.4717096993996315E-4</c:v>
                </c:pt>
                <c:pt idx="1053">
                  <c:v>8.7618714564362959E-4</c:v>
                </c:pt>
                <c:pt idx="1054">
                  <c:v>1.259780861647758E-3</c:v>
                </c:pt>
                <c:pt idx="1055">
                  <c:v>1.7663457956698047E-3</c:v>
                </c:pt>
                <c:pt idx="1056">
                  <c:v>1.5418132031734277E-3</c:v>
                </c:pt>
                <c:pt idx="1057">
                  <c:v>9.2649957571401098E-4</c:v>
                </c:pt>
                <c:pt idx="1058">
                  <c:v>1.883316019805559E-3</c:v>
                </c:pt>
                <c:pt idx="1059">
                  <c:v>1.2571588552605557E-3</c:v>
                </c:pt>
                <c:pt idx="1060">
                  <c:v>9.2911719661972606E-4</c:v>
                </c:pt>
                <c:pt idx="1061">
                  <c:v>1.8803618745508121E-3</c:v>
                </c:pt>
                <c:pt idx="1062">
                  <c:v>1.109677320076055E-3</c:v>
                </c:pt>
                <c:pt idx="1063">
                  <c:v>6.9587839260782519E-4</c:v>
                </c:pt>
                <c:pt idx="1064">
                  <c:v>1.8193719642662018E-3</c:v>
                </c:pt>
                <c:pt idx="1065">
                  <c:v>1.1870265084985264E-3</c:v>
                </c:pt>
                <c:pt idx="1066">
                  <c:v>1.0575744292738601E-3</c:v>
                </c:pt>
                <c:pt idx="1067">
                  <c:v>1.2519148424861505E-3</c:v>
                </c:pt>
                <c:pt idx="1068">
                  <c:v>6.1518901803068505E-4</c:v>
                </c:pt>
                <c:pt idx="1069">
                  <c:v>2.0526871060903523E-3</c:v>
                </c:pt>
                <c:pt idx="1070">
                  <c:v>1.322208601348066E-3</c:v>
                </c:pt>
                <c:pt idx="1071">
                  <c:v>9.4469432100202665E-4</c:v>
                </c:pt>
                <c:pt idx="1072">
                  <c:v>1.9474149440609997E-3</c:v>
                </c:pt>
                <c:pt idx="1073">
                  <c:v>1.2125847466781144E-3</c:v>
                </c:pt>
                <c:pt idx="1074">
                  <c:v>1.8700735100951203E-3</c:v>
                </c:pt>
                <c:pt idx="1075">
                  <c:v>1.5436358875649341E-3</c:v>
                </c:pt>
                <c:pt idx="1076">
                  <c:v>7.6648159536282291E-4</c:v>
                </c:pt>
                <c:pt idx="1077">
                  <c:v>2.1587394432831474E-3</c:v>
                </c:pt>
                <c:pt idx="1078">
                  <c:v>2.5409372609969914E-3</c:v>
                </c:pt>
                <c:pt idx="1079">
                  <c:v>1.2676468808093654E-3</c:v>
                </c:pt>
                <c:pt idx="1080">
                  <c:v>1.032353428036125E-3</c:v>
                </c:pt>
                <c:pt idx="1081">
                  <c:v>1.7122232157652682E-3</c:v>
                </c:pt>
                <c:pt idx="1082">
                  <c:v>1.6588519659697168E-3</c:v>
                </c:pt>
                <c:pt idx="1083">
                  <c:v>2.1331573339782072E-3</c:v>
                </c:pt>
                <c:pt idx="1084">
                  <c:v>2.3962411578612938E-3</c:v>
                </c:pt>
                <c:pt idx="1085">
                  <c:v>2.498106922300093E-3</c:v>
                </c:pt>
                <c:pt idx="1086">
                  <c:v>1.1904287347204454E-3</c:v>
                </c:pt>
                <c:pt idx="1087">
                  <c:v>1.2532258456797519E-3</c:v>
                </c:pt>
                <c:pt idx="1088">
                  <c:v>7.1605073625211025E-4</c:v>
                </c:pt>
                <c:pt idx="1089">
                  <c:v>9.8777510338992724E-4</c:v>
                </c:pt>
                <c:pt idx="1090">
                  <c:v>2.4936086682529218E-3</c:v>
                </c:pt>
                <c:pt idx="1091">
                  <c:v>1.2728908935837702E-3</c:v>
                </c:pt>
                <c:pt idx="1092">
                  <c:v>2.2931471819631535E-3</c:v>
                </c:pt>
                <c:pt idx="1093">
                  <c:v>8.6062887392939435E-4</c:v>
                </c:pt>
                <c:pt idx="1094">
                  <c:v>1.1024815587343975E-3</c:v>
                </c:pt>
                <c:pt idx="1095">
                  <c:v>2.4883204962203747E-3</c:v>
                </c:pt>
                <c:pt idx="1096">
                  <c:v>8.4817645162206144E-4</c:v>
                </c:pt>
                <c:pt idx="1097">
                  <c:v>1.7083635939084047E-3</c:v>
                </c:pt>
                <c:pt idx="1098">
                  <c:v>8.1081918470006216E-4</c:v>
                </c:pt>
                <c:pt idx="1099">
                  <c:v>8.0459297354639576E-4</c:v>
                </c:pt>
                <c:pt idx="1100">
                  <c:v>7.967401108292505E-4</c:v>
                </c:pt>
                <c:pt idx="1101">
                  <c:v>1.3398071445093174E-3</c:v>
                </c:pt>
                <c:pt idx="1102">
                  <c:v>1.4865282941354991E-3</c:v>
                </c:pt>
                <c:pt idx="1103">
                  <c:v>1.1345821646907212E-3</c:v>
                </c:pt>
                <c:pt idx="1104">
                  <c:v>1.9784504700553953E-3</c:v>
                </c:pt>
                <c:pt idx="1105">
                  <c:v>1.1800738995388837E-3</c:v>
                </c:pt>
                <c:pt idx="1106">
                  <c:v>1.8008179196510553E-3</c:v>
                </c:pt>
                <c:pt idx="1107">
                  <c:v>1.1154007903886724E-3</c:v>
                </c:pt>
                <c:pt idx="1108">
                  <c:v>1.2545368488733534E-3</c:v>
                </c:pt>
                <c:pt idx="1109">
                  <c:v>1.2165177562589182E-3</c:v>
                </c:pt>
                <c:pt idx="1110">
                  <c:v>9.1378321441190472E-4</c:v>
                </c:pt>
                <c:pt idx="1111">
                  <c:v>1.0847724754613891E-3</c:v>
                </c:pt>
                <c:pt idx="1112">
                  <c:v>2.1691965558905319E-3</c:v>
                </c:pt>
                <c:pt idx="1113">
                  <c:v>2.0314766386517933E-3</c:v>
                </c:pt>
                <c:pt idx="1114">
                  <c:v>1.7160772758943593E-3</c:v>
                </c:pt>
                <c:pt idx="1115">
                  <c:v>1.1955417051612988E-3</c:v>
                </c:pt>
                <c:pt idx="1116">
                  <c:v>1.3540748705327744E-3</c:v>
                </c:pt>
                <c:pt idx="1117">
                  <c:v>1.5437069579089927E-3</c:v>
                </c:pt>
                <c:pt idx="1118">
                  <c:v>1.8056360828508328E-3</c:v>
                </c:pt>
                <c:pt idx="1119">
                  <c:v>1.3923681532648042E-3</c:v>
                </c:pt>
                <c:pt idx="1120">
                  <c:v>1.0287220627385285E-3</c:v>
                </c:pt>
                <c:pt idx="1121">
                  <c:v>2.2910076283080595E-3</c:v>
                </c:pt>
                <c:pt idx="1122">
                  <c:v>9.3794651633924571E-4</c:v>
                </c:pt>
                <c:pt idx="1123">
                  <c:v>1.6030566766312298E-3</c:v>
                </c:pt>
                <c:pt idx="1124">
                  <c:v>7.6100949547073008E-4</c:v>
                </c:pt>
                <c:pt idx="1125">
                  <c:v>1.8213319755909358E-3</c:v>
                </c:pt>
                <c:pt idx="1126">
                  <c:v>1.3320638602763552E-3</c:v>
                </c:pt>
                <c:pt idx="1127">
                  <c:v>1.2492928360989483E-3</c:v>
                </c:pt>
                <c:pt idx="1128">
                  <c:v>1.2243837754205254E-3</c:v>
                </c:pt>
                <c:pt idx="1129">
                  <c:v>1.6748271915968459E-3</c:v>
                </c:pt>
                <c:pt idx="1130">
                  <c:v>1.0723200531540561E-3</c:v>
                </c:pt>
                <c:pt idx="1131">
                  <c:v>1.0038317304637244E-3</c:v>
                </c:pt>
                <c:pt idx="1132">
                  <c:v>1.8830033665818793E-3</c:v>
                </c:pt>
                <c:pt idx="1133">
                  <c:v>1.0982197443392544E-3</c:v>
                </c:pt>
                <c:pt idx="1134">
                  <c:v>1.2755128999709724E-3</c:v>
                </c:pt>
                <c:pt idx="1135">
                  <c:v>1.9389076363506503E-3</c:v>
                </c:pt>
                <c:pt idx="1136">
                  <c:v>9.0421235200505992E-4</c:v>
                </c:pt>
                <c:pt idx="1137">
                  <c:v>7.5795260923209131E-4</c:v>
                </c:pt>
                <c:pt idx="1138">
                  <c:v>9.2939901642360729E-4</c:v>
                </c:pt>
                <c:pt idx="1139">
                  <c:v>2.1450888404950449E-3</c:v>
                </c:pt>
                <c:pt idx="1140">
                  <c:v>1.2064277072084801E-3</c:v>
                </c:pt>
                <c:pt idx="1141">
                  <c:v>2.5277830698028371E-3</c:v>
                </c:pt>
                <c:pt idx="1142">
                  <c:v>1.2243837754205256E-3</c:v>
                </c:pt>
                <c:pt idx="1143">
                  <c:v>1.6284777573191704E-3</c:v>
                </c:pt>
                <c:pt idx="1144">
                  <c:v>5.4458581527568745E-4</c:v>
                </c:pt>
                <c:pt idx="1145">
                  <c:v>1.2466708297117458E-3</c:v>
                </c:pt>
                <c:pt idx="1146">
                  <c:v>1.9784504700553953E-3</c:v>
                </c:pt>
                <c:pt idx="1147">
                  <c:v>1.7122232157652682E-3</c:v>
                </c:pt>
                <c:pt idx="1148">
                  <c:v>1.8531629463527312E-3</c:v>
                </c:pt>
                <c:pt idx="1149">
                  <c:v>1.6201438774061877E-3</c:v>
                </c:pt>
                <c:pt idx="1150">
                  <c:v>1.9584933959674949E-3</c:v>
                </c:pt>
                <c:pt idx="1151">
                  <c:v>2.054232186813281E-3</c:v>
                </c:pt>
                <c:pt idx="1152">
                  <c:v>2.3041618195022134E-3</c:v>
                </c:pt>
                <c:pt idx="1153">
                  <c:v>1.6406401767298613E-3</c:v>
                </c:pt>
                <c:pt idx="1154">
                  <c:v>1.2717758883439951E-3</c:v>
                </c:pt>
                <c:pt idx="1155">
                  <c:v>1.4670990081648901E-3</c:v>
                </c:pt>
                <c:pt idx="1156">
                  <c:v>1.6390829910384497E-3</c:v>
                </c:pt>
                <c:pt idx="1157">
                  <c:v>8.6734331358424811E-4</c:v>
                </c:pt>
                <c:pt idx="1158">
                  <c:v>1.382189910492235E-3</c:v>
                </c:pt>
                <c:pt idx="1159">
                  <c:v>2.0969602927794801E-3</c:v>
                </c:pt>
                <c:pt idx="1160">
                  <c:v>1.2374938073565376E-3</c:v>
                </c:pt>
                <c:pt idx="1161">
                  <c:v>8.2327160700739529E-4</c:v>
                </c:pt>
                <c:pt idx="1162">
                  <c:v>1.5427505297255745E-3</c:v>
                </c:pt>
                <c:pt idx="1163">
                  <c:v>1.4374728409141972E-3</c:v>
                </c:pt>
                <c:pt idx="1164">
                  <c:v>8.8553371854406039E-4</c:v>
                </c:pt>
                <c:pt idx="1165">
                  <c:v>1.5201985198855E-3</c:v>
                </c:pt>
                <c:pt idx="1166">
                  <c:v>1.890148300630531E-3</c:v>
                </c:pt>
                <c:pt idx="1167">
                  <c:v>1.8087667305469227E-3</c:v>
                </c:pt>
                <c:pt idx="1168">
                  <c:v>1.1269806723941003E-3</c:v>
                </c:pt>
                <c:pt idx="1169">
                  <c:v>1.3605163065715515E-3</c:v>
                </c:pt>
                <c:pt idx="1170">
                  <c:v>7.2987843970239753E-4</c:v>
                </c:pt>
                <c:pt idx="1171">
                  <c:v>1.2043394788920476E-3</c:v>
                </c:pt>
                <c:pt idx="1172">
                  <c:v>1.2610918648413591E-3</c:v>
                </c:pt>
                <c:pt idx="1173">
                  <c:v>1.5412187302412616E-3</c:v>
                </c:pt>
                <c:pt idx="1174">
                  <c:v>6.489376947047328E-4</c:v>
                </c:pt>
                <c:pt idx="1175">
                  <c:v>1.54467902991189E-3</c:v>
                </c:pt>
                <c:pt idx="1176">
                  <c:v>1.3361765370055231E-3</c:v>
                </c:pt>
                <c:pt idx="1177">
                  <c:v>1.2073407339037098E-3</c:v>
                </c:pt>
                <c:pt idx="1178">
                  <c:v>9.5501220813540115E-4</c:v>
                </c:pt>
                <c:pt idx="1179">
                  <c:v>1.0411889973857235E-3</c:v>
                </c:pt>
                <c:pt idx="1180">
                  <c:v>1.437350444773315E-3</c:v>
                </c:pt>
                <c:pt idx="1181">
                  <c:v>1.0690667500270984E-3</c:v>
                </c:pt>
                <c:pt idx="1182">
                  <c:v>1.3191334954648585E-3</c:v>
                </c:pt>
                <c:pt idx="1183">
                  <c:v>6.9022797120753547E-4</c:v>
                </c:pt>
                <c:pt idx="1184">
                  <c:v>1.5625461116384061E-3</c:v>
                </c:pt>
                <c:pt idx="1185">
                  <c:v>2.1331573339782072E-3</c:v>
                </c:pt>
                <c:pt idx="1186">
                  <c:v>1.3716519046913743E-3</c:v>
                </c:pt>
                <c:pt idx="1187">
                  <c:v>1.6124684541389902E-3</c:v>
                </c:pt>
                <c:pt idx="1188">
                  <c:v>1.5063694707950462E-3</c:v>
                </c:pt>
                <c:pt idx="1189">
                  <c:v>1.4259943091469078E-3</c:v>
                </c:pt>
                <c:pt idx="1190">
                  <c:v>1.0147028813594311E-3</c:v>
                </c:pt>
                <c:pt idx="1191">
                  <c:v>1.2374938073565376E-3</c:v>
                </c:pt>
                <c:pt idx="1192">
                  <c:v>1.7345300945119659E-3</c:v>
                </c:pt>
                <c:pt idx="1193">
                  <c:v>1.0746260723359202E-3</c:v>
                </c:pt>
                <c:pt idx="1194">
                  <c:v>8.5768227879160939E-4</c:v>
                </c:pt>
                <c:pt idx="1195">
                  <c:v>1.021532381609219E-3</c:v>
                </c:pt>
                <c:pt idx="1196">
                  <c:v>1.1968527083548999E-3</c:v>
                </c:pt>
                <c:pt idx="1197">
                  <c:v>2.3178179490723409E-3</c:v>
                </c:pt>
                <c:pt idx="1198">
                  <c:v>1.2073407339037098E-3</c:v>
                </c:pt>
                <c:pt idx="1199">
                  <c:v>1.2138957498717159E-3</c:v>
                </c:pt>
                <c:pt idx="1200">
                  <c:v>1.0225103639247238E-3</c:v>
                </c:pt>
                <c:pt idx="1201">
                  <c:v>1.1496608094490135E-3</c:v>
                </c:pt>
                <c:pt idx="1202">
                  <c:v>2.0617012460067488E-3</c:v>
                </c:pt>
                <c:pt idx="1203">
                  <c:v>9.8837737544995837E-4</c:v>
                </c:pt>
                <c:pt idx="1204">
                  <c:v>1.2112737434845132E-3</c:v>
                </c:pt>
                <c:pt idx="1205">
                  <c:v>2.1594657163665158E-3</c:v>
                </c:pt>
                <c:pt idx="1206">
                  <c:v>8.2739170905937048E-4</c:v>
                </c:pt>
                <c:pt idx="1207">
                  <c:v>1.168760782304394E-3</c:v>
                </c:pt>
                <c:pt idx="1208">
                  <c:v>1.2715798903901688E-3</c:v>
                </c:pt>
                <c:pt idx="1209">
                  <c:v>1.2781349063581749E-3</c:v>
                </c:pt>
                <c:pt idx="1210">
                  <c:v>2.2541865467566639E-3</c:v>
                </c:pt>
                <c:pt idx="1211">
                  <c:v>1.6921091596348479E-3</c:v>
                </c:pt>
                <c:pt idx="1212">
                  <c:v>9.1666477431239304E-4</c:v>
                </c:pt>
                <c:pt idx="1213">
                  <c:v>1.4940191564719561E-3</c:v>
                </c:pt>
                <c:pt idx="1214">
                  <c:v>1.6390829910384503E-3</c:v>
                </c:pt>
                <c:pt idx="1215">
                  <c:v>1.7228261319854228E-3</c:v>
                </c:pt>
                <c:pt idx="1216">
                  <c:v>1.5412187302412616E-3</c:v>
                </c:pt>
                <c:pt idx="1217">
                  <c:v>1.4604951085979449E-3</c:v>
                </c:pt>
                <c:pt idx="1218">
                  <c:v>7.9138643997748895E-4</c:v>
                </c:pt>
                <c:pt idx="1219">
                  <c:v>1.9254243014589975E-3</c:v>
                </c:pt>
                <c:pt idx="1220">
                  <c:v>1.1372210353329509E-3</c:v>
                </c:pt>
                <c:pt idx="1221">
                  <c:v>1.2624028680349605E-3</c:v>
                </c:pt>
                <c:pt idx="1222">
                  <c:v>2.17261990756067E-3</c:v>
                </c:pt>
                <c:pt idx="1223">
                  <c:v>8.4717096993996315E-4</c:v>
                </c:pt>
                <c:pt idx="1224">
                  <c:v>2.4620121138320657E-3</c:v>
                </c:pt>
                <c:pt idx="1225">
                  <c:v>9.0768800087281834E-4</c:v>
                </c:pt>
                <c:pt idx="1226">
                  <c:v>1.1159035312297216E-3</c:v>
                </c:pt>
                <c:pt idx="1227">
                  <c:v>6.3025906124373327E-4</c:v>
                </c:pt>
                <c:pt idx="1228">
                  <c:v>6.9587839260782519E-4</c:v>
                </c:pt>
                <c:pt idx="1229">
                  <c:v>9.9535769786519845E-4</c:v>
                </c:pt>
                <c:pt idx="1230">
                  <c:v>1.4467823410438325E-3</c:v>
                </c:pt>
                <c:pt idx="1231">
                  <c:v>1.2834559797690345E-3</c:v>
                </c:pt>
                <c:pt idx="1232">
                  <c:v>1.525198712308645E-3</c:v>
                </c:pt>
                <c:pt idx="1233">
                  <c:v>1.2361828041629363E-3</c:v>
                </c:pt>
                <c:pt idx="1234">
                  <c:v>1.2479818329053471E-3</c:v>
                </c:pt>
                <c:pt idx="1235">
                  <c:v>1.8087667305469227E-3</c:v>
                </c:pt>
                <c:pt idx="1236">
                  <c:v>1.026456021696798E-3</c:v>
                </c:pt>
                <c:pt idx="1237">
                  <c:v>1.1537873203174137E-3</c:v>
                </c:pt>
                <c:pt idx="1238">
                  <c:v>1.1811206700316859E-3</c:v>
                </c:pt>
                <c:pt idx="1239">
                  <c:v>9.4405429845258095E-4</c:v>
                </c:pt>
                <c:pt idx="1240">
                  <c:v>1.2532258456797517E-3</c:v>
                </c:pt>
                <c:pt idx="1241">
                  <c:v>2.455685987422975E-3</c:v>
                </c:pt>
                <c:pt idx="1242">
                  <c:v>7.2638827849477749E-4</c:v>
                </c:pt>
                <c:pt idx="1243">
                  <c:v>2.4883204962203747E-3</c:v>
                </c:pt>
                <c:pt idx="1244">
                  <c:v>1.8189885448028158E-3</c:v>
                </c:pt>
                <c:pt idx="1245">
                  <c:v>1.1577184759810103E-3</c:v>
                </c:pt>
                <c:pt idx="1246">
                  <c:v>1.5542411212842138E-3</c:v>
                </c:pt>
                <c:pt idx="1247">
                  <c:v>8.8216198637677172E-4</c:v>
                </c:pt>
                <c:pt idx="1248">
                  <c:v>8.1293406476472816E-4</c:v>
                </c:pt>
                <c:pt idx="1249">
                  <c:v>1.2965772695848763E-3</c:v>
                </c:pt>
                <c:pt idx="1250">
                  <c:v>1.0246252439893896E-3</c:v>
                </c:pt>
                <c:pt idx="1251">
                  <c:v>1.2702688871965675E-3</c:v>
                </c:pt>
                <c:pt idx="1252">
                  <c:v>1.2755128999709727E-3</c:v>
                </c:pt>
                <c:pt idx="1253">
                  <c:v>2.3830869666671395E-3</c:v>
                </c:pt>
                <c:pt idx="1254">
                  <c:v>2.1463115251723615E-3</c:v>
                </c:pt>
                <c:pt idx="1255">
                  <c:v>1.6085593157073878E-3</c:v>
                </c:pt>
                <c:pt idx="1256">
                  <c:v>1.4123949306754247E-3</c:v>
                </c:pt>
                <c:pt idx="1257">
                  <c:v>1.8898710357735653E-3</c:v>
                </c:pt>
                <c:pt idx="1258">
                  <c:v>1.3367636740051259E-3</c:v>
                </c:pt>
                <c:pt idx="1259">
                  <c:v>9.732444897761303E-4</c:v>
                </c:pt>
                <c:pt idx="1260">
                  <c:v>1.2296277881949302E-3</c:v>
                </c:pt>
                <c:pt idx="1261">
                  <c:v>6.252751898528278E-4</c:v>
                </c:pt>
                <c:pt idx="1262">
                  <c:v>1.0889304075721038E-3</c:v>
                </c:pt>
                <c:pt idx="1263">
                  <c:v>1.2543488292144974E-3</c:v>
                </c:pt>
                <c:pt idx="1264">
                  <c:v>8.1377421196536103E-4</c:v>
                </c:pt>
                <c:pt idx="1265">
                  <c:v>1.4050247915406244E-3</c:v>
                </c:pt>
                <c:pt idx="1266">
                  <c:v>1.5671080106352828E-3</c:v>
                </c:pt>
                <c:pt idx="1267">
                  <c:v>9.8515309700272476E-4</c:v>
                </c:pt>
                <c:pt idx="1268">
                  <c:v>1.4531607199792693E-3</c:v>
                </c:pt>
                <c:pt idx="1269">
                  <c:v>1.9874677745834179E-3</c:v>
                </c:pt>
                <c:pt idx="1270">
                  <c:v>9.7892688584905814E-4</c:v>
                </c:pt>
                <c:pt idx="1271">
                  <c:v>1.2426079185920698E-3</c:v>
                </c:pt>
                <c:pt idx="1272">
                  <c:v>1.5639350128077399E-3</c:v>
                </c:pt>
                <c:pt idx="1273">
                  <c:v>8.7319972527705896E-4</c:v>
                </c:pt>
                <c:pt idx="1274">
                  <c:v>1.188666316506467E-3</c:v>
                </c:pt>
                <c:pt idx="1275">
                  <c:v>2.3708441176687385E-3</c:v>
                </c:pt>
                <c:pt idx="1276">
                  <c:v>1.123239140765956E-3</c:v>
                </c:pt>
                <c:pt idx="1277">
                  <c:v>1.7451353282312454E-3</c:v>
                </c:pt>
                <c:pt idx="1278">
                  <c:v>1.0723200531540559E-3</c:v>
                </c:pt>
                <c:pt idx="1279">
                  <c:v>2.054232186813281E-3</c:v>
                </c:pt>
                <c:pt idx="1280">
                  <c:v>1.0589805782049563E-3</c:v>
                </c:pt>
                <c:pt idx="1281">
                  <c:v>6.1518901803068484E-4</c:v>
                </c:pt>
                <c:pt idx="1282">
                  <c:v>1.1496734576402841E-3</c:v>
                </c:pt>
                <c:pt idx="1283">
                  <c:v>2.2910076283080591E-3</c:v>
                </c:pt>
                <c:pt idx="1284">
                  <c:v>2.4093953490554485E-3</c:v>
                </c:pt>
                <c:pt idx="1285">
                  <c:v>1.5330306538456546E-3</c:v>
                </c:pt>
                <c:pt idx="1286">
                  <c:v>1.8977370549351723E-3</c:v>
                </c:pt>
                <c:pt idx="1287">
                  <c:v>1.1159035312297218E-3</c:v>
                </c:pt>
                <c:pt idx="1288">
                  <c:v>8.3930478136062521E-4</c:v>
                </c:pt>
                <c:pt idx="1289">
                  <c:v>1.2650248744221627E-3</c:v>
                </c:pt>
                <c:pt idx="1290">
                  <c:v>2.1068489515898982E-3</c:v>
                </c:pt>
                <c:pt idx="1291">
                  <c:v>9.2289098546605955E-4</c:v>
                </c:pt>
                <c:pt idx="1292">
                  <c:v>2.3962411578612943E-3</c:v>
                </c:pt>
                <c:pt idx="1293">
                  <c:v>9.4803268816138857E-4</c:v>
                </c:pt>
                <c:pt idx="1294">
                  <c:v>1.0909986866150558E-3</c:v>
                </c:pt>
                <c:pt idx="1295">
                  <c:v>6.0535421662906712E-4</c:v>
                </c:pt>
                <c:pt idx="1296">
                  <c:v>1.0364564964153427E-3</c:v>
                </c:pt>
                <c:pt idx="1297">
                  <c:v>1.1494040816880436E-3</c:v>
                </c:pt>
                <c:pt idx="1298">
                  <c:v>1.5062203330813728E-3</c:v>
                </c:pt>
                <c:pt idx="1299">
                  <c:v>1.0621009399517203E-3</c:v>
                </c:pt>
                <c:pt idx="1300">
                  <c:v>2.1259296081952957E-3</c:v>
                </c:pt>
                <c:pt idx="1301">
                  <c:v>1.2427378201309426E-3</c:v>
                </c:pt>
                <c:pt idx="1302">
                  <c:v>1.7412656247408368E-3</c:v>
                </c:pt>
                <c:pt idx="1303">
                  <c:v>1.6557176006659895E-3</c:v>
                </c:pt>
                <c:pt idx="1304">
                  <c:v>1.1345821646907212E-3</c:v>
                </c:pt>
                <c:pt idx="1305">
                  <c:v>1.0805233092575164E-3</c:v>
                </c:pt>
                <c:pt idx="1306">
                  <c:v>1.0137849609056738E-3</c:v>
                </c:pt>
                <c:pt idx="1307">
                  <c:v>1.2479818329053469E-3</c:v>
                </c:pt>
                <c:pt idx="1308">
                  <c:v>2.4454901575234759E-3</c:v>
                </c:pt>
                <c:pt idx="1309">
                  <c:v>1.607857422121807E-3</c:v>
                </c:pt>
                <c:pt idx="1310">
                  <c:v>1.1001978057954313E-3</c:v>
                </c:pt>
                <c:pt idx="1311">
                  <c:v>1.0077994829573221E-3</c:v>
                </c:pt>
                <c:pt idx="1312">
                  <c:v>1.7875562631083637E-3</c:v>
                </c:pt>
                <c:pt idx="1313">
                  <c:v>2.4751663050262196E-3</c:v>
                </c:pt>
                <c:pt idx="1314">
                  <c:v>1.0752954927927432E-3</c:v>
                </c:pt>
                <c:pt idx="1315">
                  <c:v>2.0208714049325133E-3</c:v>
                </c:pt>
                <c:pt idx="1316">
                  <c:v>1.7593326617723556E-3</c:v>
                </c:pt>
                <c:pt idx="1317">
                  <c:v>1.2138957498717157E-3</c:v>
                </c:pt>
                <c:pt idx="1318">
                  <c:v>1.2650248744221629E-3</c:v>
                </c:pt>
                <c:pt idx="1319">
                  <c:v>2.501474687414529E-3</c:v>
                </c:pt>
                <c:pt idx="1320">
                  <c:v>2.3304702018905219E-3</c:v>
                </c:pt>
                <c:pt idx="1321">
                  <c:v>2.068741540459179E-3</c:v>
                </c:pt>
                <c:pt idx="1322">
                  <c:v>1.8022118840204959E-3</c:v>
                </c:pt>
                <c:pt idx="1323">
                  <c:v>1.4751309050069024E-3</c:v>
                </c:pt>
                <c:pt idx="1324">
                  <c:v>1.5928904140806869E-3</c:v>
                </c:pt>
                <c:pt idx="1325">
                  <c:v>1.2047187275165073E-3</c:v>
                </c:pt>
                <c:pt idx="1326">
                  <c:v>1.2768239031645738E-3</c:v>
                </c:pt>
                <c:pt idx="1327">
                  <c:v>1.5982903121968017E-3</c:v>
                </c:pt>
                <c:pt idx="1328">
                  <c:v>1.1089232088144813E-3</c:v>
                </c:pt>
                <c:pt idx="1329">
                  <c:v>1.8511876654240408E-3</c:v>
                </c:pt>
                <c:pt idx="1330">
                  <c:v>1.1470153503412438E-3</c:v>
                </c:pt>
                <c:pt idx="1331">
                  <c:v>1.1434829736172462E-3</c:v>
                </c:pt>
                <c:pt idx="1332">
                  <c:v>1.3127241137395902E-3</c:v>
                </c:pt>
                <c:pt idx="1333">
                  <c:v>1.5302113485834304E-3</c:v>
                </c:pt>
                <c:pt idx="1334">
                  <c:v>1.2119821352767641E-3</c:v>
                </c:pt>
                <c:pt idx="1335">
                  <c:v>1.2388048105501385E-3</c:v>
                </c:pt>
                <c:pt idx="1336">
                  <c:v>1.3900559296538425E-3</c:v>
                </c:pt>
                <c:pt idx="1337">
                  <c:v>5.4931831624606842E-4</c:v>
                </c:pt>
                <c:pt idx="1338">
                  <c:v>2.0055925908756098E-3</c:v>
                </c:pt>
                <c:pt idx="1339">
                  <c:v>1.0241586040601785E-3</c:v>
                </c:pt>
                <c:pt idx="1340">
                  <c:v>2.0279238044249724E-3</c:v>
                </c:pt>
                <c:pt idx="1341">
                  <c:v>2.4620121138320657E-3</c:v>
                </c:pt>
                <c:pt idx="1342">
                  <c:v>9.5687652022076984E-4</c:v>
                </c:pt>
                <c:pt idx="1343">
                  <c:v>1.1749028910055326E-3</c:v>
                </c:pt>
                <c:pt idx="1344">
                  <c:v>1.3918242483356594E-3</c:v>
                </c:pt>
                <c:pt idx="1345">
                  <c:v>1.2208620682002858E-3</c:v>
                </c:pt>
                <c:pt idx="1346">
                  <c:v>7.967401108292505E-4</c:v>
                </c:pt>
                <c:pt idx="1347">
                  <c:v>1.0287365750783904E-3</c:v>
                </c:pt>
                <c:pt idx="1348">
                  <c:v>2.054232186813281E-3</c:v>
                </c:pt>
                <c:pt idx="1349">
                  <c:v>1.1295837809599538E-3</c:v>
                </c:pt>
                <c:pt idx="1350">
                  <c:v>6.9639745450496228E-4</c:v>
                </c:pt>
                <c:pt idx="1351">
                  <c:v>1.6859148333769596E-3</c:v>
                </c:pt>
                <c:pt idx="1352">
                  <c:v>2.1989282899489791E-3</c:v>
                </c:pt>
                <c:pt idx="1353">
                  <c:v>2.3304702018905219E-3</c:v>
                </c:pt>
                <c:pt idx="1354">
                  <c:v>1.6072672898806114E-3</c:v>
                </c:pt>
                <c:pt idx="1355">
                  <c:v>1.8561930458175979E-3</c:v>
                </c:pt>
                <c:pt idx="1356">
                  <c:v>1.0785462643077225E-3</c:v>
                </c:pt>
                <c:pt idx="1357">
                  <c:v>1.2030773593212343E-3</c:v>
                </c:pt>
                <c:pt idx="1358">
                  <c:v>1.5754515887227729E-3</c:v>
                </c:pt>
                <c:pt idx="1359">
                  <c:v>6.0535421662906712E-4</c:v>
                </c:pt>
                <c:pt idx="1360">
                  <c:v>8.5116387198863239E-4</c:v>
                </c:pt>
                <c:pt idx="1361">
                  <c:v>2.3173160106963677E-3</c:v>
                </c:pt>
                <c:pt idx="1362">
                  <c:v>1.0186358909163857E-3</c:v>
                </c:pt>
                <c:pt idx="1363">
                  <c:v>1.0536414196930565E-3</c:v>
                </c:pt>
                <c:pt idx="1364">
                  <c:v>6.6885866792849337E-4</c:v>
                </c:pt>
                <c:pt idx="1365">
                  <c:v>1.9385547909693789E-3</c:v>
                </c:pt>
                <c:pt idx="1366">
                  <c:v>7.777279482369631E-4</c:v>
                </c:pt>
                <c:pt idx="1367">
                  <c:v>1.3817380765135169E-3</c:v>
                </c:pt>
                <c:pt idx="1368">
                  <c:v>1.2742018967773715E-3</c:v>
                </c:pt>
                <c:pt idx="1369">
                  <c:v>1.1994747147421026E-3</c:v>
                </c:pt>
                <c:pt idx="1370">
                  <c:v>2.0042526980278228E-3</c:v>
                </c:pt>
                <c:pt idx="1371">
                  <c:v>1.241426816937341E-3</c:v>
                </c:pt>
                <c:pt idx="1372">
                  <c:v>1.7412656247408368E-3</c:v>
                </c:pt>
                <c:pt idx="1373">
                  <c:v>1.9970194454628871E-3</c:v>
                </c:pt>
                <c:pt idx="1374">
                  <c:v>1.0909986866150558E-3</c:v>
                </c:pt>
                <c:pt idx="1375">
                  <c:v>1.0919851010580742E-3</c:v>
                </c:pt>
                <c:pt idx="1376">
                  <c:v>1.2152067530653171E-3</c:v>
                </c:pt>
                <c:pt idx="1377">
                  <c:v>2.1989282899489786E-3</c:v>
                </c:pt>
                <c:pt idx="1378">
                  <c:v>2.3145920657426525E-3</c:v>
                </c:pt>
                <c:pt idx="1379">
                  <c:v>2.1200031427840525E-3</c:v>
                </c:pt>
                <c:pt idx="1380">
                  <c:v>1.1001978057954313E-3</c:v>
                </c:pt>
                <c:pt idx="1381">
                  <c:v>8.3548866094751146E-4</c:v>
                </c:pt>
                <c:pt idx="1382">
                  <c:v>1.8511876654240408E-3</c:v>
                </c:pt>
                <c:pt idx="1383">
                  <c:v>1.6921091596348479E-3</c:v>
                </c:pt>
                <c:pt idx="1384">
                  <c:v>1.2630753283569525E-3</c:v>
                </c:pt>
                <c:pt idx="1385">
                  <c:v>2.0208714049325138E-3</c:v>
                </c:pt>
                <c:pt idx="1386">
                  <c:v>1.5542411212842138E-3</c:v>
                </c:pt>
                <c:pt idx="1387">
                  <c:v>1.1741727407177177E-3</c:v>
                </c:pt>
                <c:pt idx="1388">
                  <c:v>1.2571588552605555E-3</c:v>
                </c:pt>
                <c:pt idx="1389">
                  <c:v>2.4133725178943945E-3</c:v>
                </c:pt>
                <c:pt idx="1390">
                  <c:v>1.1774222010801174E-3</c:v>
                </c:pt>
                <c:pt idx="1391">
                  <c:v>1.1483455901916554E-3</c:v>
                </c:pt>
                <c:pt idx="1392">
                  <c:v>1.7900126860270458E-3</c:v>
                </c:pt>
                <c:pt idx="1393">
                  <c:v>1.6252417923559373E-3</c:v>
                </c:pt>
                <c:pt idx="1394">
                  <c:v>1.8123010510603826E-3</c:v>
                </c:pt>
                <c:pt idx="1395">
                  <c:v>7.5478328431706357E-4</c:v>
                </c:pt>
                <c:pt idx="1396">
                  <c:v>9.1175378241608457E-4</c:v>
                </c:pt>
                <c:pt idx="1397">
                  <c:v>1.912085041152458E-3</c:v>
                </c:pt>
                <c:pt idx="1398">
                  <c:v>1.0657692532498068E-3</c:v>
                </c:pt>
                <c:pt idx="1399">
                  <c:v>1.1341241263067537E-3</c:v>
                </c:pt>
                <c:pt idx="1400">
                  <c:v>1.3842372684027492E-3</c:v>
                </c:pt>
                <c:pt idx="1401">
                  <c:v>9.2052816176017046E-4</c:v>
                </c:pt>
                <c:pt idx="1402">
                  <c:v>2.0542321868132806E-3</c:v>
                </c:pt>
                <c:pt idx="1403">
                  <c:v>1.1329592209378078E-3</c:v>
                </c:pt>
                <c:pt idx="1404">
                  <c:v>1.6952243335065949E-3</c:v>
                </c:pt>
                <c:pt idx="1405">
                  <c:v>1.4331121626919123E-3</c:v>
                </c:pt>
                <c:pt idx="1406">
                  <c:v>5.4931831624606842E-4</c:v>
                </c:pt>
                <c:pt idx="1407">
                  <c:v>9.2314674136807144E-4</c:v>
                </c:pt>
                <c:pt idx="1408">
                  <c:v>9.515228493690085E-4</c:v>
                </c:pt>
                <c:pt idx="1409">
                  <c:v>1.9254243014589975E-3</c:v>
                </c:pt>
                <c:pt idx="1410">
                  <c:v>2.4225495402496024E-3</c:v>
                </c:pt>
                <c:pt idx="1411">
                  <c:v>2.0632923398096318E-3</c:v>
                </c:pt>
                <c:pt idx="1412">
                  <c:v>1.2749015175589498E-3</c:v>
                </c:pt>
                <c:pt idx="1413">
                  <c:v>1.5477883827420304E-3</c:v>
                </c:pt>
                <c:pt idx="1414">
                  <c:v>1.738531598153577E-3</c:v>
                </c:pt>
                <c:pt idx="1415">
                  <c:v>8.5725714176210558E-4</c:v>
                </c:pt>
                <c:pt idx="1416">
                  <c:v>1.0287365750783904E-3</c:v>
                </c:pt>
                <c:pt idx="1417">
                  <c:v>1.9621528484542006E-3</c:v>
                </c:pt>
                <c:pt idx="1418">
                  <c:v>1.1901008118928088E-3</c:v>
                </c:pt>
                <c:pt idx="1419">
                  <c:v>9.0486869561059405E-4</c:v>
                </c:pt>
                <c:pt idx="1420">
                  <c:v>2.3390284165108995E-3</c:v>
                </c:pt>
                <c:pt idx="1421">
                  <c:v>2.1989282899489791E-3</c:v>
                </c:pt>
                <c:pt idx="1422">
                  <c:v>1.7141384347129675E-3</c:v>
                </c:pt>
                <c:pt idx="1423">
                  <c:v>6.6561987714139771E-4</c:v>
                </c:pt>
                <c:pt idx="1424">
                  <c:v>1.2610918648413591E-3</c:v>
                </c:pt>
                <c:pt idx="1425">
                  <c:v>1.0349627862320568E-3</c:v>
                </c:pt>
                <c:pt idx="1426">
                  <c:v>1.2030773593212343E-3</c:v>
                </c:pt>
                <c:pt idx="1427">
                  <c:v>6.3536136167497011E-4</c:v>
                </c:pt>
                <c:pt idx="1428">
                  <c:v>5.718569103755443E-4</c:v>
                </c:pt>
                <c:pt idx="1429">
                  <c:v>8.4195024046839493E-4</c:v>
                </c:pt>
                <c:pt idx="1430">
                  <c:v>2.2252366723372876E-3</c:v>
                </c:pt>
                <c:pt idx="1431">
                  <c:v>1.0186358909163857E-3</c:v>
                </c:pt>
                <c:pt idx="1432">
                  <c:v>1.2492928360989483E-3</c:v>
                </c:pt>
                <c:pt idx="1433">
                  <c:v>1.0038317304637244E-3</c:v>
                </c:pt>
                <c:pt idx="1434">
                  <c:v>1.7783117186705494E-3</c:v>
                </c:pt>
                <c:pt idx="1435">
                  <c:v>1.7648399805418858E-3</c:v>
                </c:pt>
                <c:pt idx="1436">
                  <c:v>1.4523412792685144E-3</c:v>
                </c:pt>
                <c:pt idx="1437">
                  <c:v>1.1767989631686767E-3</c:v>
                </c:pt>
                <c:pt idx="1438">
                  <c:v>1.5754515887227729E-3</c:v>
                </c:pt>
                <c:pt idx="1439">
                  <c:v>1.4115416386621272E-3</c:v>
                </c:pt>
                <c:pt idx="1440">
                  <c:v>1.2651515759455E-3</c:v>
                </c:pt>
                <c:pt idx="1441">
                  <c:v>1.9002515959738375E-3</c:v>
                </c:pt>
                <c:pt idx="1442">
                  <c:v>1.1775291134564921E-3</c:v>
                </c:pt>
                <c:pt idx="1443">
                  <c:v>1.3214750723834694E-3</c:v>
                </c:pt>
                <c:pt idx="1444">
                  <c:v>1.2426079185920698E-3</c:v>
                </c:pt>
                <c:pt idx="1445">
                  <c:v>2.0738975735289113E-3</c:v>
                </c:pt>
                <c:pt idx="1446">
                  <c:v>1.8087667305469227E-3</c:v>
                </c:pt>
                <c:pt idx="1447">
                  <c:v>1.9890557037746757E-3</c:v>
                </c:pt>
                <c:pt idx="1448">
                  <c:v>1.2689578840029666E-3</c:v>
                </c:pt>
                <c:pt idx="1449">
                  <c:v>1.6284777573191704E-3</c:v>
                </c:pt>
                <c:pt idx="1450">
                  <c:v>2.5409372609969914E-3</c:v>
                </c:pt>
                <c:pt idx="1451">
                  <c:v>1.7244439226898234E-3</c:v>
                </c:pt>
                <c:pt idx="1452">
                  <c:v>1.7663457956698047E-3</c:v>
                </c:pt>
                <c:pt idx="1453">
                  <c:v>1.1878675027878114E-3</c:v>
                </c:pt>
                <c:pt idx="1454">
                  <c:v>1.0589805782049559E-3</c:v>
                </c:pt>
                <c:pt idx="1455">
                  <c:v>6.1518901803068484E-4</c:v>
                </c:pt>
                <c:pt idx="1456">
                  <c:v>9.5993209576498962E-4</c:v>
                </c:pt>
                <c:pt idx="1457">
                  <c:v>2.2910076283080591E-3</c:v>
                </c:pt>
                <c:pt idx="1458">
                  <c:v>2.3304702018905219E-3</c:v>
                </c:pt>
                <c:pt idx="1459">
                  <c:v>1.8193719642662022E-3</c:v>
                </c:pt>
                <c:pt idx="1460">
                  <c:v>1.8636509719015407E-3</c:v>
                </c:pt>
                <c:pt idx="1461">
                  <c:v>1.27289089358377E-3</c:v>
                </c:pt>
                <c:pt idx="1462">
                  <c:v>1.5426688341147192E-3</c:v>
                </c:pt>
                <c:pt idx="1463">
                  <c:v>1.5754515887227729E-3</c:v>
                </c:pt>
                <c:pt idx="1464">
                  <c:v>1.2640426760429011E-3</c:v>
                </c:pt>
                <c:pt idx="1465">
                  <c:v>1.1408168079719014E-3</c:v>
                </c:pt>
                <c:pt idx="1466">
                  <c:v>8.8601300666454267E-4</c:v>
                </c:pt>
                <c:pt idx="1467">
                  <c:v>1.0536414196930565E-3</c:v>
                </c:pt>
                <c:pt idx="1468">
                  <c:v>1.0221857751741411E-3</c:v>
                </c:pt>
                <c:pt idx="1469">
                  <c:v>2.0101009266040235E-3</c:v>
                </c:pt>
                <c:pt idx="1470">
                  <c:v>2.4488579226379114E-3</c:v>
                </c:pt>
                <c:pt idx="1471">
                  <c:v>2.0845028072481913E-3</c:v>
                </c:pt>
                <c:pt idx="1472">
                  <c:v>1.2794219583512408E-3</c:v>
                </c:pt>
                <c:pt idx="1473">
                  <c:v>1.7492878234083417E-3</c:v>
                </c:pt>
                <c:pt idx="1474">
                  <c:v>1.5714215344055302E-3</c:v>
                </c:pt>
                <c:pt idx="1475">
                  <c:v>1.177187660450882E-3</c:v>
                </c:pt>
                <c:pt idx="1476">
                  <c:v>1.1408083758443876E-3</c:v>
                </c:pt>
                <c:pt idx="1477">
                  <c:v>1.1345821646907212E-3</c:v>
                </c:pt>
                <c:pt idx="1478">
                  <c:v>1.8002085159265449E-3</c:v>
                </c:pt>
                <c:pt idx="1479">
                  <c:v>9.0575110348088846E-4</c:v>
                </c:pt>
                <c:pt idx="1480">
                  <c:v>1.0723200531540561E-3</c:v>
                </c:pt>
                <c:pt idx="1481">
                  <c:v>1.5860568224420521E-3</c:v>
                </c:pt>
                <c:pt idx="1482">
                  <c:v>7.8591434008539612E-4</c:v>
                </c:pt>
                <c:pt idx="1483">
                  <c:v>2.4357037314437571E-3</c:v>
                </c:pt>
                <c:pt idx="1484">
                  <c:v>2.0094938850499116E-3</c:v>
                </c:pt>
                <c:pt idx="1485">
                  <c:v>7.6298249377449757E-4</c:v>
                </c:pt>
                <c:pt idx="1486">
                  <c:v>8.4717096993996315E-4</c:v>
                </c:pt>
                <c:pt idx="1487">
                  <c:v>1.2004246894378222E-3</c:v>
                </c:pt>
                <c:pt idx="1488">
                  <c:v>7.6312437553539576E-4</c:v>
                </c:pt>
                <c:pt idx="1489">
                  <c:v>2.0016154220366634E-3</c:v>
                </c:pt>
                <c:pt idx="1490">
                  <c:v>2.3390284165109004E-3</c:v>
                </c:pt>
                <c:pt idx="1491">
                  <c:v>2.1068489515898982E-3</c:v>
                </c:pt>
                <c:pt idx="1492">
                  <c:v>1.6042163940297636E-3</c:v>
                </c:pt>
                <c:pt idx="1493">
                  <c:v>1.0162841527710574E-3</c:v>
                </c:pt>
                <c:pt idx="1494">
                  <c:v>1.2532258456797519E-3</c:v>
                </c:pt>
                <c:pt idx="1495">
                  <c:v>1.0349627862320568E-3</c:v>
                </c:pt>
                <c:pt idx="1496">
                  <c:v>1.4221538341461456E-3</c:v>
                </c:pt>
                <c:pt idx="1497">
                  <c:v>8.4383260278060156E-4</c:v>
                </c:pt>
                <c:pt idx="1498">
                  <c:v>1.8243773446597591E-3</c:v>
                </c:pt>
                <c:pt idx="1499">
                  <c:v>7.5478328431706357E-4</c:v>
                </c:pt>
                <c:pt idx="1500">
                  <c:v>1.0892390936713835E-3</c:v>
                </c:pt>
                <c:pt idx="1501">
                  <c:v>7.0596456442996772E-4</c:v>
                </c:pt>
                <c:pt idx="1502">
                  <c:v>1.8600627493080065E-3</c:v>
                </c:pt>
                <c:pt idx="1503">
                  <c:v>1.2243837754205256E-3</c:v>
                </c:pt>
                <c:pt idx="1504">
                  <c:v>1.5411439968294575E-3</c:v>
                </c:pt>
                <c:pt idx="1505">
                  <c:v>1.6401211148327241E-3</c:v>
                </c:pt>
                <c:pt idx="1506">
                  <c:v>1.2821784211049878E-3</c:v>
                </c:pt>
                <c:pt idx="1507">
                  <c:v>6.353613616749699E-4</c:v>
                </c:pt>
                <c:pt idx="1508">
                  <c:v>1.1967563761635846E-3</c:v>
                </c:pt>
                <c:pt idx="1509">
                  <c:v>2.1989282899489791E-3</c:v>
                </c:pt>
                <c:pt idx="1510">
                  <c:v>1.7928785127655084E-3</c:v>
                </c:pt>
                <c:pt idx="1511">
                  <c:v>1.2492928360989483E-3</c:v>
                </c:pt>
                <c:pt idx="1512">
                  <c:v>1.5734090450253105E-3</c:v>
                </c:pt>
                <c:pt idx="1513">
                  <c:v>1.1981637115485012E-3</c:v>
                </c:pt>
                <c:pt idx="1514">
                  <c:v>2.0121476068436159E-3</c:v>
                </c:pt>
                <c:pt idx="1515">
                  <c:v>7.7656776718496565E-4</c:v>
                </c:pt>
                <c:pt idx="1516">
                  <c:v>6.6139011701206582E-4</c:v>
                </c:pt>
                <c:pt idx="1517">
                  <c:v>1.8723981328626E-3</c:v>
                </c:pt>
                <c:pt idx="1518">
                  <c:v>2.2966074816337815E-3</c:v>
                </c:pt>
                <c:pt idx="1519">
                  <c:v>2.0526871060903523E-3</c:v>
                </c:pt>
                <c:pt idx="1520">
                  <c:v>2.0530039753539398E-3</c:v>
                </c:pt>
                <c:pt idx="1521">
                  <c:v>7.7656776718496544E-4</c:v>
                </c:pt>
                <c:pt idx="1522">
                  <c:v>1.0801902883794199E-3</c:v>
                </c:pt>
                <c:pt idx="1523">
                  <c:v>7.8591434008539623E-4</c:v>
                </c:pt>
                <c:pt idx="1524">
                  <c:v>1.7557405619505247E-3</c:v>
                </c:pt>
                <c:pt idx="1525">
                  <c:v>1.7206773437854366E-3</c:v>
                </c:pt>
                <c:pt idx="1526">
                  <c:v>2.1989282899489791E-3</c:v>
                </c:pt>
                <c:pt idx="1527">
                  <c:v>2.3304702018905219E-3</c:v>
                </c:pt>
                <c:pt idx="1528">
                  <c:v>1.8830033665818793E-3</c:v>
                </c:pt>
                <c:pt idx="1529">
                  <c:v>1.4983789875340429E-3</c:v>
                </c:pt>
                <c:pt idx="1530">
                  <c:v>1.7784961101120125E-3</c:v>
                </c:pt>
                <c:pt idx="1531">
                  <c:v>1.3615657328692316E-3</c:v>
                </c:pt>
                <c:pt idx="1532">
                  <c:v>2.3830869666671395E-3</c:v>
                </c:pt>
                <c:pt idx="1533">
                  <c:v>1.5927783938090826E-3</c:v>
                </c:pt>
                <c:pt idx="1534">
                  <c:v>1.2386579549793786E-3</c:v>
                </c:pt>
                <c:pt idx="1535">
                  <c:v>6.3536136167497011E-4</c:v>
                </c:pt>
                <c:pt idx="1536">
                  <c:v>1.8228773951254767E-3</c:v>
                </c:pt>
                <c:pt idx="1537">
                  <c:v>1.0513089489442629E-3</c:v>
                </c:pt>
                <c:pt idx="1538">
                  <c:v>2.4768964548615336E-3</c:v>
                </c:pt>
                <c:pt idx="1539">
                  <c:v>5.8044937201440108E-4</c:v>
                </c:pt>
                <c:pt idx="1540">
                  <c:v>1.2601096664620977E-3</c:v>
                </c:pt>
                <c:pt idx="1541">
                  <c:v>1.1408083758443878E-3</c:v>
                </c:pt>
                <c:pt idx="1542">
                  <c:v>9.8429320489209029E-4</c:v>
                </c:pt>
                <c:pt idx="1543">
                  <c:v>1.3093940990907202E-3</c:v>
                </c:pt>
                <c:pt idx="1544">
                  <c:v>1.0972248977687219E-3</c:v>
                </c:pt>
                <c:pt idx="1545">
                  <c:v>1.0972248977687219E-3</c:v>
                </c:pt>
                <c:pt idx="1546">
                  <c:v>1.7034406664374953E-3</c:v>
                </c:pt>
                <c:pt idx="1547">
                  <c:v>1.3414947846640663E-3</c:v>
                </c:pt>
                <c:pt idx="1548">
                  <c:v>1.0287365750783904E-3</c:v>
                </c:pt>
                <c:pt idx="1549">
                  <c:v>1.5287515465354658E-3</c:v>
                </c:pt>
                <c:pt idx="1550">
                  <c:v>1.1598422964263814E-3</c:v>
                </c:pt>
                <c:pt idx="1551">
                  <c:v>1.1470345869980542E-3</c:v>
                </c:pt>
                <c:pt idx="1552">
                  <c:v>1.9042138340204385E-3</c:v>
                </c:pt>
                <c:pt idx="1553">
                  <c:v>2.1510829974781698E-3</c:v>
                </c:pt>
                <c:pt idx="1554">
                  <c:v>9.2786034451710329E-4</c:v>
                </c:pt>
                <c:pt idx="1555">
                  <c:v>1.1925993260872706E-3</c:v>
                </c:pt>
                <c:pt idx="1556">
                  <c:v>1.1345821646907212E-3</c:v>
                </c:pt>
                <c:pt idx="1557">
                  <c:v>8.4817645162206144E-4</c:v>
                </c:pt>
                <c:pt idx="1558">
                  <c:v>2.0845028072481913E-3</c:v>
                </c:pt>
                <c:pt idx="1559">
                  <c:v>6.5553370531925518E-4</c:v>
                </c:pt>
                <c:pt idx="1560">
                  <c:v>5.5467198709783019E-4</c:v>
                </c:pt>
                <c:pt idx="1561">
                  <c:v>2.4225495402496028E-3</c:v>
                </c:pt>
                <c:pt idx="1562">
                  <c:v>1.0293577449597708E-3</c:v>
                </c:pt>
                <c:pt idx="1563">
                  <c:v>6.806899203544456E-4</c:v>
                </c:pt>
                <c:pt idx="1564">
                  <c:v>9.9137930815639116E-4</c:v>
                </c:pt>
                <c:pt idx="1565">
                  <c:v>2.3169066068765873E-3</c:v>
                </c:pt>
                <c:pt idx="1566">
                  <c:v>1.7936973204050691E-3</c:v>
                </c:pt>
                <c:pt idx="1567">
                  <c:v>1.0983342961512895E-3</c:v>
                </c:pt>
                <c:pt idx="1568">
                  <c:v>1.8723981328626E-3</c:v>
                </c:pt>
                <c:pt idx="1569">
                  <c:v>7.7346191777806321E-4</c:v>
                </c:pt>
                <c:pt idx="1570">
                  <c:v>1.2348718009693351E-3</c:v>
                </c:pt>
                <c:pt idx="1571">
                  <c:v>1.2650248744221629E-3</c:v>
                </c:pt>
                <c:pt idx="1572">
                  <c:v>1.2191397626461207E-3</c:v>
                </c:pt>
                <c:pt idx="1573">
                  <c:v>1.1793356909286126E-3</c:v>
                </c:pt>
                <c:pt idx="1574">
                  <c:v>1.7027143933541276E-3</c:v>
                </c:pt>
                <c:pt idx="1575">
                  <c:v>8.1149783972562606E-4</c:v>
                </c:pt>
                <c:pt idx="1576">
                  <c:v>1.5518392335644986E-3</c:v>
                </c:pt>
                <c:pt idx="1577">
                  <c:v>1.1878712105983771E-3</c:v>
                </c:pt>
                <c:pt idx="1578">
                  <c:v>1.3362164801999086E-3</c:v>
                </c:pt>
                <c:pt idx="1579">
                  <c:v>6.8014618486688034E-4</c:v>
                </c:pt>
                <c:pt idx="1580">
                  <c:v>7.6648159536282291E-4</c:v>
                </c:pt>
                <c:pt idx="1581">
                  <c:v>1.2676468808093652E-3</c:v>
                </c:pt>
                <c:pt idx="1582">
                  <c:v>1.6392982606186833E-3</c:v>
                </c:pt>
                <c:pt idx="1583">
                  <c:v>1.9105399604295293E-3</c:v>
                </c:pt>
                <c:pt idx="1584">
                  <c:v>8.2699862629567831E-4</c:v>
                </c:pt>
                <c:pt idx="1585">
                  <c:v>6.3025906124373316E-4</c:v>
                </c:pt>
                <c:pt idx="1586">
                  <c:v>1.851187665424041E-3</c:v>
                </c:pt>
                <c:pt idx="1587">
                  <c:v>2.349633650230179E-3</c:v>
                </c:pt>
                <c:pt idx="1588">
                  <c:v>2.1057132746867503E-3</c:v>
                </c:pt>
                <c:pt idx="1589">
                  <c:v>1.9901913806778236E-3</c:v>
                </c:pt>
                <c:pt idx="1590">
                  <c:v>8.2699862629567809E-4</c:v>
                </c:pt>
                <c:pt idx="1591">
                  <c:v>9.5839507343606291E-4</c:v>
                </c:pt>
                <c:pt idx="1592">
                  <c:v>1.1699284682485239E-3</c:v>
                </c:pt>
                <c:pt idx="1593">
                  <c:v>8.2158401154776837E-4</c:v>
                </c:pt>
                <c:pt idx="1594">
                  <c:v>2.1468134635483343E-3</c:v>
                </c:pt>
                <c:pt idx="1595">
                  <c:v>1.4294810915823515E-3</c:v>
                </c:pt>
                <c:pt idx="1596">
                  <c:v>1.922875343984123E-3</c:v>
                </c:pt>
                <c:pt idx="1597">
                  <c:v>2.4620121138320657E-3</c:v>
                </c:pt>
                <c:pt idx="1598">
                  <c:v>1.2571588552605557E-3</c:v>
                </c:pt>
                <c:pt idx="1599">
                  <c:v>1.8869318659824367E-3</c:v>
                </c:pt>
                <c:pt idx="1600">
                  <c:v>6.0510284620854252E-4</c:v>
                </c:pt>
                <c:pt idx="1601">
                  <c:v>1.2558478520669546E-3</c:v>
                </c:pt>
                <c:pt idx="1602">
                  <c:v>9.9783782249150254E-4</c:v>
                </c:pt>
                <c:pt idx="1603">
                  <c:v>9.8005421019401731E-4</c:v>
                </c:pt>
                <c:pt idx="1604">
                  <c:v>1.2440488233245435E-3</c:v>
                </c:pt>
                <c:pt idx="1605">
                  <c:v>1.2586023362285838E-3</c:v>
                </c:pt>
                <c:pt idx="1606">
                  <c:v>1.9095360836775832E-3</c:v>
                </c:pt>
                <c:pt idx="1607">
                  <c:v>1.3360840024254814E-3</c:v>
                </c:pt>
                <c:pt idx="1608">
                  <c:v>1.1162323360440611E-3</c:v>
                </c:pt>
                <c:pt idx="1609">
                  <c:v>1.5073092842401996E-3</c:v>
                </c:pt>
                <c:pt idx="1610">
                  <c:v>2.1349800183697136E-3</c:v>
                </c:pt>
                <c:pt idx="1611">
                  <c:v>1.7450827368932866E-3</c:v>
                </c:pt>
                <c:pt idx="1612">
                  <c:v>1.8418993005635458E-3</c:v>
                </c:pt>
                <c:pt idx="1613">
                  <c:v>1.1096773200760552E-3</c:v>
                </c:pt>
                <c:pt idx="1614">
                  <c:v>1.0660938420003893E-3</c:v>
                </c:pt>
                <c:pt idx="1615">
                  <c:v>1.6274738805672243E-3</c:v>
                </c:pt>
                <c:pt idx="1616">
                  <c:v>1.2579662802738299E-3</c:v>
                </c:pt>
                <c:pt idx="1617">
                  <c:v>1.0791529218492411E-3</c:v>
                </c:pt>
                <c:pt idx="1618">
                  <c:v>1.7875562631083637E-3</c:v>
                </c:pt>
                <c:pt idx="1619">
                  <c:v>1.2001869837149513E-3</c:v>
                </c:pt>
                <c:pt idx="1620">
                  <c:v>1.1221297423833882E-3</c:v>
                </c:pt>
                <c:pt idx="1621">
                  <c:v>1.0909986866150555E-3</c:v>
                </c:pt>
                <c:pt idx="1622">
                  <c:v>1.0006488650916411E-3</c:v>
                </c:pt>
                <c:pt idx="1623">
                  <c:v>8.7930750739039398E-4</c:v>
                </c:pt>
                <c:pt idx="1624">
                  <c:v>9.9859614981683323E-4</c:v>
                </c:pt>
                <c:pt idx="1625">
                  <c:v>1.8608964877399117E-3</c:v>
                </c:pt>
                <c:pt idx="1626">
                  <c:v>8.9798614085139351E-4</c:v>
                </c:pt>
                <c:pt idx="1627">
                  <c:v>1.9884612308425091E-3</c:v>
                </c:pt>
                <c:pt idx="1628">
                  <c:v>9.9137930815639116E-4</c:v>
                </c:pt>
                <c:pt idx="1629">
                  <c:v>9.8515309700272476E-4</c:v>
                </c:pt>
                <c:pt idx="1630">
                  <c:v>1.8204100880604762E-3</c:v>
                </c:pt>
                <c:pt idx="1631">
                  <c:v>1.6698437838117066E-3</c:v>
                </c:pt>
                <c:pt idx="1632">
                  <c:v>1.4239350156140958E-3</c:v>
                </c:pt>
                <c:pt idx="1633">
                  <c:v>5.2441347163140238E-4</c:v>
                </c:pt>
                <c:pt idx="1634">
                  <c:v>1.9572400026168363E-3</c:v>
                </c:pt>
                <c:pt idx="1635">
                  <c:v>1.5327263979468329E-3</c:v>
                </c:pt>
                <c:pt idx="1636">
                  <c:v>9.7829120362781562E-4</c:v>
                </c:pt>
                <c:pt idx="1637">
                  <c:v>1.0742928820400932E-3</c:v>
                </c:pt>
                <c:pt idx="1638">
                  <c:v>2.0805405692015896E-3</c:v>
                </c:pt>
                <c:pt idx="1639">
                  <c:v>1.2571588552605557E-3</c:v>
                </c:pt>
                <c:pt idx="1640">
                  <c:v>1.2099627402909121E-3</c:v>
                </c:pt>
                <c:pt idx="1641">
                  <c:v>9.6638049352080829E-4</c:v>
                </c:pt>
                <c:pt idx="1642">
                  <c:v>1.7663457956698047E-3</c:v>
                </c:pt>
                <c:pt idx="1643">
                  <c:v>8.6773576334829247E-4</c:v>
                </c:pt>
                <c:pt idx="1644">
                  <c:v>7.4630925171853806E-4</c:v>
                </c:pt>
                <c:pt idx="1645">
                  <c:v>1.4032533082233326E-3</c:v>
                </c:pt>
                <c:pt idx="1646">
                  <c:v>7.6723570662439659E-4</c:v>
                </c:pt>
                <c:pt idx="1647">
                  <c:v>1.6056786830184323E-3</c:v>
                </c:pt>
                <c:pt idx="1648">
                  <c:v>9.2244572976919368E-4</c:v>
                </c:pt>
                <c:pt idx="1649">
                  <c:v>2.3920545851072979E-3</c:v>
                </c:pt>
                <c:pt idx="1650">
                  <c:v>1.9937935621331991E-3</c:v>
                </c:pt>
                <c:pt idx="1651">
                  <c:v>1.8031668772212001E-3</c:v>
                </c:pt>
                <c:pt idx="1652">
                  <c:v>9.2289098546605955E-4</c:v>
                </c:pt>
                <c:pt idx="1653">
                  <c:v>1.1116459328983353E-3</c:v>
                </c:pt>
                <c:pt idx="1654">
                  <c:v>1.2483106377196866E-3</c:v>
                </c:pt>
                <c:pt idx="1655">
                  <c:v>1.2492928360989483E-3</c:v>
                </c:pt>
                <c:pt idx="1656">
                  <c:v>2.4488579226379114E-3</c:v>
                </c:pt>
                <c:pt idx="1657">
                  <c:v>1.0791529218492409E-3</c:v>
                </c:pt>
                <c:pt idx="1658">
                  <c:v>1.1829050156769493E-3</c:v>
                </c:pt>
                <c:pt idx="1659">
                  <c:v>1.8820050166119576E-3</c:v>
                </c:pt>
                <c:pt idx="1660">
                  <c:v>9.1777417269496087E-4</c:v>
                </c:pt>
                <c:pt idx="1661">
                  <c:v>2.0161247756825614E-3</c:v>
                </c:pt>
                <c:pt idx="1662">
                  <c:v>1.0847724754613891E-3</c:v>
                </c:pt>
                <c:pt idx="1663">
                  <c:v>1.1408083758443876E-3</c:v>
                </c:pt>
                <c:pt idx="1664">
                  <c:v>1.5754515887227729E-3</c:v>
                </c:pt>
                <c:pt idx="1665">
                  <c:v>1.2545368488733534E-3</c:v>
                </c:pt>
                <c:pt idx="1666">
                  <c:v>1.7133196270734065E-3</c:v>
                </c:pt>
                <c:pt idx="1667">
                  <c:v>2.3041618195022134E-3</c:v>
                </c:pt>
                <c:pt idx="1668">
                  <c:v>1.4830415916798432E-3</c:v>
                </c:pt>
                <c:pt idx="1669">
                  <c:v>2.2383908635314419E-3</c:v>
                </c:pt>
                <c:pt idx="1670">
                  <c:v>1.0755759930749554E-3</c:v>
                </c:pt>
                <c:pt idx="1671">
                  <c:v>1.5856720922365493E-3</c:v>
                </c:pt>
                <c:pt idx="1672">
                  <c:v>7.4630925171853785E-4</c:v>
                </c:pt>
                <c:pt idx="1673">
                  <c:v>1.4687661461216936E-3</c:v>
                </c:pt>
                <c:pt idx="1674">
                  <c:v>1.8174567453185029E-3</c:v>
                </c:pt>
                <c:pt idx="1675">
                  <c:v>1.5177369089964059E-3</c:v>
                </c:pt>
                <c:pt idx="1676">
                  <c:v>1.6921091596348481E-3</c:v>
                </c:pt>
                <c:pt idx="1677">
                  <c:v>1.6602934584770091E-3</c:v>
                </c:pt>
                <c:pt idx="1678">
                  <c:v>2.5803998345794547E-3</c:v>
                </c:pt>
                <c:pt idx="1679">
                  <c:v>2.0250579776865097E-3</c:v>
                </c:pt>
                <c:pt idx="1680">
                  <c:v>1.622094823532213E-3</c:v>
                </c:pt>
                <c:pt idx="1681">
                  <c:v>1.4110098387014648E-3</c:v>
                </c:pt>
                <c:pt idx="1682">
                  <c:v>1.2624028680349607E-3</c:v>
                </c:pt>
                <c:pt idx="1683">
                  <c:v>1.2532258456797519E-3</c:v>
                </c:pt>
                <c:pt idx="1684">
                  <c:v>1.535765358246929E-3</c:v>
                </c:pt>
                <c:pt idx="1685">
                  <c:v>1.2742018967773713E-3</c:v>
                </c:pt>
                <c:pt idx="1686">
                  <c:v>1.0038317304637244E-3</c:v>
                </c:pt>
                <c:pt idx="1687">
                  <c:v>7.5639542354068059E-4</c:v>
                </c:pt>
                <c:pt idx="1688">
                  <c:v>1.1286889744151513E-3</c:v>
                </c:pt>
                <c:pt idx="1689">
                  <c:v>1.2637138712285616E-3</c:v>
                </c:pt>
                <c:pt idx="1690">
                  <c:v>2.0208714049325138E-3</c:v>
                </c:pt>
                <c:pt idx="1691">
                  <c:v>2.125335474074742E-3</c:v>
                </c:pt>
                <c:pt idx="1692">
                  <c:v>8.9175992969772679E-4</c:v>
                </c:pt>
                <c:pt idx="1693">
                  <c:v>1.185857262319367E-3</c:v>
                </c:pt>
                <c:pt idx="1694">
                  <c:v>1.2424132313803597E-3</c:v>
                </c:pt>
                <c:pt idx="1695">
                  <c:v>9.0396098158453564E-4</c:v>
                </c:pt>
                <c:pt idx="1696">
                  <c:v>1.9095360836775832E-3</c:v>
                </c:pt>
                <c:pt idx="1697">
                  <c:v>9.477958300807257E-4</c:v>
                </c:pt>
                <c:pt idx="1698">
                  <c:v>9.4156961892705908E-4</c:v>
                </c:pt>
                <c:pt idx="1699">
                  <c:v>5.6475815891997229E-4</c:v>
                </c:pt>
                <c:pt idx="1700">
                  <c:v>1.7648399805418858E-3</c:v>
                </c:pt>
                <c:pt idx="1701">
                  <c:v>1.0195637687869386E-3</c:v>
                </c:pt>
                <c:pt idx="1702">
                  <c:v>1.228316785001329E-3</c:v>
                </c:pt>
                <c:pt idx="1703">
                  <c:v>5.9501667438639999E-4</c:v>
                </c:pt>
                <c:pt idx="1704">
                  <c:v>2.0314766386517933E-3</c:v>
                </c:pt>
                <c:pt idx="1705">
                  <c:v>1.5723327071835527E-3</c:v>
                </c:pt>
                <c:pt idx="1706">
                  <c:v>8.2949781816106191E-4</c:v>
                </c:pt>
                <c:pt idx="1707">
                  <c:v>9.8548611788082103E-4</c:v>
                </c:pt>
                <c:pt idx="1708">
                  <c:v>1.9819062148745035E-3</c:v>
                </c:pt>
                <c:pt idx="1709">
                  <c:v>1.2848271691126788E-3</c:v>
                </c:pt>
                <c:pt idx="1710">
                  <c:v>7.3142288737798058E-4</c:v>
                </c:pt>
                <c:pt idx="1711">
                  <c:v>1.8405824317047612E-3</c:v>
                </c:pt>
                <c:pt idx="1712">
                  <c:v>8.4717096993996294E-4</c:v>
                </c:pt>
                <c:pt idx="1713">
                  <c:v>1.3281296647475898E-3</c:v>
                </c:pt>
                <c:pt idx="1714">
                  <c:v>7.4630925171853785E-4</c:v>
                </c:pt>
                <c:pt idx="1715">
                  <c:v>2.5672456433853004E-3</c:v>
                </c:pt>
                <c:pt idx="1716">
                  <c:v>2.5540914521911462E-3</c:v>
                </c:pt>
                <c:pt idx="1717">
                  <c:v>1.6474561365464426E-3</c:v>
                </c:pt>
                <c:pt idx="1718">
                  <c:v>2.17261990756067E-3</c:v>
                </c:pt>
                <c:pt idx="1719">
                  <c:v>1.2348718009693349E-3</c:v>
                </c:pt>
                <c:pt idx="1720">
                  <c:v>2.4026598188265774E-3</c:v>
                </c:pt>
                <c:pt idx="1721">
                  <c:v>1.6517407706386558E-3</c:v>
                </c:pt>
                <c:pt idx="1722">
                  <c:v>1.7063990277321505E-3</c:v>
                </c:pt>
                <c:pt idx="1723">
                  <c:v>9.1666477431239315E-4</c:v>
                </c:pt>
                <c:pt idx="1724">
                  <c:v>1.1116459328983353E-3</c:v>
                </c:pt>
                <c:pt idx="1725">
                  <c:v>1.1519666592131471E-3</c:v>
                </c:pt>
                <c:pt idx="1726">
                  <c:v>1.2401158137437399E-3</c:v>
                </c:pt>
                <c:pt idx="1727">
                  <c:v>1.7133196270734071E-3</c:v>
                </c:pt>
                <c:pt idx="1728">
                  <c:v>1.0791529218492409E-3</c:v>
                </c:pt>
                <c:pt idx="1729">
                  <c:v>1.2035964212183713E-3</c:v>
                </c:pt>
                <c:pt idx="1730">
                  <c:v>1.6826107131645315E-3</c:v>
                </c:pt>
                <c:pt idx="1731">
                  <c:v>9.1777417269496065E-4</c:v>
                </c:pt>
                <c:pt idx="1732">
                  <c:v>6.7908655209380359E-4</c:v>
                </c:pt>
                <c:pt idx="1733">
                  <c:v>8.6062887392939435E-4</c:v>
                </c:pt>
                <c:pt idx="1734">
                  <c:v>9.9846354727210112E-4</c:v>
                </c:pt>
                <c:pt idx="1735">
                  <c:v>1.0411889973857232E-3</c:v>
                </c:pt>
                <c:pt idx="1736">
                  <c:v>1.1784986636444832E-3</c:v>
                </c:pt>
                <c:pt idx="1737">
                  <c:v>1.2781349063581749E-3</c:v>
                </c:pt>
                <c:pt idx="1738">
                  <c:v>1.9513064954133693E-3</c:v>
                </c:pt>
                <c:pt idx="1739">
                  <c:v>9.690191598234082E-4</c:v>
                </c:pt>
                <c:pt idx="1740">
                  <c:v>6.3298045061864591E-4</c:v>
                </c:pt>
                <c:pt idx="1741">
                  <c:v>1.5712068978487939E-3</c:v>
                </c:pt>
                <c:pt idx="1742">
                  <c:v>7.5639542354068038E-4</c:v>
                </c:pt>
                <c:pt idx="1743">
                  <c:v>2.4620121138320657E-3</c:v>
                </c:pt>
                <c:pt idx="1744">
                  <c:v>1.2191397626461207E-3</c:v>
                </c:pt>
                <c:pt idx="1745">
                  <c:v>1.6815039259155684E-3</c:v>
                </c:pt>
                <c:pt idx="1746">
                  <c:v>1.6921091596348481E-3</c:v>
                </c:pt>
                <c:pt idx="1747">
                  <c:v>2.2753970141952224E-3</c:v>
                </c:pt>
                <c:pt idx="1748">
                  <c:v>2.4768964548615336E-3</c:v>
                </c:pt>
                <c:pt idx="1749">
                  <c:v>1.2532258456797517E-3</c:v>
                </c:pt>
                <c:pt idx="1750">
                  <c:v>1.2290847303782866E-3</c:v>
                </c:pt>
                <c:pt idx="1751">
                  <c:v>1.6596064509886508E-3</c:v>
                </c:pt>
                <c:pt idx="1752">
                  <c:v>1.4148697993699407E-3</c:v>
                </c:pt>
                <c:pt idx="1753">
                  <c:v>1.2532258456797519E-3</c:v>
                </c:pt>
                <c:pt idx="1754">
                  <c:v>1.2440488233245435E-3</c:v>
                </c:pt>
                <c:pt idx="1755">
                  <c:v>1.5319053975784531E-3</c:v>
                </c:pt>
                <c:pt idx="1756">
                  <c:v>1.2742018967773713E-3</c:v>
                </c:pt>
                <c:pt idx="1757">
                  <c:v>1.2388048105501385E-3</c:v>
                </c:pt>
                <c:pt idx="1758">
                  <c:v>8.1691245447353578E-4</c:v>
                </c:pt>
                <c:pt idx="1759">
                  <c:v>1.1286889744151513E-3</c:v>
                </c:pt>
                <c:pt idx="1760">
                  <c:v>1.2637138712285616E-3</c:v>
                </c:pt>
                <c:pt idx="1761">
                  <c:v>2.0208714049325138E-3</c:v>
                </c:pt>
                <c:pt idx="1762">
                  <c:v>1.5732195005114856E-3</c:v>
                </c:pt>
                <c:pt idx="1763">
                  <c:v>8.8852113891063156E-4</c:v>
                </c:pt>
                <c:pt idx="1764">
                  <c:v>1.0512878173991368E-3</c:v>
                </c:pt>
                <c:pt idx="1765">
                  <c:v>1.7504631046704143E-3</c:v>
                </c:pt>
                <c:pt idx="1766">
                  <c:v>1.2165177562589182E-3</c:v>
                </c:pt>
                <c:pt idx="1767">
                  <c:v>1.8174567453185029E-3</c:v>
                </c:pt>
                <c:pt idx="1768">
                  <c:v>9.477958300807257E-4</c:v>
                </c:pt>
                <c:pt idx="1769">
                  <c:v>9.4156961892705908E-4</c:v>
                </c:pt>
                <c:pt idx="1770">
                  <c:v>5.6475815891997229E-4</c:v>
                </c:pt>
                <c:pt idx="1771">
                  <c:v>1.7648399805418854E-3</c:v>
                </c:pt>
                <c:pt idx="1772">
                  <c:v>1.1953360537042389E-3</c:v>
                </c:pt>
                <c:pt idx="1773">
                  <c:v>7.4233086200973055E-4</c:v>
                </c:pt>
                <c:pt idx="1774">
                  <c:v>8.2699862629567809E-4</c:v>
                </c:pt>
                <c:pt idx="1775">
                  <c:v>1.6496882247577299E-3</c:v>
                </c:pt>
                <c:pt idx="1776">
                  <c:v>2.1805300859804194E-3</c:v>
                </c:pt>
                <c:pt idx="1777">
                  <c:v>7.8591434008539623E-4</c:v>
                </c:pt>
                <c:pt idx="1778">
                  <c:v>9.8548611788082103E-4</c:v>
                </c:pt>
                <c:pt idx="1779">
                  <c:v>1.9819062148745035E-3</c:v>
                </c:pt>
                <c:pt idx="1780">
                  <c:v>1.2848271691126788E-3</c:v>
                </c:pt>
                <c:pt idx="1781">
                  <c:v>2.593554025773609E-3</c:v>
                </c:pt>
                <c:pt idx="1782">
                  <c:v>1.7593739952304845E-3</c:v>
                </c:pt>
                <c:pt idx="1783">
                  <c:v>1.0993252654935262E-3</c:v>
                </c:pt>
                <c:pt idx="1784">
                  <c:v>2.5672456433853004E-3</c:v>
                </c:pt>
                <c:pt idx="1785">
                  <c:v>1.109677320076055E-3</c:v>
                </c:pt>
                <c:pt idx="1786">
                  <c:v>1.2217617690333232E-3</c:v>
                </c:pt>
                <c:pt idx="1787">
                  <c:v>1.27289089358377E-3</c:v>
                </c:pt>
                <c:pt idx="1788">
                  <c:v>8.8586252335840008E-4</c:v>
                </c:pt>
                <c:pt idx="1789">
                  <c:v>2.2053469509142622E-3</c:v>
                </c:pt>
                <c:pt idx="1790">
                  <c:v>1.1415222045941052E-3</c:v>
                </c:pt>
                <c:pt idx="1791">
                  <c:v>2.4662912211422545E-3</c:v>
                </c:pt>
                <c:pt idx="1792">
                  <c:v>1.6517407706386558E-3</c:v>
                </c:pt>
                <c:pt idx="1793">
                  <c:v>1.693244836537996E-3</c:v>
                </c:pt>
                <c:pt idx="1794">
                  <c:v>8.7930750739039388E-4</c:v>
                </c:pt>
                <c:pt idx="1795">
                  <c:v>1.0153019543917955E-3</c:v>
                </c:pt>
                <c:pt idx="1796">
                  <c:v>2.150377012527592E-3</c:v>
                </c:pt>
                <c:pt idx="1797">
                  <c:v>1.2401158137437399E-3</c:v>
                </c:pt>
                <c:pt idx="1798">
                  <c:v>1.7133196270734071E-3</c:v>
                </c:pt>
                <c:pt idx="1799">
                  <c:v>8.1144035458144274E-4</c:v>
                </c:pt>
                <c:pt idx="1800">
                  <c:v>2.0858729004922792E-3</c:v>
                </c:pt>
                <c:pt idx="1801">
                  <c:v>2.5146288786086829E-3</c:v>
                </c:pt>
                <c:pt idx="1802">
                  <c:v>9.8837737544995815E-4</c:v>
                </c:pt>
                <c:pt idx="1803">
                  <c:v>1.7476359104080699E-3</c:v>
                </c:pt>
                <c:pt idx="1804">
                  <c:v>8.2327160700739529E-4</c:v>
                </c:pt>
                <c:pt idx="1805">
                  <c:v>8.1704539585372878E-4</c:v>
                </c:pt>
                <c:pt idx="1806">
                  <c:v>1.0349627862320568E-3</c:v>
                </c:pt>
                <c:pt idx="1807">
                  <c:v>1.1709614492972154E-3</c:v>
                </c:pt>
                <c:pt idx="1808">
                  <c:v>2.0855703289975394E-3</c:v>
                </c:pt>
                <c:pt idx="1809">
                  <c:v>2.060743382334757E-3</c:v>
                </c:pt>
                <c:pt idx="1810">
                  <c:v>2.146311525172361E-3</c:v>
                </c:pt>
                <c:pt idx="1811">
                  <c:v>6.0617979821020885E-4</c:v>
                </c:pt>
                <c:pt idx="1812">
                  <c:v>1.4308513542203216E-3</c:v>
                </c:pt>
                <c:pt idx="1813">
                  <c:v>2.0569425117167679E-3</c:v>
                </c:pt>
                <c:pt idx="1814">
                  <c:v>9.7911397832022972E-4</c:v>
                </c:pt>
                <c:pt idx="1815">
                  <c:v>1.6815039259155684E-3</c:v>
                </c:pt>
                <c:pt idx="1816">
                  <c:v>5.8493050256425757E-4</c:v>
                </c:pt>
                <c:pt idx="1817">
                  <c:v>1.2676468808093654E-3</c:v>
                </c:pt>
                <c:pt idx="1818">
                  <c:v>2.2383908635314415E-3</c:v>
                </c:pt>
                <c:pt idx="1819">
                  <c:v>1.5648463550034933E-3</c:v>
                </c:pt>
                <c:pt idx="1820">
                  <c:v>1.0536414196930565E-3</c:v>
                </c:pt>
                <c:pt idx="1821">
                  <c:v>1.484641715783384E-3</c:v>
                </c:pt>
                <c:pt idx="1822">
                  <c:v>1.1627666253212685E-3</c:v>
                </c:pt>
                <c:pt idx="1823">
                  <c:v>5.3449964345354492E-4</c:v>
                </c:pt>
                <c:pt idx="1824">
                  <c:v>7.2987843970239753E-4</c:v>
                </c:pt>
                <c:pt idx="1825">
                  <c:v>1.7697552331732247E-3</c:v>
                </c:pt>
                <c:pt idx="1826">
                  <c:v>1.4844909731634073E-3</c:v>
                </c:pt>
                <c:pt idx="1827">
                  <c:v>1.591257647888819E-3</c:v>
                </c:pt>
                <c:pt idx="1828">
                  <c:v>9.3794651633924582E-4</c:v>
                </c:pt>
                <c:pt idx="1829">
                  <c:v>2.4093953490554481E-3</c:v>
                </c:pt>
                <c:pt idx="1830">
                  <c:v>9.1777417269496087E-4</c:v>
                </c:pt>
                <c:pt idx="1831">
                  <c:v>1.9652037443050482E-3</c:v>
                </c:pt>
                <c:pt idx="1832">
                  <c:v>7.734619177780631E-4</c:v>
                </c:pt>
                <c:pt idx="1833">
                  <c:v>1.9901913806778236E-3</c:v>
                </c:pt>
                <c:pt idx="1834">
                  <c:v>8.5888379332558443E-4</c:v>
                </c:pt>
                <c:pt idx="1835">
                  <c:v>1.0752708643555981E-3</c:v>
                </c:pt>
                <c:pt idx="1836">
                  <c:v>8.8921535770433962E-4</c:v>
                </c:pt>
                <c:pt idx="1837">
                  <c:v>1.2010740363567183E-3</c:v>
                </c:pt>
                <c:pt idx="1838">
                  <c:v>1.2270057818077281E-3</c:v>
                </c:pt>
                <c:pt idx="1839">
                  <c:v>8.9798614085139341E-4</c:v>
                </c:pt>
                <c:pt idx="1840">
                  <c:v>1.0785462643077225E-3</c:v>
                </c:pt>
                <c:pt idx="1841">
                  <c:v>1.6701827950537452E-3</c:v>
                </c:pt>
                <c:pt idx="1842">
                  <c:v>1.1953360537042389E-3</c:v>
                </c:pt>
                <c:pt idx="1843">
                  <c:v>1.1837426764188879E-3</c:v>
                </c:pt>
                <c:pt idx="1844">
                  <c:v>9.1666477431239304E-4</c:v>
                </c:pt>
                <c:pt idx="1845">
                  <c:v>7.0596456442996772E-4</c:v>
                </c:pt>
                <c:pt idx="1846">
                  <c:v>2.0389656471425897E-3</c:v>
                </c:pt>
                <c:pt idx="1847">
                  <c:v>1.2227647186452825E-3</c:v>
                </c:pt>
                <c:pt idx="1848">
                  <c:v>1.3112291826625944E-3</c:v>
                </c:pt>
                <c:pt idx="1849">
                  <c:v>1.5906948102641233E-3</c:v>
                </c:pt>
                <c:pt idx="1850">
                  <c:v>1.6072672898806114E-3</c:v>
                </c:pt>
                <c:pt idx="1851">
                  <c:v>1.7800654007719063E-3</c:v>
                </c:pt>
                <c:pt idx="1852">
                  <c:v>1.2123494031256424E-3</c:v>
                </c:pt>
                <c:pt idx="1853">
                  <c:v>2.5803998345794547E-3</c:v>
                </c:pt>
                <c:pt idx="1854">
                  <c:v>1.3284879121405796E-3</c:v>
                </c:pt>
                <c:pt idx="1855">
                  <c:v>1.6921091596348481E-3</c:v>
                </c:pt>
                <c:pt idx="1856">
                  <c:v>2.501474687414529E-3</c:v>
                </c:pt>
                <c:pt idx="1857">
                  <c:v>1.5846435418703261E-3</c:v>
                </c:pt>
                <c:pt idx="1858">
                  <c:v>2.1068489515898982E-3</c:v>
                </c:pt>
                <c:pt idx="1859">
                  <c:v>2.0147696132308181E-3</c:v>
                </c:pt>
                <c:pt idx="1860">
                  <c:v>2.4667006249620349E-3</c:v>
                </c:pt>
                <c:pt idx="1861">
                  <c:v>2.5409372609969914E-3</c:v>
                </c:pt>
                <c:pt idx="1862">
                  <c:v>1.1994747147421026E-3</c:v>
                </c:pt>
                <c:pt idx="1863">
                  <c:v>1.6176485278233518E-3</c:v>
                </c:pt>
                <c:pt idx="1864">
                  <c:v>2.1673758947862655E-3</c:v>
                </c:pt>
                <c:pt idx="1865">
                  <c:v>1.0059082270631758E-3</c:v>
                </c:pt>
                <c:pt idx="1866">
                  <c:v>1.2335607977757338E-3</c:v>
                </c:pt>
                <c:pt idx="1867">
                  <c:v>1.7663457956698047E-3</c:v>
                </c:pt>
                <c:pt idx="1868">
                  <c:v>8.6722488454391673E-4</c:v>
                </c:pt>
                <c:pt idx="1869">
                  <c:v>2.0214571069732505E-3</c:v>
                </c:pt>
                <c:pt idx="1870">
                  <c:v>1.2728908935837702E-3</c:v>
                </c:pt>
                <c:pt idx="1871">
                  <c:v>8.3572402931472831E-4</c:v>
                </c:pt>
                <c:pt idx="1872">
                  <c:v>1.6690912774087389E-3</c:v>
                </c:pt>
                <c:pt idx="1873">
                  <c:v>7.9836676239272925E-4</c:v>
                </c:pt>
                <c:pt idx="1874">
                  <c:v>7.9214055123906263E-4</c:v>
                </c:pt>
                <c:pt idx="1875">
                  <c:v>1.0100579416173908E-3</c:v>
                </c:pt>
                <c:pt idx="1876">
                  <c:v>1.5162655103046967E-3</c:v>
                </c:pt>
                <c:pt idx="1877">
                  <c:v>2.0411075629680826E-3</c:v>
                </c:pt>
                <c:pt idx="1878">
                  <c:v>1.1221297423833882E-3</c:v>
                </c:pt>
                <c:pt idx="1879">
                  <c:v>1.9360295351782773E-3</c:v>
                </c:pt>
                <c:pt idx="1880">
                  <c:v>1.4523412792685141E-3</c:v>
                </c:pt>
                <c:pt idx="1881">
                  <c:v>1.2464233015976179E-3</c:v>
                </c:pt>
                <c:pt idx="1882">
                  <c:v>2.593554025773609E-3</c:v>
                </c:pt>
                <c:pt idx="1883">
                  <c:v>1.1432930553699097E-3</c:v>
                </c:pt>
                <c:pt idx="1884">
                  <c:v>1.6815039259155686E-3</c:v>
                </c:pt>
                <c:pt idx="1885">
                  <c:v>1.2125847466781144E-3</c:v>
                </c:pt>
                <c:pt idx="1886">
                  <c:v>1.7239248607926862E-3</c:v>
                </c:pt>
                <c:pt idx="1887">
                  <c:v>6.3536136167497022E-4</c:v>
                </c:pt>
                <c:pt idx="1888">
                  <c:v>2.4357037314437571E-3</c:v>
                </c:pt>
                <c:pt idx="1889">
                  <c:v>2.2778534371139052E-3</c:v>
                </c:pt>
                <c:pt idx="1890">
                  <c:v>5.9501667438640021E-4</c:v>
                </c:pt>
                <c:pt idx="1891">
                  <c:v>1.2519148424861507E-3</c:v>
                </c:pt>
                <c:pt idx="1892">
                  <c:v>2.4132650525458569E-3</c:v>
                </c:pt>
                <c:pt idx="1893">
                  <c:v>2.356778584278831E-3</c:v>
                </c:pt>
                <c:pt idx="1894">
                  <c:v>1.2611360240995016E-3</c:v>
                </c:pt>
                <c:pt idx="1895">
                  <c:v>7.1505976690987381E-4</c:v>
                </c:pt>
                <c:pt idx="1896">
                  <c:v>1.2270057818077279E-3</c:v>
                </c:pt>
                <c:pt idx="1897">
                  <c:v>5.519403226332708E-4</c:v>
                </c:pt>
                <c:pt idx="1898">
                  <c:v>1.2676468808093652E-3</c:v>
                </c:pt>
                <c:pt idx="1899">
                  <c:v>1.233560797775734E-3</c:v>
                </c:pt>
                <c:pt idx="1900">
                  <c:v>9.3534340777339268E-4</c:v>
                </c:pt>
                <c:pt idx="1901">
                  <c:v>1.4098092960741454E-3</c:v>
                </c:pt>
                <c:pt idx="1902">
                  <c:v>1.2492928360989485E-3</c:v>
                </c:pt>
                <c:pt idx="1903">
                  <c:v>1.113563932492765E-3</c:v>
                </c:pt>
                <c:pt idx="1904">
                  <c:v>2.4883204962203747E-3</c:v>
                </c:pt>
                <c:pt idx="1905">
                  <c:v>1.1290219952932476E-3</c:v>
                </c:pt>
                <c:pt idx="1906">
                  <c:v>1.6046753591909516E-3</c:v>
                </c:pt>
                <c:pt idx="1907">
                  <c:v>1.8205076411693508E-3</c:v>
                </c:pt>
                <c:pt idx="1908">
                  <c:v>1.2112737434845132E-3</c:v>
                </c:pt>
                <c:pt idx="1909">
                  <c:v>2.2011603781602659E-3</c:v>
                </c:pt>
                <c:pt idx="1910">
                  <c:v>1.2217617690333232E-3</c:v>
                </c:pt>
                <c:pt idx="1911">
                  <c:v>1.220450765839722E-3</c:v>
                </c:pt>
                <c:pt idx="1912">
                  <c:v>1.0536414196930565E-3</c:v>
                </c:pt>
                <c:pt idx="1913">
                  <c:v>1.658151712140793E-3</c:v>
                </c:pt>
                <c:pt idx="1914">
                  <c:v>1.9884612308425096E-3</c:v>
                </c:pt>
                <c:pt idx="1915">
                  <c:v>1.1784986636444832E-3</c:v>
                </c:pt>
                <c:pt idx="1916">
                  <c:v>8.9175992969772679E-4</c:v>
                </c:pt>
                <c:pt idx="1917">
                  <c:v>6.8579222078568266E-4</c:v>
                </c:pt>
                <c:pt idx="1918">
                  <c:v>2.1016490980736362E-3</c:v>
                </c:pt>
                <c:pt idx="1919">
                  <c:v>7.5478328431706357E-4</c:v>
                </c:pt>
                <c:pt idx="1920">
                  <c:v>1.3796562226213176E-3</c:v>
                </c:pt>
                <c:pt idx="1921">
                  <c:v>1.2781349063581749E-3</c:v>
                </c:pt>
                <c:pt idx="1922">
                  <c:v>1.4991711429672089E-3</c:v>
                </c:pt>
                <c:pt idx="1923">
                  <c:v>1.5754515887227726E-3</c:v>
                </c:pt>
                <c:pt idx="1924">
                  <c:v>1.9158571915339924E-3</c:v>
                </c:pt>
                <c:pt idx="1925">
                  <c:v>8.4468629041444128E-4</c:v>
                </c:pt>
                <c:pt idx="1926">
                  <c:v>1.2650248744221629E-3</c:v>
                </c:pt>
                <c:pt idx="1927">
                  <c:v>1.0525175089706269E-3</c:v>
                </c:pt>
                <c:pt idx="1928">
                  <c:v>1.2676468808093654E-3</c:v>
                </c:pt>
                <c:pt idx="1929">
                  <c:v>1.2715798903901688E-3</c:v>
                </c:pt>
                <c:pt idx="1930">
                  <c:v>2.356778584278831E-3</c:v>
                </c:pt>
                <c:pt idx="1931">
                  <c:v>2.1068489515898982E-3</c:v>
                </c:pt>
                <c:pt idx="1932">
                  <c:v>2.0147696132308181E-3</c:v>
                </c:pt>
                <c:pt idx="1933">
                  <c:v>2.4667006249620349E-3</c:v>
                </c:pt>
                <c:pt idx="1934">
                  <c:v>2.4488579226379114E-3</c:v>
                </c:pt>
                <c:pt idx="1935">
                  <c:v>1.1916086955804951E-3</c:v>
                </c:pt>
                <c:pt idx="1936">
                  <c:v>1.6282537615426316E-3</c:v>
                </c:pt>
                <c:pt idx="1937">
                  <c:v>1.8172324106111083E-3</c:v>
                </c:pt>
                <c:pt idx="1938">
                  <c:v>1.5463022673946781E-3</c:v>
                </c:pt>
                <c:pt idx="1939">
                  <c:v>1.0949770763238628E-3</c:v>
                </c:pt>
                <c:pt idx="1940">
                  <c:v>1.8299771979854817E-3</c:v>
                </c:pt>
                <c:pt idx="1941">
                  <c:v>8.7731105636605926E-4</c:v>
                </c:pt>
                <c:pt idx="1942">
                  <c:v>2.0214571069732505E-3</c:v>
                </c:pt>
                <c:pt idx="1943">
                  <c:v>2.4488579226379114E-3</c:v>
                </c:pt>
                <c:pt idx="1944">
                  <c:v>8.0222672306120549E-4</c:v>
                </c:pt>
                <c:pt idx="1945">
                  <c:v>1.2702688871965675E-3</c:v>
                </c:pt>
                <c:pt idx="1946">
                  <c:v>1.0162841527710574E-3</c:v>
                </c:pt>
                <c:pt idx="1947">
                  <c:v>1.0723200531540559E-3</c:v>
                </c:pt>
                <c:pt idx="1948">
                  <c:v>7.4630925171853763E-4</c:v>
                </c:pt>
                <c:pt idx="1949">
                  <c:v>2.0898500693312247E-3</c:v>
                </c:pt>
                <c:pt idx="1950">
                  <c:v>2.4357037314437571E-3</c:v>
                </c:pt>
                <c:pt idx="1951">
                  <c:v>1.8654142274547971E-3</c:v>
                </c:pt>
                <c:pt idx="1952">
                  <c:v>1.0791529218492411E-3</c:v>
                </c:pt>
                <c:pt idx="1953">
                  <c:v>2.0410779956191267E-3</c:v>
                </c:pt>
                <c:pt idx="1954">
                  <c:v>2.4883204962203747E-3</c:v>
                </c:pt>
                <c:pt idx="1955">
                  <c:v>6.7384253931939884E-4</c:v>
                </c:pt>
                <c:pt idx="1956">
                  <c:v>2.593554025773609E-3</c:v>
                </c:pt>
                <c:pt idx="1957">
                  <c:v>1.2208705901762056E-3</c:v>
                </c:pt>
                <c:pt idx="1958">
                  <c:v>1.2676468808093652E-3</c:v>
                </c:pt>
                <c:pt idx="1959">
                  <c:v>2.2860022479145024E-3</c:v>
                </c:pt>
                <c:pt idx="1960">
                  <c:v>6.958783926078253E-4</c:v>
                </c:pt>
                <c:pt idx="1961">
                  <c:v>9.2786034451710329E-4</c:v>
                </c:pt>
                <c:pt idx="1962">
                  <c:v>1.4893475993977235E-3</c:v>
                </c:pt>
                <c:pt idx="1963">
                  <c:v>1.7345300945119659E-3</c:v>
                </c:pt>
                <c:pt idx="1964">
                  <c:v>1.6570477953392684E-3</c:v>
                </c:pt>
                <c:pt idx="1965">
                  <c:v>2.3041618195022134E-3</c:v>
                </c:pt>
                <c:pt idx="1966">
                  <c:v>2.3436243930846767E-3</c:v>
                </c:pt>
                <c:pt idx="1967">
                  <c:v>1.5860568224420524E-3</c:v>
                </c:pt>
                <c:pt idx="1968">
                  <c:v>1.2388048105501385E-3</c:v>
                </c:pt>
                <c:pt idx="1969">
                  <c:v>1.2374938073565376E-3</c:v>
                </c:pt>
                <c:pt idx="1970">
                  <c:v>1.3843959795206244E-3</c:v>
                </c:pt>
                <c:pt idx="1971">
                  <c:v>1.2597808616477582E-3</c:v>
                </c:pt>
                <c:pt idx="1972">
                  <c:v>1.2243837754205256E-3</c:v>
                </c:pt>
                <c:pt idx="1973">
                  <c:v>8.9798614085139341E-4</c:v>
                </c:pt>
                <c:pt idx="1974">
                  <c:v>1.4098092960741452E-3</c:v>
                </c:pt>
                <c:pt idx="1975">
                  <c:v>1.2492928360989485E-3</c:v>
                </c:pt>
                <c:pt idx="1976">
                  <c:v>1.3220351735983966E-3</c:v>
                </c:pt>
                <c:pt idx="1977">
                  <c:v>2.3962411578612938E-3</c:v>
                </c:pt>
                <c:pt idx="1978">
                  <c:v>1.0762614948623733E-3</c:v>
                </c:pt>
                <c:pt idx="1979">
                  <c:v>1.6046753591909516E-3</c:v>
                </c:pt>
                <c:pt idx="1980">
                  <c:v>1.7337164748428174E-3</c:v>
                </c:pt>
                <c:pt idx="1981">
                  <c:v>1.7374204701182494E-3</c:v>
                </c:pt>
                <c:pt idx="1982">
                  <c:v>9.5227696063058208E-4</c:v>
                </c:pt>
                <c:pt idx="1983">
                  <c:v>1.220450765839722E-3</c:v>
                </c:pt>
                <c:pt idx="1984">
                  <c:v>1.0536414196930565E-3</c:v>
                </c:pt>
                <c:pt idx="1985">
                  <c:v>2.0284257428009453E-3</c:v>
                </c:pt>
                <c:pt idx="1986">
                  <c:v>1.5086408245297968E-3</c:v>
                </c:pt>
                <c:pt idx="1987">
                  <c:v>1.0349627862320568E-3</c:v>
                </c:pt>
                <c:pt idx="1988">
                  <c:v>1.1094114373156687E-3</c:v>
                </c:pt>
                <c:pt idx="1989">
                  <c:v>1.0420227745631919E-3</c:v>
                </c:pt>
                <c:pt idx="1990">
                  <c:v>1.1067193772338827E-3</c:v>
                </c:pt>
                <c:pt idx="1991">
                  <c:v>1.7823658136024213E-3</c:v>
                </c:pt>
                <c:pt idx="1992">
                  <c:v>1.8088987447871295E-3</c:v>
                </c:pt>
                <c:pt idx="1993">
                  <c:v>1.6496882247577296E-3</c:v>
                </c:pt>
                <c:pt idx="1994">
                  <c:v>5.6475815891997251E-4</c:v>
                </c:pt>
                <c:pt idx="1995">
                  <c:v>1.2361828041629363E-3</c:v>
                </c:pt>
                <c:pt idx="1996">
                  <c:v>1.9996609374939543E-3</c:v>
                </c:pt>
                <c:pt idx="1997">
                  <c:v>1.5330306538456546E-3</c:v>
                </c:pt>
                <c:pt idx="1998">
                  <c:v>1.1501404364049565E-3</c:v>
                </c:pt>
                <c:pt idx="1999">
                  <c:v>1.2584698584541571E-3</c:v>
                </c:pt>
                <c:pt idx="2000">
                  <c:v>2.448857922637911E-3</c:v>
                </c:pt>
                <c:pt idx="2001">
                  <c:v>2.356778584278831E-3</c:v>
                </c:pt>
                <c:pt idx="2002">
                  <c:v>2.0279238044249724E-3</c:v>
                </c:pt>
                <c:pt idx="2003">
                  <c:v>1.9226902748717377E-3</c:v>
                </c:pt>
                <c:pt idx="2004">
                  <c:v>1.7032334552512646E-3</c:v>
                </c:pt>
                <c:pt idx="2005">
                  <c:v>2.4488579226379114E-3</c:v>
                </c:pt>
                <c:pt idx="2006">
                  <c:v>1.190297692386894E-3</c:v>
                </c:pt>
                <c:pt idx="2007">
                  <c:v>1.7972624290658E-3</c:v>
                </c:pt>
                <c:pt idx="2008">
                  <c:v>1.2702688871965677E-3</c:v>
                </c:pt>
                <c:pt idx="2009">
                  <c:v>1.3522336723086629E-3</c:v>
                </c:pt>
                <c:pt idx="2010">
                  <c:v>1.0949770763238628E-3</c:v>
                </c:pt>
                <c:pt idx="2011">
                  <c:v>1.8405824317047617E-3</c:v>
                </c:pt>
                <c:pt idx="2012">
                  <c:v>9.6484781197824659E-4</c:v>
                </c:pt>
                <c:pt idx="2013">
                  <c:v>1.5238685622827909E-3</c:v>
                </c:pt>
                <c:pt idx="2014">
                  <c:v>1.304664085037195E-3</c:v>
                </c:pt>
                <c:pt idx="2015">
                  <c:v>1.5316381696599095E-3</c:v>
                </c:pt>
                <c:pt idx="2016">
                  <c:v>7.5478328431706357E-4</c:v>
                </c:pt>
                <c:pt idx="2017">
                  <c:v>7.4855707316339695E-4</c:v>
                </c:pt>
                <c:pt idx="2018">
                  <c:v>1.2322497945821327E-3</c:v>
                </c:pt>
                <c:pt idx="2019">
                  <c:v>1.4058321272351992E-3</c:v>
                </c:pt>
                <c:pt idx="2020">
                  <c:v>5.5554452739973493E-4</c:v>
                </c:pt>
                <c:pt idx="2021">
                  <c:v>2.0358339828447218E-3</c:v>
                </c:pt>
                <c:pt idx="2022">
                  <c:v>1.2669327574134507E-3</c:v>
                </c:pt>
                <c:pt idx="2023">
                  <c:v>2.0420818723710724E-3</c:v>
                </c:pt>
                <c:pt idx="2024">
                  <c:v>2.47516630502622E-3</c:v>
                </c:pt>
                <c:pt idx="2025">
                  <c:v>6.7060374853230339E-4</c:v>
                </c:pt>
                <c:pt idx="2026">
                  <c:v>2.5409372609969914E-3</c:v>
                </c:pt>
                <c:pt idx="2027">
                  <c:v>1.8820933351282425E-3</c:v>
                </c:pt>
                <c:pt idx="2028">
                  <c:v>1.2663358776157641E-3</c:v>
                </c:pt>
                <c:pt idx="2029">
                  <c:v>2.3233252678418709E-3</c:v>
                </c:pt>
                <c:pt idx="2030">
                  <c:v>1.8193719642662022E-3</c:v>
                </c:pt>
                <c:pt idx="2031">
                  <c:v>1.6067653515046383E-3</c:v>
                </c:pt>
                <c:pt idx="2032">
                  <c:v>1.9360295351782775E-3</c:v>
                </c:pt>
                <c:pt idx="2033">
                  <c:v>6.6561987714139771E-4</c:v>
                </c:pt>
                <c:pt idx="2034">
                  <c:v>1.2427378201309424E-3</c:v>
                </c:pt>
                <c:pt idx="2035">
                  <c:v>5.8493050256425735E-4</c:v>
                </c:pt>
                <c:pt idx="2036">
                  <c:v>6.5864807670207694E-4</c:v>
                </c:pt>
                <c:pt idx="2037">
                  <c:v>1.6602934584770091E-3</c:v>
                </c:pt>
                <c:pt idx="2038">
                  <c:v>1.2388048105501385E-3</c:v>
                </c:pt>
                <c:pt idx="2039">
                  <c:v>2.0936947603957439E-3</c:v>
                </c:pt>
                <c:pt idx="2040">
                  <c:v>1.3918242483356594E-3</c:v>
                </c:pt>
                <c:pt idx="2041">
                  <c:v>2.402659818826577E-3</c:v>
                </c:pt>
                <c:pt idx="2042">
                  <c:v>2.3002729691795521E-3</c:v>
                </c:pt>
                <c:pt idx="2043">
                  <c:v>8.3372757829039391E-4</c:v>
                </c:pt>
                <c:pt idx="2044">
                  <c:v>2.2279469972407745E-3</c:v>
                </c:pt>
                <c:pt idx="2045">
                  <c:v>1.3272257925697663E-3</c:v>
                </c:pt>
                <c:pt idx="2046">
                  <c:v>1.5411116484233081E-3</c:v>
                </c:pt>
                <c:pt idx="2047">
                  <c:v>2.3962411578612943E-3</c:v>
                </c:pt>
                <c:pt idx="2048">
                  <c:v>1.0389042279403743E-3</c:v>
                </c:pt>
                <c:pt idx="2049">
                  <c:v>1.7911483629301944E-3</c:v>
                </c:pt>
                <c:pt idx="2050">
                  <c:v>2.1745352959737976E-3</c:v>
                </c:pt>
                <c:pt idx="2051">
                  <c:v>1.1337226114155473E-3</c:v>
                </c:pt>
                <c:pt idx="2052">
                  <c:v>2.1307009110595248E-3</c:v>
                </c:pt>
                <c:pt idx="2053">
                  <c:v>1.4945382183690935E-3</c:v>
                </c:pt>
                <c:pt idx="2054">
                  <c:v>9.4803268816138824E-4</c:v>
                </c:pt>
                <c:pt idx="2055">
                  <c:v>1.856919318900966E-3</c:v>
                </c:pt>
                <c:pt idx="2056">
                  <c:v>1.645316582891348E-3</c:v>
                </c:pt>
                <c:pt idx="2057">
                  <c:v>1.8175521503221341E-3</c:v>
                </c:pt>
                <c:pt idx="2058">
                  <c:v>9.7929668530991401E-4</c:v>
                </c:pt>
                <c:pt idx="2059">
                  <c:v>2.1331573339782072E-3</c:v>
                </c:pt>
                <c:pt idx="2060">
                  <c:v>2.5803998345794547E-3</c:v>
                </c:pt>
                <c:pt idx="2061">
                  <c:v>1.1627708413850255E-3</c:v>
                </c:pt>
                <c:pt idx="2062">
                  <c:v>9.6942966022475416E-4</c:v>
                </c:pt>
                <c:pt idx="2063">
                  <c:v>6.6761632816573233E-4</c:v>
                </c:pt>
                <c:pt idx="2064">
                  <c:v>8.0689460724677224E-4</c:v>
                </c:pt>
                <c:pt idx="2065">
                  <c:v>1.7239248607926864E-3</c:v>
                </c:pt>
                <c:pt idx="2066">
                  <c:v>5.6475815891997251E-4</c:v>
                </c:pt>
                <c:pt idx="2067">
                  <c:v>1.2348718009693349E-3</c:v>
                </c:pt>
                <c:pt idx="2068">
                  <c:v>2.0738975735289109E-3</c:v>
                </c:pt>
                <c:pt idx="2069">
                  <c:v>5.9501667438640021E-4</c:v>
                </c:pt>
                <c:pt idx="2070">
                  <c:v>9.8745894676685836E-4</c:v>
                </c:pt>
                <c:pt idx="2071">
                  <c:v>1.2584698584541571E-3</c:v>
                </c:pt>
                <c:pt idx="2072">
                  <c:v>2.4357037314437571E-3</c:v>
                </c:pt>
                <c:pt idx="2073">
                  <c:v>2.2646992459197505E-3</c:v>
                </c:pt>
                <c:pt idx="2074">
                  <c:v>1.9292894500978859E-3</c:v>
                </c:pt>
                <c:pt idx="2075">
                  <c:v>5.758824545363891E-4</c:v>
                </c:pt>
                <c:pt idx="2076">
                  <c:v>1.2545368488733532E-3</c:v>
                </c:pt>
                <c:pt idx="2077">
                  <c:v>1.5767057845385076E-3</c:v>
                </c:pt>
                <c:pt idx="2078">
                  <c:v>1.3459653699269142E-3</c:v>
                </c:pt>
                <c:pt idx="2079">
                  <c:v>2.4357037314437571E-3</c:v>
                </c:pt>
                <c:pt idx="2080">
                  <c:v>1.3623198441308055E-3</c:v>
                </c:pt>
                <c:pt idx="2081">
                  <c:v>1.1926000037581924E-3</c:v>
                </c:pt>
                <c:pt idx="2082">
                  <c:v>1.9042138340204385E-3</c:v>
                </c:pt>
                <c:pt idx="2083">
                  <c:v>9.6586189520558895E-4</c:v>
                </c:pt>
                <c:pt idx="2084">
                  <c:v>2.5540914521911462E-3</c:v>
                </c:pt>
                <c:pt idx="2085">
                  <c:v>2.3397355427620149E-3</c:v>
                </c:pt>
                <c:pt idx="2086">
                  <c:v>1.0342086749704832E-3</c:v>
                </c:pt>
                <c:pt idx="2087">
                  <c:v>2.158646908726955E-3</c:v>
                </c:pt>
                <c:pt idx="2088">
                  <c:v>1.5618030539647299E-3</c:v>
                </c:pt>
                <c:pt idx="2089">
                  <c:v>8.1691245447353556E-4</c:v>
                </c:pt>
                <c:pt idx="2090">
                  <c:v>1.9794166862617279E-3</c:v>
                </c:pt>
                <c:pt idx="2091">
                  <c:v>1.7981614968276432E-3</c:v>
                </c:pt>
                <c:pt idx="2092">
                  <c:v>1.0909986866150555E-3</c:v>
                </c:pt>
                <c:pt idx="2093">
                  <c:v>1.8595608109320334E-3</c:v>
                </c:pt>
                <c:pt idx="2094">
                  <c:v>2.0713486160540365E-3</c:v>
                </c:pt>
                <c:pt idx="2095">
                  <c:v>1.9148190677397178E-3</c:v>
                </c:pt>
                <c:pt idx="2096">
                  <c:v>2.448857922637911E-3</c:v>
                </c:pt>
                <c:pt idx="2097">
                  <c:v>1.8299771979854815E-3</c:v>
                </c:pt>
                <c:pt idx="2098">
                  <c:v>1.0229008699470037E-3</c:v>
                </c:pt>
                <c:pt idx="2099">
                  <c:v>1.2584698584541568E-3</c:v>
                </c:pt>
                <c:pt idx="2100">
                  <c:v>1.5413356441998469E-3</c:v>
                </c:pt>
                <c:pt idx="2101">
                  <c:v>8.6734331358424822E-4</c:v>
                </c:pt>
                <c:pt idx="2102">
                  <c:v>1.2990435246918873E-3</c:v>
                </c:pt>
                <c:pt idx="2103">
                  <c:v>1.9360295351782775E-3</c:v>
                </c:pt>
                <c:pt idx="2104">
                  <c:v>8.5288065080847035E-4</c:v>
                </c:pt>
                <c:pt idx="2105">
                  <c:v>1.1811206700316859E-3</c:v>
                </c:pt>
                <c:pt idx="2106">
                  <c:v>2.1331573339782072E-3</c:v>
                </c:pt>
                <c:pt idx="2107">
                  <c:v>2.259455233145346E-3</c:v>
                </c:pt>
                <c:pt idx="2108">
                  <c:v>6.4544753349711265E-4</c:v>
                </c:pt>
                <c:pt idx="2109">
                  <c:v>1.1878629478885936E-3</c:v>
                </c:pt>
                <c:pt idx="2110">
                  <c:v>6.0834163699563797E-4</c:v>
                </c:pt>
                <c:pt idx="2111">
                  <c:v>1.6496882247577299E-3</c:v>
                </c:pt>
                <c:pt idx="2112">
                  <c:v>1.3098611128011415E-3</c:v>
                </c:pt>
                <c:pt idx="2113">
                  <c:v>8.4817645162206133E-4</c:v>
                </c:pt>
                <c:pt idx="2114">
                  <c:v>1.1349194016325745E-3</c:v>
                </c:pt>
                <c:pt idx="2115">
                  <c:v>2.07602017312827E-3</c:v>
                </c:pt>
                <c:pt idx="2116">
                  <c:v>1.1194976091378113E-3</c:v>
                </c:pt>
                <c:pt idx="2117">
                  <c:v>1.2378226121708771E-3</c:v>
                </c:pt>
                <c:pt idx="2118">
                  <c:v>7.1644803507955965E-4</c:v>
                </c:pt>
                <c:pt idx="2119">
                  <c:v>2.3623151315380069E-3</c:v>
                </c:pt>
                <c:pt idx="2120">
                  <c:v>1.1438087832376903E-3</c:v>
                </c:pt>
                <c:pt idx="2121">
                  <c:v>2.0207788703763209E-3</c:v>
                </c:pt>
                <c:pt idx="2122">
                  <c:v>1.5583133563390273E-3</c:v>
                </c:pt>
                <c:pt idx="2123">
                  <c:v>1.241426816937341E-3</c:v>
                </c:pt>
                <c:pt idx="2124">
                  <c:v>1.8242848101035665E-3</c:v>
                </c:pt>
                <c:pt idx="2125">
                  <c:v>1.2565275637459398E-3</c:v>
                </c:pt>
                <c:pt idx="2126">
                  <c:v>9.540220412343921E-4</c:v>
                </c:pt>
                <c:pt idx="2127">
                  <c:v>1.2362525636933326E-3</c:v>
                </c:pt>
                <c:pt idx="2128">
                  <c:v>2.4883204962203747E-3</c:v>
                </c:pt>
                <c:pt idx="2129">
                  <c:v>1.4031965007977681E-3</c:v>
                </c:pt>
                <c:pt idx="2130">
                  <c:v>1.1994747147421026E-3</c:v>
                </c:pt>
                <c:pt idx="2131">
                  <c:v>6.2403285009006665E-4</c:v>
                </c:pt>
                <c:pt idx="2132">
                  <c:v>1.6464522597944965E-3</c:v>
                </c:pt>
                <c:pt idx="2133">
                  <c:v>1.9042138340204385E-3</c:v>
                </c:pt>
                <c:pt idx="2134">
                  <c:v>1.7451353282312457E-3</c:v>
                </c:pt>
                <c:pt idx="2135">
                  <c:v>1.4195585246604609E-3</c:v>
                </c:pt>
                <c:pt idx="2136">
                  <c:v>1.0993252654935262E-3</c:v>
                </c:pt>
                <c:pt idx="2137">
                  <c:v>6.656198771413976E-4</c:v>
                </c:pt>
                <c:pt idx="2138">
                  <c:v>9.8123273561319174E-4</c:v>
                </c:pt>
                <c:pt idx="2139">
                  <c:v>2.3173160106963677E-3</c:v>
                </c:pt>
                <c:pt idx="2140">
                  <c:v>2.3567785842788305E-3</c:v>
                </c:pt>
                <c:pt idx="2141">
                  <c:v>1.8617928991433205E-3</c:v>
                </c:pt>
                <c:pt idx="2142">
                  <c:v>1.9007535343498103E-3</c:v>
                </c:pt>
                <c:pt idx="2143">
                  <c:v>5.5467198709782998E-4</c:v>
                </c:pt>
                <c:pt idx="2144">
                  <c:v>9.2140760597492005E-4</c:v>
                </c:pt>
                <c:pt idx="2145">
                  <c:v>1.5542411212842138E-3</c:v>
                </c:pt>
                <c:pt idx="2146">
                  <c:v>1.8149081266552404E-3</c:v>
                </c:pt>
                <c:pt idx="2147">
                  <c:v>1.5188725858995542E-3</c:v>
                </c:pt>
                <c:pt idx="2148">
                  <c:v>7.2987843970239753E-4</c:v>
                </c:pt>
                <c:pt idx="2149">
                  <c:v>1.0660938420003895E-3</c:v>
                </c:pt>
                <c:pt idx="2150">
                  <c:v>9.0320687032296185E-4</c:v>
                </c:pt>
                <c:pt idx="2151">
                  <c:v>1.9701071861320924E-3</c:v>
                </c:pt>
                <c:pt idx="2152">
                  <c:v>1.1283601696008116E-3</c:v>
                </c:pt>
                <c:pt idx="2153">
                  <c:v>6.8579222078568277E-4</c:v>
                </c:pt>
                <c:pt idx="2154">
                  <c:v>1.3087596828926234E-3</c:v>
                </c:pt>
                <c:pt idx="2155">
                  <c:v>6.4544753349711243E-4</c:v>
                </c:pt>
                <c:pt idx="2156">
                  <c:v>1.2423010863861477E-3</c:v>
                </c:pt>
                <c:pt idx="2157">
                  <c:v>1.7846816654784724E-3</c:v>
                </c:pt>
                <c:pt idx="2158">
                  <c:v>1.2571588552605557E-3</c:v>
                </c:pt>
                <c:pt idx="2159">
                  <c:v>1.2479818329053469E-3</c:v>
                </c:pt>
                <c:pt idx="2160">
                  <c:v>1.8661308023636576E-3</c:v>
                </c:pt>
                <c:pt idx="2161">
                  <c:v>1.1830892828539657E-3</c:v>
                </c:pt>
                <c:pt idx="2162">
                  <c:v>9.7270067469539174E-4</c:v>
                </c:pt>
                <c:pt idx="2163">
                  <c:v>7.9674011082925072E-4</c:v>
                </c:pt>
                <c:pt idx="2164">
                  <c:v>8.1031644385901286E-4</c:v>
                </c:pt>
                <c:pt idx="2165">
                  <c:v>1.2584698584541566E-3</c:v>
                </c:pt>
                <c:pt idx="2166">
                  <c:v>1.7133196270734071E-3</c:v>
                </c:pt>
                <c:pt idx="2167">
                  <c:v>1.6177799890436982E-3</c:v>
                </c:pt>
                <c:pt idx="2168">
                  <c:v>8.6685508508306086E-4</c:v>
                </c:pt>
                <c:pt idx="2169">
                  <c:v>1.1249842213697659E-3</c:v>
                </c:pt>
                <c:pt idx="2170">
                  <c:v>1.9342993853429631E-3</c:v>
                </c:pt>
                <c:pt idx="2171">
                  <c:v>9.6024825238805872E-4</c:v>
                </c:pt>
                <c:pt idx="2172">
                  <c:v>1.9405235731855409E-3</c:v>
                </c:pt>
                <c:pt idx="2173">
                  <c:v>9.2289098546605955E-4</c:v>
                </c:pt>
                <c:pt idx="2174">
                  <c:v>9.1666477431239304E-4</c:v>
                </c:pt>
                <c:pt idx="2175">
                  <c:v>5.4458581527568734E-4</c:v>
                </c:pt>
                <c:pt idx="2176">
                  <c:v>1.1994747147421026E-3</c:v>
                </c:pt>
                <c:pt idx="2177">
                  <c:v>1.1263915567785311E-3</c:v>
                </c:pt>
                <c:pt idx="2178">
                  <c:v>1.2584698584541568E-3</c:v>
                </c:pt>
                <c:pt idx="2179">
                  <c:v>6.3536136167497011E-4</c:v>
                </c:pt>
                <c:pt idx="2180">
                  <c:v>1.9996609374939543E-3</c:v>
                </c:pt>
                <c:pt idx="2181">
                  <c:v>1.5449136156705603E-3</c:v>
                </c:pt>
                <c:pt idx="2182">
                  <c:v>7.8821112469851912E-4</c:v>
                </c:pt>
                <c:pt idx="2183">
                  <c:v>2.0364187129549554E-3</c:v>
                </c:pt>
                <c:pt idx="2184">
                  <c:v>1.2914657345848984E-3</c:v>
                </c:pt>
                <c:pt idx="2185">
                  <c:v>1.5851995965107731E-3</c:v>
                </c:pt>
                <c:pt idx="2186">
                  <c:v>2.1824063336403892E-3</c:v>
                </c:pt>
                <c:pt idx="2187">
                  <c:v>2.1799499107217069E-3</c:v>
                </c:pt>
                <c:pt idx="2188">
                  <c:v>2.5146288786086829E-3</c:v>
                </c:pt>
                <c:pt idx="2189">
                  <c:v>1.8700735100951201E-3</c:v>
                </c:pt>
                <c:pt idx="2190">
                  <c:v>1.1850536796124893E-3</c:v>
                </c:pt>
                <c:pt idx="2191">
                  <c:v>1.5063214343563054E-3</c:v>
                </c:pt>
                <c:pt idx="2192">
                  <c:v>1.4754477742704901E-3</c:v>
                </c:pt>
                <c:pt idx="2193">
                  <c:v>1.2388048105501388E-3</c:v>
                </c:pt>
                <c:pt idx="2194">
                  <c:v>2.4620121138320657E-3</c:v>
                </c:pt>
                <c:pt idx="2195">
                  <c:v>2.4344755199844159E-3</c:v>
                </c:pt>
                <c:pt idx="2196">
                  <c:v>1.285782287035991E-3</c:v>
                </c:pt>
                <c:pt idx="2197">
                  <c:v>1.646644923718966E-3</c:v>
                </c:pt>
                <c:pt idx="2198">
                  <c:v>7.1702555397983796E-4</c:v>
                </c:pt>
                <c:pt idx="2199">
                  <c:v>7.5639542354068038E-4</c:v>
                </c:pt>
                <c:pt idx="2200">
                  <c:v>1.4768470959803757E-3</c:v>
                </c:pt>
                <c:pt idx="2201">
                  <c:v>1.9197856909345496E-3</c:v>
                </c:pt>
                <c:pt idx="2202">
                  <c:v>1.0287365750783904E-3</c:v>
                </c:pt>
                <c:pt idx="2203">
                  <c:v>8.9798614085139351E-4</c:v>
                </c:pt>
                <c:pt idx="2204">
                  <c:v>1.0398864263196359E-3</c:v>
                </c:pt>
                <c:pt idx="2205">
                  <c:v>1.5176648320145824E-3</c:v>
                </c:pt>
                <c:pt idx="2206">
                  <c:v>9.1666477431239315E-4</c:v>
                </c:pt>
                <c:pt idx="2207">
                  <c:v>1.6727606421828053E-3</c:v>
                </c:pt>
                <c:pt idx="2208">
                  <c:v>8.4195024046839482E-4</c:v>
                </c:pt>
                <c:pt idx="2209">
                  <c:v>8.3572402931472831E-4</c:v>
                </c:pt>
                <c:pt idx="2210">
                  <c:v>7.8752647930901293E-4</c:v>
                </c:pt>
                <c:pt idx="2211">
                  <c:v>1.3391784245348236E-3</c:v>
                </c:pt>
                <c:pt idx="2212">
                  <c:v>1.3406503315512705E-3</c:v>
                </c:pt>
                <c:pt idx="2213">
                  <c:v>7.6884784584801361E-4</c:v>
                </c:pt>
                <c:pt idx="2214">
                  <c:v>1.5542411212842141E-3</c:v>
                </c:pt>
                <c:pt idx="2215">
                  <c:v>1.2754400204763755E-3</c:v>
                </c:pt>
                <c:pt idx="2216">
                  <c:v>1.8885106853514094E-3</c:v>
                </c:pt>
                <c:pt idx="2217">
                  <c:v>1.3354597125798998E-3</c:v>
                </c:pt>
                <c:pt idx="2218">
                  <c:v>1.6471886145114092E-3</c:v>
                </c:pt>
                <c:pt idx="2219">
                  <c:v>1.0006714321984835E-3</c:v>
                </c:pt>
                <c:pt idx="2220">
                  <c:v>1.8723981328626002E-3</c:v>
                </c:pt>
                <c:pt idx="2221">
                  <c:v>9.984635472721009E-4</c:v>
                </c:pt>
                <c:pt idx="2222">
                  <c:v>1.022776281101151E-3</c:v>
                </c:pt>
                <c:pt idx="2223">
                  <c:v>1.3079596832498543E-3</c:v>
                </c:pt>
                <c:pt idx="2224">
                  <c:v>1.3469700044726623E-3</c:v>
                </c:pt>
                <c:pt idx="2225">
                  <c:v>7.5639542354068038E-4</c:v>
                </c:pt>
                <c:pt idx="2226">
                  <c:v>1.3872237616054852E-3</c:v>
                </c:pt>
                <c:pt idx="2227">
                  <c:v>1.7788161886585004E-3</c:v>
                </c:pt>
                <c:pt idx="2228">
                  <c:v>1.2377956210574751E-3</c:v>
                </c:pt>
                <c:pt idx="2229">
                  <c:v>7.3610465085606404E-4</c:v>
                </c:pt>
                <c:pt idx="2230">
                  <c:v>1.6126820740939487E-3</c:v>
                </c:pt>
                <c:pt idx="2231">
                  <c:v>8.7930750739039388E-4</c:v>
                </c:pt>
                <c:pt idx="2232">
                  <c:v>1.5715042814685165E-3</c:v>
                </c:pt>
                <c:pt idx="2233">
                  <c:v>7.9214055123906263E-4</c:v>
                </c:pt>
                <c:pt idx="2234">
                  <c:v>1.9195127668400994E-3</c:v>
                </c:pt>
                <c:pt idx="2235">
                  <c:v>1.3884309276440921E-3</c:v>
                </c:pt>
                <c:pt idx="2236">
                  <c:v>1.246670829711746E-3</c:v>
                </c:pt>
                <c:pt idx="2237">
                  <c:v>9.2289098546605966E-4</c:v>
                </c:pt>
                <c:pt idx="2238">
                  <c:v>1.8489555772127539E-3</c:v>
                </c:pt>
                <c:pt idx="2239">
                  <c:v>1.1034511089223886E-3</c:v>
                </c:pt>
                <c:pt idx="2240">
                  <c:v>9.9137930815639116E-4</c:v>
                </c:pt>
                <c:pt idx="2241">
                  <c:v>1.8936086003011588E-3</c:v>
                </c:pt>
                <c:pt idx="2242">
                  <c:v>1.1670368718439256E-3</c:v>
                </c:pt>
                <c:pt idx="2243">
                  <c:v>1.0438110037729259E-3</c:v>
                </c:pt>
                <c:pt idx="2244">
                  <c:v>1.2506038392925496E-3</c:v>
                </c:pt>
                <c:pt idx="2245">
                  <c:v>1.0411889973857235E-3</c:v>
                </c:pt>
                <c:pt idx="2246">
                  <c:v>1.0993252654935262E-3</c:v>
                </c:pt>
                <c:pt idx="2247">
                  <c:v>1.2406638099663361E-3</c:v>
                </c:pt>
                <c:pt idx="2248">
                  <c:v>9.8659619398200815E-4</c:v>
                </c:pt>
                <c:pt idx="2249">
                  <c:v>1.2203738396990983E-3</c:v>
                </c:pt>
                <c:pt idx="2250">
                  <c:v>2.593554025773609E-3</c:v>
                </c:pt>
                <c:pt idx="2251">
                  <c:v>1.24564848377462E-3</c:v>
                </c:pt>
                <c:pt idx="2252">
                  <c:v>1.5516921638093388E-3</c:v>
                </c:pt>
                <c:pt idx="2253">
                  <c:v>9.8140557501063793E-4</c:v>
                </c:pt>
                <c:pt idx="2254">
                  <c:v>1.9996609374939543E-3</c:v>
                </c:pt>
                <c:pt idx="2255">
                  <c:v>1.790738959110414E-3</c:v>
                </c:pt>
                <c:pt idx="2256">
                  <c:v>1.011052788187923E-3</c:v>
                </c:pt>
                <c:pt idx="2257">
                  <c:v>1.6859148333769594E-3</c:v>
                </c:pt>
                <c:pt idx="2258">
                  <c:v>2.0249466351573739E-3</c:v>
                </c:pt>
                <c:pt idx="2259">
                  <c:v>2.1200031427840529E-3</c:v>
                </c:pt>
                <c:pt idx="2260">
                  <c:v>2.3830869666671395E-3</c:v>
                </c:pt>
                <c:pt idx="2261">
                  <c:v>2.4824037736310639E-3</c:v>
                </c:pt>
                <c:pt idx="2262">
                  <c:v>1.4886019654646444E-3</c:v>
                </c:pt>
                <c:pt idx="2263">
                  <c:v>1.1929196987740963E-3</c:v>
                </c:pt>
                <c:pt idx="2264">
                  <c:v>1.3212210455806617E-3</c:v>
                </c:pt>
                <c:pt idx="2265">
                  <c:v>1.4642088020240351E-3</c:v>
                </c:pt>
                <c:pt idx="2266">
                  <c:v>8.1691245447353578E-4</c:v>
                </c:pt>
                <c:pt idx="2267">
                  <c:v>1.3664137129108787E-3</c:v>
                </c:pt>
                <c:pt idx="2268">
                  <c:v>1.3010487019363766E-3</c:v>
                </c:pt>
                <c:pt idx="2269">
                  <c:v>5.7484433074211515E-4</c:v>
                </c:pt>
                <c:pt idx="2270">
                  <c:v>8.4817645162206133E-4</c:v>
                </c:pt>
                <c:pt idx="2271">
                  <c:v>1.0824919220797967E-3</c:v>
                </c:pt>
                <c:pt idx="2272">
                  <c:v>2.4620121138320657E-3</c:v>
                </c:pt>
                <c:pt idx="2273">
                  <c:v>7.9836676239272925E-4</c:v>
                </c:pt>
                <c:pt idx="2274">
                  <c:v>1.6874164324649707E-3</c:v>
                </c:pt>
                <c:pt idx="2275">
                  <c:v>7.9836676239272925E-4</c:v>
                </c:pt>
                <c:pt idx="2276">
                  <c:v>7.9214055123906274E-4</c:v>
                </c:pt>
                <c:pt idx="2277">
                  <c:v>1.2768239031645736E-3</c:v>
                </c:pt>
                <c:pt idx="2278">
                  <c:v>1.8043025541243487E-3</c:v>
                </c:pt>
                <c:pt idx="2279">
                  <c:v>1.4518497167856684E-3</c:v>
                </c:pt>
                <c:pt idx="2280">
                  <c:v>1.2322497945821324E-3</c:v>
                </c:pt>
                <c:pt idx="2281">
                  <c:v>1.122129742383388E-3</c:v>
                </c:pt>
                <c:pt idx="2282">
                  <c:v>1.9996609374939548E-3</c:v>
                </c:pt>
                <c:pt idx="2283">
                  <c:v>1.081078777430822E-3</c:v>
                </c:pt>
                <c:pt idx="2284">
                  <c:v>1.7654055638198656E-3</c:v>
                </c:pt>
                <c:pt idx="2285">
                  <c:v>1.1751087565277484E-3</c:v>
                </c:pt>
                <c:pt idx="2286">
                  <c:v>1.0713830654850676E-3</c:v>
                </c:pt>
                <c:pt idx="2287">
                  <c:v>9.2556292690433237E-4</c:v>
                </c:pt>
                <c:pt idx="2288">
                  <c:v>1.0723200531540561E-3</c:v>
                </c:pt>
                <c:pt idx="2289">
                  <c:v>2.1065131049594855E-3</c:v>
                </c:pt>
                <c:pt idx="2290">
                  <c:v>1.0791529218492409E-3</c:v>
                </c:pt>
                <c:pt idx="2291">
                  <c:v>1.5871696447739287E-3</c:v>
                </c:pt>
                <c:pt idx="2292">
                  <c:v>7.5904509871220667E-4</c:v>
                </c:pt>
                <c:pt idx="2293">
                  <c:v>1.4060629153348982E-3</c:v>
                </c:pt>
                <c:pt idx="2294">
                  <c:v>1.6063002364303958E-3</c:v>
                </c:pt>
                <c:pt idx="2295">
                  <c:v>1.3817380765135169E-3</c:v>
                </c:pt>
                <c:pt idx="2296">
                  <c:v>1.8559742379637735E-3</c:v>
                </c:pt>
                <c:pt idx="2297">
                  <c:v>1.2881655362720398E-3</c:v>
                </c:pt>
                <c:pt idx="2298">
                  <c:v>1.377593345613933E-3</c:v>
                </c:pt>
                <c:pt idx="2299">
                  <c:v>1.0140741613849373E-3</c:v>
                </c:pt>
                <c:pt idx="2300">
                  <c:v>1.2440488233245435E-3</c:v>
                </c:pt>
                <c:pt idx="2301">
                  <c:v>2.4093953490554485E-3</c:v>
                </c:pt>
                <c:pt idx="2302">
                  <c:v>1.0389042279403743E-3</c:v>
                </c:pt>
                <c:pt idx="2303">
                  <c:v>1.7571064391547053E-3</c:v>
                </c:pt>
                <c:pt idx="2304">
                  <c:v>1.246670829711746E-3</c:v>
                </c:pt>
                <c:pt idx="2305">
                  <c:v>1.2217617690333232E-3</c:v>
                </c:pt>
                <c:pt idx="2306">
                  <c:v>1.2453598265181449E-3</c:v>
                </c:pt>
                <c:pt idx="2307">
                  <c:v>1.0598676308467231E-3</c:v>
                </c:pt>
                <c:pt idx="2308">
                  <c:v>9.540220412343921E-4</c:v>
                </c:pt>
                <c:pt idx="2309">
                  <c:v>1.9042138340204387E-3</c:v>
                </c:pt>
                <c:pt idx="2310">
                  <c:v>1.0769191044910523E-3</c:v>
                </c:pt>
                <c:pt idx="2311">
                  <c:v>2.5409372609969914E-3</c:v>
                </c:pt>
                <c:pt idx="2312">
                  <c:v>1.9382789163761563E-3</c:v>
                </c:pt>
                <c:pt idx="2313">
                  <c:v>9.6535055281929578E-4</c:v>
                </c:pt>
                <c:pt idx="2314">
                  <c:v>2.2252366723372876E-3</c:v>
                </c:pt>
                <c:pt idx="2315">
                  <c:v>8.8871797422758426E-4</c:v>
                </c:pt>
                <c:pt idx="2316">
                  <c:v>2.1148474485259325E-3</c:v>
                </c:pt>
                <c:pt idx="2317">
                  <c:v>1.2440488233245435E-3</c:v>
                </c:pt>
                <c:pt idx="2318">
                  <c:v>1.3757563187346074E-3</c:v>
                </c:pt>
                <c:pt idx="2319">
                  <c:v>2.2011603781602659E-3</c:v>
                </c:pt>
                <c:pt idx="2320">
                  <c:v>1.6390829910384497E-3</c:v>
                </c:pt>
                <c:pt idx="2321">
                  <c:v>9.477958300807257E-4</c:v>
                </c:pt>
                <c:pt idx="2322">
                  <c:v>1.5253157957326579E-3</c:v>
                </c:pt>
                <c:pt idx="2323">
                  <c:v>1.5966620561613323E-3</c:v>
                </c:pt>
                <c:pt idx="2324">
                  <c:v>1.9455311463079171E-3</c:v>
                </c:pt>
                <c:pt idx="2325">
                  <c:v>1.6069896862120335E-3</c:v>
                </c:pt>
                <c:pt idx="2326">
                  <c:v>1.5300163671598361E-3</c:v>
                </c:pt>
                <c:pt idx="2327">
                  <c:v>8.3831334843647133E-4</c:v>
                </c:pt>
                <c:pt idx="2328">
                  <c:v>1.6926282215319849E-3</c:v>
                </c:pt>
                <c:pt idx="2329">
                  <c:v>1.3965226271055642E-3</c:v>
                </c:pt>
                <c:pt idx="2330">
                  <c:v>1.1463854094968889E-3</c:v>
                </c:pt>
                <c:pt idx="2331">
                  <c:v>9.0768800087281834E-4</c:v>
                </c:pt>
                <c:pt idx="2332">
                  <c:v>1.6496882247577292E-3</c:v>
                </c:pt>
                <c:pt idx="2333">
                  <c:v>8.8751565722853306E-4</c:v>
                </c:pt>
                <c:pt idx="2334">
                  <c:v>1.9591944871595454E-3</c:v>
                </c:pt>
                <c:pt idx="2335">
                  <c:v>6.2403285009006665E-4</c:v>
                </c:pt>
                <c:pt idx="2336">
                  <c:v>6.4544753349711243E-4</c:v>
                </c:pt>
                <c:pt idx="2337">
                  <c:v>9.1168090292148714E-4</c:v>
                </c:pt>
                <c:pt idx="2338">
                  <c:v>1.5269743321442175E-3</c:v>
                </c:pt>
                <c:pt idx="2339">
                  <c:v>1.2490011487266781E-3</c:v>
                </c:pt>
                <c:pt idx="2340">
                  <c:v>1.4413233975723531E-3</c:v>
                </c:pt>
                <c:pt idx="2341">
                  <c:v>7.6100949547073008E-4</c:v>
                </c:pt>
                <c:pt idx="2342">
                  <c:v>7.5478328431706357E-4</c:v>
                </c:pt>
                <c:pt idx="2343">
                  <c:v>1.2689578840029666E-3</c:v>
                </c:pt>
                <c:pt idx="2344">
                  <c:v>1.7329512304717193E-3</c:v>
                </c:pt>
                <c:pt idx="2345">
                  <c:v>1.1768864792437339E-3</c:v>
                </c:pt>
                <c:pt idx="2346">
                  <c:v>1.2356361181527491E-3</c:v>
                </c:pt>
                <c:pt idx="2347">
                  <c:v>1.2506038392925496E-3</c:v>
                </c:pt>
                <c:pt idx="2348">
                  <c:v>2.4662912211422545E-3</c:v>
                </c:pt>
                <c:pt idx="2349">
                  <c:v>6.7981738005254053E-4</c:v>
                </c:pt>
                <c:pt idx="2350">
                  <c:v>2.5540914521911462E-3</c:v>
                </c:pt>
                <c:pt idx="2351">
                  <c:v>1.897869532709599E-3</c:v>
                </c:pt>
                <c:pt idx="2352">
                  <c:v>1.1742135659465035E-3</c:v>
                </c:pt>
                <c:pt idx="2353">
                  <c:v>1.5648463550034933E-3</c:v>
                </c:pt>
                <c:pt idx="2354">
                  <c:v>8.1243132392367918E-4</c:v>
                </c:pt>
                <c:pt idx="2355">
                  <c:v>1.1295837809599538E-3</c:v>
                </c:pt>
                <c:pt idx="2356">
                  <c:v>2.5277830698028371E-3</c:v>
                </c:pt>
                <c:pt idx="2357">
                  <c:v>1.2663358776157641E-3</c:v>
                </c:pt>
                <c:pt idx="2358">
                  <c:v>1.2178287594525193E-3</c:v>
                </c:pt>
                <c:pt idx="2359">
                  <c:v>1.2768239031645738E-3</c:v>
                </c:pt>
                <c:pt idx="2360">
                  <c:v>6.7646454570660132E-4</c:v>
                </c:pt>
                <c:pt idx="2361">
                  <c:v>1.5386770286476155E-3</c:v>
                </c:pt>
                <c:pt idx="2362">
                  <c:v>2.027923804424972E-3</c:v>
                </c:pt>
                <c:pt idx="2363">
                  <c:v>5.9053554383654361E-4</c:v>
                </c:pt>
                <c:pt idx="2364">
                  <c:v>2.5540914521911462E-3</c:v>
                </c:pt>
                <c:pt idx="2365">
                  <c:v>1.8095907261568957E-3</c:v>
                </c:pt>
                <c:pt idx="2366">
                  <c:v>9.069484019511066E-4</c:v>
                </c:pt>
                <c:pt idx="2367">
                  <c:v>8.8659335131713703E-4</c:v>
                </c:pt>
                <c:pt idx="2368">
                  <c:v>1.46238190159262E-3</c:v>
                </c:pt>
                <c:pt idx="2369">
                  <c:v>7.0497359508773139E-4</c:v>
                </c:pt>
                <c:pt idx="2370">
                  <c:v>5.7484433074211515E-4</c:v>
                </c:pt>
                <c:pt idx="2371">
                  <c:v>1.1936082660631722E-3</c:v>
                </c:pt>
                <c:pt idx="2372">
                  <c:v>1.3027157151705721E-3</c:v>
                </c:pt>
                <c:pt idx="2373">
                  <c:v>8.8259133947003222E-4</c:v>
                </c:pt>
                <c:pt idx="2374">
                  <c:v>2.3390284165108999E-3</c:v>
                </c:pt>
                <c:pt idx="2375">
                  <c:v>1.2047187275165073E-3</c:v>
                </c:pt>
                <c:pt idx="2376">
                  <c:v>1.1722766685545736E-3</c:v>
                </c:pt>
                <c:pt idx="2377">
                  <c:v>1.3166874931105771E-3</c:v>
                </c:pt>
                <c:pt idx="2378">
                  <c:v>2.4620121138320657E-3</c:v>
                </c:pt>
                <c:pt idx="2379">
                  <c:v>1.8735801617765586E-3</c:v>
                </c:pt>
                <c:pt idx="2380">
                  <c:v>1.0629734802536253E-3</c:v>
                </c:pt>
                <c:pt idx="2381">
                  <c:v>2.1463115251723615E-3</c:v>
                </c:pt>
                <c:pt idx="2382">
                  <c:v>2.5803998345794547E-3</c:v>
                </c:pt>
                <c:pt idx="2383">
                  <c:v>8.3258953926454405E-4</c:v>
                </c:pt>
                <c:pt idx="2384">
                  <c:v>1.2348718009693349E-3</c:v>
                </c:pt>
                <c:pt idx="2385">
                  <c:v>1.3615657328692316E-3</c:v>
                </c:pt>
                <c:pt idx="2386">
                  <c:v>1.0953468757847191E-3</c:v>
                </c:pt>
                <c:pt idx="2387">
                  <c:v>1.7133196270734065E-3</c:v>
                </c:pt>
                <c:pt idx="2388">
                  <c:v>6.2527518985282748E-4</c:v>
                </c:pt>
                <c:pt idx="2389">
                  <c:v>2.0936947603957439E-3</c:v>
                </c:pt>
                <c:pt idx="2390">
                  <c:v>1.0993252654935262E-3</c:v>
                </c:pt>
                <c:pt idx="2391">
                  <c:v>5.9501667438639988E-4</c:v>
                </c:pt>
                <c:pt idx="2392">
                  <c:v>1.2817392805423691E-3</c:v>
                </c:pt>
                <c:pt idx="2393">
                  <c:v>2.402659818826577E-3</c:v>
                </c:pt>
                <c:pt idx="2394">
                  <c:v>2.2860022479145019E-3</c:v>
                </c:pt>
                <c:pt idx="2395">
                  <c:v>1.2156413387287173E-3</c:v>
                </c:pt>
                <c:pt idx="2396">
                  <c:v>1.8511876654240412E-3</c:v>
                </c:pt>
                <c:pt idx="2397">
                  <c:v>5.6475815891997251E-4</c:v>
                </c:pt>
                <c:pt idx="2398">
                  <c:v>1.6201438774061877E-3</c:v>
                </c:pt>
                <c:pt idx="2399">
                  <c:v>1.2610918648413593E-3</c:v>
                </c:pt>
                <c:pt idx="2400">
                  <c:v>2.1463115251723615E-3</c:v>
                </c:pt>
                <c:pt idx="2401">
                  <c:v>9.4156961892705919E-4</c:v>
                </c:pt>
                <c:pt idx="2402">
                  <c:v>2.4357037314437571E-3</c:v>
                </c:pt>
                <c:pt idx="2403">
                  <c:v>9.2786034451710307E-4</c:v>
                </c:pt>
                <c:pt idx="2404">
                  <c:v>1.0723200531540559E-3</c:v>
                </c:pt>
                <c:pt idx="2405">
                  <c:v>6.2403285009006665E-4</c:v>
                </c:pt>
                <c:pt idx="2406">
                  <c:v>7.0596456442996772E-4</c:v>
                </c:pt>
                <c:pt idx="2407">
                  <c:v>1.0093038303558171E-3</c:v>
                </c:pt>
                <c:pt idx="2408">
                  <c:v>1.4310061434624759E-3</c:v>
                </c:pt>
                <c:pt idx="2409">
                  <c:v>1.0153545457774517E-3</c:v>
                </c:pt>
                <c:pt idx="2410">
                  <c:v>1.5094955636396159E-3</c:v>
                </c:pt>
                <c:pt idx="2411">
                  <c:v>1.2335607977757338E-3</c:v>
                </c:pt>
                <c:pt idx="2412">
                  <c:v>1.246670829711746E-3</c:v>
                </c:pt>
                <c:pt idx="2413">
                  <c:v>1.7883750707479247E-3</c:v>
                </c:pt>
                <c:pt idx="2414">
                  <c:v>1.6587145944367623E-3</c:v>
                </c:pt>
                <c:pt idx="2415">
                  <c:v>1.4659226755222329E-3</c:v>
                </c:pt>
                <c:pt idx="2416">
                  <c:v>9.7194656343381806E-4</c:v>
                </c:pt>
                <c:pt idx="2417">
                  <c:v>2.2383908635314419E-3</c:v>
                </c:pt>
                <c:pt idx="2418">
                  <c:v>2.381366559653758E-3</c:v>
                </c:pt>
                <c:pt idx="2419">
                  <c:v>2.2383908635314415E-3</c:v>
                </c:pt>
                <c:pt idx="2420">
                  <c:v>9.8862621430620282E-4</c:v>
                </c:pt>
                <c:pt idx="2421">
                  <c:v>9.3001246679414395E-4</c:v>
                </c:pt>
                <c:pt idx="2422">
                  <c:v>1.6390829910384501E-3</c:v>
                </c:pt>
                <c:pt idx="2423">
                  <c:v>9.0619429068953259E-4</c:v>
                </c:pt>
                <c:pt idx="2424">
                  <c:v>8.3074015792382295E-4</c:v>
                </c:pt>
                <c:pt idx="2425">
                  <c:v>2.5277830698028371E-3</c:v>
                </c:pt>
                <c:pt idx="2426">
                  <c:v>1.3672121076711925E-3</c:v>
                </c:pt>
                <c:pt idx="2427">
                  <c:v>1.2689578840029666E-3</c:v>
                </c:pt>
                <c:pt idx="2428">
                  <c:v>1.2728908935837702E-3</c:v>
                </c:pt>
                <c:pt idx="2429">
                  <c:v>2.3699327754729852E-3</c:v>
                </c:pt>
                <c:pt idx="2430">
                  <c:v>2.0201019445215073E-3</c:v>
                </c:pt>
                <c:pt idx="2431">
                  <c:v>1.9746539848950447E-3</c:v>
                </c:pt>
                <c:pt idx="2432">
                  <c:v>1.5222403510139898E-3</c:v>
                </c:pt>
                <c:pt idx="2433">
                  <c:v>1.6887176928604879E-3</c:v>
                </c:pt>
                <c:pt idx="2434">
                  <c:v>1.208651737097311E-3</c:v>
                </c:pt>
                <c:pt idx="2435">
                  <c:v>1.2715798903901688E-3</c:v>
                </c:pt>
                <c:pt idx="2436">
                  <c:v>9.493754067853397E-4</c:v>
                </c:pt>
                <c:pt idx="2437">
                  <c:v>1.2021009371930617E-3</c:v>
                </c:pt>
                <c:pt idx="2438">
                  <c:v>6.3536136167497022E-4</c:v>
                </c:pt>
                <c:pt idx="2439">
                  <c:v>1.146654491261093E-3</c:v>
                </c:pt>
                <c:pt idx="2440">
                  <c:v>1.1342008480838988E-3</c:v>
                </c:pt>
                <c:pt idx="2441">
                  <c:v>8.2753763746629518E-4</c:v>
                </c:pt>
                <c:pt idx="2442">
                  <c:v>1.3843333859992017E-3</c:v>
                </c:pt>
                <c:pt idx="2443">
                  <c:v>1.3035058025736778E-3</c:v>
                </c:pt>
                <c:pt idx="2444">
                  <c:v>1.2361828041629363E-3</c:v>
                </c:pt>
                <c:pt idx="2445">
                  <c:v>1.4689369175606261E-3</c:v>
                </c:pt>
                <c:pt idx="2446">
                  <c:v>1.9825525666233527E-3</c:v>
                </c:pt>
                <c:pt idx="2447">
                  <c:v>9.2911719661972606E-4</c:v>
                </c:pt>
                <c:pt idx="2448">
                  <c:v>1.4929810326776824E-3</c:v>
                </c:pt>
                <c:pt idx="2449">
                  <c:v>1.5325287154696813E-3</c:v>
                </c:pt>
                <c:pt idx="2450">
                  <c:v>9.0109199025829585E-4</c:v>
                </c:pt>
                <c:pt idx="2451">
                  <c:v>2.593554025773609E-3</c:v>
                </c:pt>
                <c:pt idx="2452">
                  <c:v>1.5154122862289262E-3</c:v>
                </c:pt>
                <c:pt idx="2453">
                  <c:v>1.2715798903901688E-3</c:v>
                </c:pt>
                <c:pt idx="2454">
                  <c:v>2.3178179490723409E-3</c:v>
                </c:pt>
                <c:pt idx="2455">
                  <c:v>7.2613690807425257E-4</c:v>
                </c:pt>
                <c:pt idx="2456">
                  <c:v>8.7930750739039398E-4</c:v>
                </c:pt>
                <c:pt idx="2457">
                  <c:v>1.8695788276003758E-3</c:v>
                </c:pt>
                <c:pt idx="2458">
                  <c:v>1.7027143933541276E-3</c:v>
                </c:pt>
                <c:pt idx="2459">
                  <c:v>1.2849240444790847E-3</c:v>
                </c:pt>
                <c:pt idx="2460">
                  <c:v>2.2646992459197505E-3</c:v>
                </c:pt>
                <c:pt idx="2461">
                  <c:v>2.3041618195022134E-3</c:v>
                </c:pt>
                <c:pt idx="2462">
                  <c:v>1.6178725235998909E-3</c:v>
                </c:pt>
                <c:pt idx="2463">
                  <c:v>1.9347087891627434E-3</c:v>
                </c:pt>
                <c:pt idx="2464">
                  <c:v>1.109677320076055E-3</c:v>
                </c:pt>
                <c:pt idx="2465">
                  <c:v>1.0465941630177266E-3</c:v>
                </c:pt>
                <c:pt idx="2466">
                  <c:v>1.5966620561613323E-3</c:v>
                </c:pt>
                <c:pt idx="2467">
                  <c:v>5.9290179432173399E-4</c:v>
                </c:pt>
                <c:pt idx="2468">
                  <c:v>1.018635890916386E-3</c:v>
                </c:pt>
                <c:pt idx="2469">
                  <c:v>1.6216496925341071E-3</c:v>
                </c:pt>
                <c:pt idx="2470">
                  <c:v>9.6820503180567309E-4</c:v>
                </c:pt>
                <c:pt idx="2471">
                  <c:v>1.2558478520669546E-3</c:v>
                </c:pt>
                <c:pt idx="2472">
                  <c:v>6.8666476108758751E-4</c:v>
                </c:pt>
                <c:pt idx="2473">
                  <c:v>2.0174357788761629E-3</c:v>
                </c:pt>
                <c:pt idx="2474">
                  <c:v>1.2783916787665697E-3</c:v>
                </c:pt>
                <c:pt idx="2475">
                  <c:v>1.4019104201578019E-3</c:v>
                </c:pt>
                <c:pt idx="2476">
                  <c:v>1.2728908935837702E-3</c:v>
                </c:pt>
                <c:pt idx="2477">
                  <c:v>1.2060297307101087E-3</c:v>
                </c:pt>
                <c:pt idx="2478">
                  <c:v>2.1024334892769869E-3</c:v>
                </c:pt>
                <c:pt idx="2479">
                  <c:v>1.2401158137437399E-3</c:v>
                </c:pt>
                <c:pt idx="2480">
                  <c:v>1.7124082848776533E-3</c:v>
                </c:pt>
                <c:pt idx="2481">
                  <c:v>1.981316296793858E-3</c:v>
                </c:pt>
                <c:pt idx="2482">
                  <c:v>1.122129742383388E-3</c:v>
                </c:pt>
                <c:pt idx="2483">
                  <c:v>1.0605336726029156E-3</c:v>
                </c:pt>
                <c:pt idx="2484">
                  <c:v>1.027731093396292E-3</c:v>
                </c:pt>
                <c:pt idx="2485">
                  <c:v>2.1857740987548243E-3</c:v>
                </c:pt>
                <c:pt idx="2486">
                  <c:v>2.3896130929809602E-3</c:v>
                </c:pt>
                <c:pt idx="2487">
                  <c:v>2.1857740987548243E-3</c:v>
                </c:pt>
                <c:pt idx="2488">
                  <c:v>1.1141439382860497E-3</c:v>
                </c:pt>
                <c:pt idx="2489">
                  <c:v>7.2601009518012466E-4</c:v>
                </c:pt>
                <c:pt idx="2490">
                  <c:v>1.8723981328626E-3</c:v>
                </c:pt>
                <c:pt idx="2491">
                  <c:v>1.6390829910384497E-3</c:v>
                </c:pt>
                <c:pt idx="2492">
                  <c:v>1.1065921320534446E-3</c:v>
                </c:pt>
                <c:pt idx="2493">
                  <c:v>2.0420818723710724E-3</c:v>
                </c:pt>
                <c:pt idx="2494">
                  <c:v>5.6475815891997251E-4</c:v>
                </c:pt>
                <c:pt idx="2495">
                  <c:v>1.131461802943957E-3</c:v>
                </c:pt>
                <c:pt idx="2496">
                  <c:v>1.2637138712285616E-3</c:v>
                </c:pt>
                <c:pt idx="2497">
                  <c:v>2.4883204962203747E-3</c:v>
                </c:pt>
                <c:pt idx="2498">
                  <c:v>2.3173160106963677E-3</c:v>
                </c:pt>
                <c:pt idx="2499">
                  <c:v>1.942531959808325E-3</c:v>
                </c:pt>
                <c:pt idx="2500">
                  <c:v>1.8831303175981307E-3</c:v>
                </c:pt>
                <c:pt idx="2501">
                  <c:v>1.4594277563378733E-3</c:v>
                </c:pt>
                <c:pt idx="2502">
                  <c:v>1.8873415639425553E-3</c:v>
                </c:pt>
                <c:pt idx="2503">
                  <c:v>1.203407724322906E-3</c:v>
                </c:pt>
                <c:pt idx="2504">
                  <c:v>2.47516630502622E-3</c:v>
                </c:pt>
                <c:pt idx="2505">
                  <c:v>1.6401921851767829E-3</c:v>
                </c:pt>
                <c:pt idx="2506">
                  <c:v>1.1368154737957186E-3</c:v>
                </c:pt>
                <c:pt idx="2507">
                  <c:v>1.8617928991433203E-3</c:v>
                </c:pt>
                <c:pt idx="2508">
                  <c:v>1.4646115029109006E-3</c:v>
                </c:pt>
                <c:pt idx="2509">
                  <c:v>1.2667419124842885E-3</c:v>
                </c:pt>
                <c:pt idx="2510">
                  <c:v>8.6231389264760836E-4</c:v>
                </c:pt>
                <c:pt idx="2511">
                  <c:v>1.1191957954368736E-3</c:v>
                </c:pt>
                <c:pt idx="2512">
                  <c:v>1.6794481359252381E-3</c:v>
                </c:pt>
                <c:pt idx="2513">
                  <c:v>1.3208509072843446E-3</c:v>
                </c:pt>
                <c:pt idx="2514">
                  <c:v>2.3173160106963681E-3</c:v>
                </c:pt>
                <c:pt idx="2515">
                  <c:v>1.1663343903404344E-3</c:v>
                </c:pt>
                <c:pt idx="2516">
                  <c:v>1.1621216638838603E-3</c:v>
                </c:pt>
                <c:pt idx="2517">
                  <c:v>9.0421235200505992E-4</c:v>
                </c:pt>
                <c:pt idx="2518">
                  <c:v>1.8830033665818799E-3</c:v>
                </c:pt>
                <c:pt idx="2519">
                  <c:v>2.4883204962203743E-3</c:v>
                </c:pt>
                <c:pt idx="2520">
                  <c:v>2.0738975735289118E-3</c:v>
                </c:pt>
                <c:pt idx="2521">
                  <c:v>1.2888476500495681E-3</c:v>
                </c:pt>
                <c:pt idx="2522">
                  <c:v>1.4019104201578019E-3</c:v>
                </c:pt>
                <c:pt idx="2523">
                  <c:v>1.2386681613593801E-3</c:v>
                </c:pt>
                <c:pt idx="2524">
                  <c:v>8.0682628265139303E-4</c:v>
                </c:pt>
                <c:pt idx="2525">
                  <c:v>1.0162841527710572E-3</c:v>
                </c:pt>
                <c:pt idx="2526">
                  <c:v>1.9489986572600463E-3</c:v>
                </c:pt>
                <c:pt idx="2527">
                  <c:v>1.1396699527820961E-3</c:v>
                </c:pt>
                <c:pt idx="2528">
                  <c:v>7.4838549930708609E-4</c:v>
                </c:pt>
                <c:pt idx="2529">
                  <c:v>2.2860022479145024E-3</c:v>
                </c:pt>
                <c:pt idx="2530">
                  <c:v>2.17261990756067E-3</c:v>
                </c:pt>
                <c:pt idx="2531">
                  <c:v>1.6984352860439386E-3</c:v>
                </c:pt>
                <c:pt idx="2532">
                  <c:v>6.1518901803068505E-4</c:v>
                </c:pt>
                <c:pt idx="2533">
                  <c:v>1.2676468808093654E-3</c:v>
                </c:pt>
                <c:pt idx="2534">
                  <c:v>1.0660938420003895E-3</c:v>
                </c:pt>
                <c:pt idx="2535">
                  <c:v>1.2550654041233583E-3</c:v>
                </c:pt>
                <c:pt idx="2536">
                  <c:v>6.4544753349711265E-4</c:v>
                </c:pt>
                <c:pt idx="2537">
                  <c:v>5.9290179432173399E-4</c:v>
                </c:pt>
                <c:pt idx="2538">
                  <c:v>8.7905613696986939E-4</c:v>
                </c:pt>
                <c:pt idx="2539">
                  <c:v>2.2910076283080591E-3</c:v>
                </c:pt>
                <c:pt idx="2540">
                  <c:v>1.0388082345606712E-3</c:v>
                </c:pt>
                <c:pt idx="2541">
                  <c:v>1.2558478520669546E-3</c:v>
                </c:pt>
                <c:pt idx="2542">
                  <c:v>6.8666476108758794E-4</c:v>
                </c:pt>
                <c:pt idx="2543">
                  <c:v>1.9070023958066655E-3</c:v>
                </c:pt>
                <c:pt idx="2544">
                  <c:v>7.5773831158236233E-4</c:v>
                </c:pt>
                <c:pt idx="2545">
                  <c:v>1.4019104201578017E-3</c:v>
                </c:pt>
                <c:pt idx="2546">
                  <c:v>1.2728908935837702E-3</c:v>
                </c:pt>
                <c:pt idx="2547">
                  <c:v>1.198163711548501E-3</c:v>
                </c:pt>
                <c:pt idx="2548">
                  <c:v>1.5330306538456546E-3</c:v>
                </c:pt>
                <c:pt idx="2549">
                  <c:v>1.073635272411414E-3</c:v>
                </c:pt>
                <c:pt idx="2550">
                  <c:v>1.1901008118928088E-3</c:v>
                </c:pt>
                <c:pt idx="2551">
                  <c:v>1.2199895278983807E-3</c:v>
                </c:pt>
                <c:pt idx="2552">
                  <c:v>2.0738975735289109E-3</c:v>
                </c:pt>
                <c:pt idx="2553">
                  <c:v>1.8103366543018593E-3</c:v>
                </c:pt>
                <c:pt idx="2554">
                  <c:v>1.241426816937341E-3</c:v>
                </c:pt>
                <c:pt idx="2555">
                  <c:v>1.1396699527820961E-3</c:v>
                </c:pt>
                <c:pt idx="2556">
                  <c:v>1.4872301877210795E-3</c:v>
                </c:pt>
                <c:pt idx="2557">
                  <c:v>1.26090561945884E-3</c:v>
                </c:pt>
                <c:pt idx="2558">
                  <c:v>1.1345821646907212E-3</c:v>
                </c:pt>
                <c:pt idx="2559">
                  <c:v>1.5648463550034936E-3</c:v>
                </c:pt>
                <c:pt idx="2560">
                  <c:v>7.8596693147105212E-4</c:v>
                </c:pt>
                <c:pt idx="2561">
                  <c:v>1.6921091596348479E-3</c:v>
                </c:pt>
                <c:pt idx="2562">
                  <c:v>1.2689578840029663E-3</c:v>
                </c:pt>
                <c:pt idx="2563">
                  <c:v>1.2309387913885315E-3</c:v>
                </c:pt>
                <c:pt idx="2564">
                  <c:v>2.0420818723710724E-3</c:v>
                </c:pt>
                <c:pt idx="2565">
                  <c:v>5.6475815891997251E-4</c:v>
                </c:pt>
                <c:pt idx="2566">
                  <c:v>1.191978833876812E-3</c:v>
                </c:pt>
                <c:pt idx="2567">
                  <c:v>1.2545368488733532E-3</c:v>
                </c:pt>
                <c:pt idx="2568">
                  <c:v>2.3818201227316809E-3</c:v>
                </c:pt>
                <c:pt idx="2569">
                  <c:v>1.1768665300179513E-3</c:v>
                </c:pt>
                <c:pt idx="2570">
                  <c:v>1.1345821646907212E-3</c:v>
                </c:pt>
                <c:pt idx="2571">
                  <c:v>1.2506038392925494E-3</c:v>
                </c:pt>
                <c:pt idx="2572">
                  <c:v>1.5938354950178789E-3</c:v>
                </c:pt>
                <c:pt idx="2573">
                  <c:v>1.7952138502854245E-3</c:v>
                </c:pt>
                <c:pt idx="2574">
                  <c:v>7.4233086200973055E-4</c:v>
                </c:pt>
                <c:pt idx="2575">
                  <c:v>8.8422693141421605E-4</c:v>
                </c:pt>
                <c:pt idx="2576">
                  <c:v>1.5330306538456546E-3</c:v>
                </c:pt>
                <c:pt idx="2577">
                  <c:v>1.9977265717140021E-3</c:v>
                </c:pt>
                <c:pt idx="2578">
                  <c:v>6.8579222078568266E-4</c:v>
                </c:pt>
                <c:pt idx="2579">
                  <c:v>1.0697449866478772E-3</c:v>
                </c:pt>
                <c:pt idx="2580">
                  <c:v>1.5806560600679388E-3</c:v>
                </c:pt>
                <c:pt idx="2581">
                  <c:v>8.6231389264760836E-4</c:v>
                </c:pt>
                <c:pt idx="2582">
                  <c:v>1.112969584283207E-3</c:v>
                </c:pt>
                <c:pt idx="2583">
                  <c:v>1.6649829415374827E-3</c:v>
                </c:pt>
                <c:pt idx="2584">
                  <c:v>1.5258737842700999E-3</c:v>
                </c:pt>
                <c:pt idx="2585">
                  <c:v>5.67124409405163E-4</c:v>
                </c:pt>
                <c:pt idx="2586">
                  <c:v>9.561369212990581E-4</c:v>
                </c:pt>
                <c:pt idx="2587">
                  <c:v>9.7941511435024539E-4</c:v>
                </c:pt>
                <c:pt idx="2588">
                  <c:v>1.9466347688975568E-3</c:v>
                </c:pt>
                <c:pt idx="2589">
                  <c:v>2.4093953490554481E-3</c:v>
                </c:pt>
                <c:pt idx="2590">
                  <c:v>2.0845028072481904E-3</c:v>
                </c:pt>
                <c:pt idx="2591">
                  <c:v>1.3027937825401865E-3</c:v>
                </c:pt>
                <c:pt idx="2592">
                  <c:v>1.6103816612634333E-3</c:v>
                </c:pt>
                <c:pt idx="2593">
                  <c:v>1.7253774069594225E-3</c:v>
                </c:pt>
                <c:pt idx="2594">
                  <c:v>8.0682628265139303E-4</c:v>
                </c:pt>
                <c:pt idx="2595">
                  <c:v>1.0162841527710574E-3</c:v>
                </c:pt>
                <c:pt idx="2596">
                  <c:v>1.935844466065892E-3</c:v>
                </c:pt>
                <c:pt idx="2597">
                  <c:v>1.2102731555370938E-3</c:v>
                </c:pt>
                <c:pt idx="2598">
                  <c:v>1.1690704402864804E-3</c:v>
                </c:pt>
                <c:pt idx="2599">
                  <c:v>2.2860022479145024E-3</c:v>
                </c:pt>
                <c:pt idx="2600">
                  <c:v>2.17261990756067E-3</c:v>
                </c:pt>
                <c:pt idx="2601">
                  <c:v>1.6827321373749093E-3</c:v>
                </c:pt>
                <c:pt idx="2602">
                  <c:v>1.0474152085393899E-3</c:v>
                </c:pt>
                <c:pt idx="2603">
                  <c:v>1.259780861647758E-3</c:v>
                </c:pt>
                <c:pt idx="2604">
                  <c:v>1.0660938420003895E-3</c:v>
                </c:pt>
                <c:pt idx="2605">
                  <c:v>1.2656706378426379E-3</c:v>
                </c:pt>
                <c:pt idx="2606">
                  <c:v>6.8734940647709381E-4</c:v>
                </c:pt>
                <c:pt idx="2607">
                  <c:v>1.9028930880049051E-3</c:v>
                </c:pt>
                <c:pt idx="2608">
                  <c:v>1.1094114373156687E-3</c:v>
                </c:pt>
                <c:pt idx="2609">
                  <c:v>1.0195084312182912E-3</c:v>
                </c:pt>
                <c:pt idx="2610">
                  <c:v>6.5553370531925539E-4</c:v>
                </c:pt>
                <c:pt idx="2611">
                  <c:v>1.9254243014589978E-3</c:v>
                </c:pt>
                <c:pt idx="2612">
                  <c:v>7.7656776718496544E-4</c:v>
                </c:pt>
                <c:pt idx="2613">
                  <c:v>1.1319944784104591E-3</c:v>
                </c:pt>
                <c:pt idx="2614">
                  <c:v>2.5146288786086829E-3</c:v>
                </c:pt>
                <c:pt idx="2615">
                  <c:v>1.6284777573191702E-3</c:v>
                </c:pt>
                <c:pt idx="2616">
                  <c:v>8.2753763746629518E-4</c:v>
                </c:pt>
                <c:pt idx="2617">
                  <c:v>5.8493050256425757E-4</c:v>
                </c:pt>
                <c:pt idx="2618">
                  <c:v>1.073635272411414E-3</c:v>
                </c:pt>
                <c:pt idx="2619">
                  <c:v>6.9874738393406488E-4</c:v>
                </c:pt>
                <c:pt idx="2620">
                  <c:v>1.31761245533271E-3</c:v>
                </c:pt>
                <c:pt idx="2621">
                  <c:v>2.1481342095638679E-3</c:v>
                </c:pt>
                <c:pt idx="2622">
                  <c:v>1.5898442425467869E-3</c:v>
                </c:pt>
                <c:pt idx="2623">
                  <c:v>1.1253540208306216E-3</c:v>
                </c:pt>
                <c:pt idx="2624">
                  <c:v>2.0936947603957443E-3</c:v>
                </c:pt>
                <c:pt idx="2625">
                  <c:v>5.7484433074211504E-4</c:v>
                </c:pt>
                <c:pt idx="2626">
                  <c:v>1.2715798903901688E-3</c:v>
                </c:pt>
                <c:pt idx="2627">
                  <c:v>1.502772138379227E-3</c:v>
                </c:pt>
                <c:pt idx="2628">
                  <c:v>1.203407724322906E-3</c:v>
                </c:pt>
                <c:pt idx="2629">
                  <c:v>1.109677320076055E-3</c:v>
                </c:pt>
                <c:pt idx="2630">
                  <c:v>9.0502938532058654E-4</c:v>
                </c:pt>
                <c:pt idx="2631">
                  <c:v>7.2613690807425257E-4</c:v>
                </c:pt>
                <c:pt idx="2632">
                  <c:v>7.5478328431706357E-4</c:v>
                </c:pt>
                <c:pt idx="2633">
                  <c:v>9.8414761532062637E-4</c:v>
                </c:pt>
                <c:pt idx="2634">
                  <c:v>1.7027143933541276E-3</c:v>
                </c:pt>
                <c:pt idx="2635">
                  <c:v>1.4918681755431503E-3</c:v>
                </c:pt>
                <c:pt idx="2636">
                  <c:v>2.2646992459197505E-3</c:v>
                </c:pt>
                <c:pt idx="2637">
                  <c:v>2.3818201227316809E-3</c:v>
                </c:pt>
                <c:pt idx="2638">
                  <c:v>1.1345821646907212E-3</c:v>
                </c:pt>
                <c:pt idx="2639">
                  <c:v>2.5803998345794547E-3</c:v>
                </c:pt>
                <c:pt idx="2640">
                  <c:v>1.2702688871965677E-3</c:v>
                </c:pt>
                <c:pt idx="2641">
                  <c:v>1.5103340710597431E-3</c:v>
                </c:pt>
                <c:pt idx="2642">
                  <c:v>1.5938354950178789E-3</c:v>
                </c:pt>
                <c:pt idx="2643">
                  <c:v>1.6536494114475946E-3</c:v>
                </c:pt>
                <c:pt idx="2644">
                  <c:v>1.5528719999706297E-3</c:v>
                </c:pt>
                <c:pt idx="2645">
                  <c:v>2.0845028072481913E-3</c:v>
                </c:pt>
                <c:pt idx="2646">
                  <c:v>1.42533260817708E-3</c:v>
                </c:pt>
                <c:pt idx="2647">
                  <c:v>1.0643487613965794E-3</c:v>
                </c:pt>
                <c:pt idx="2648">
                  <c:v>1.2981973875854735E-3</c:v>
                </c:pt>
                <c:pt idx="2649">
                  <c:v>1.2073407339037098E-3</c:v>
                </c:pt>
                <c:pt idx="2650">
                  <c:v>1.6430192268067872E-3</c:v>
                </c:pt>
                <c:pt idx="2651">
                  <c:v>1.7461101459589731E-3</c:v>
                </c:pt>
                <c:pt idx="2652">
                  <c:v>1.5690147528557407E-3</c:v>
                </c:pt>
                <c:pt idx="2653">
                  <c:v>1.1758766572572809E-3</c:v>
                </c:pt>
                <c:pt idx="2654">
                  <c:v>7.9524640064596497E-4</c:v>
                </c:pt>
                <c:pt idx="2655">
                  <c:v>2.0369839574213228E-3</c:v>
                </c:pt>
                <c:pt idx="2656">
                  <c:v>1.2405618713998232E-3</c:v>
                </c:pt>
                <c:pt idx="2657">
                  <c:v>2.0955174447872507E-3</c:v>
                </c:pt>
                <c:pt idx="2658">
                  <c:v>1.6072672898806116E-3</c:v>
                </c:pt>
                <c:pt idx="2659">
                  <c:v>2.1481342095638679E-3</c:v>
                </c:pt>
                <c:pt idx="2660">
                  <c:v>1.5243386158345315E-3</c:v>
                </c:pt>
                <c:pt idx="2661">
                  <c:v>1.1733379057519439E-3</c:v>
                </c:pt>
                <c:pt idx="2662">
                  <c:v>1.7800654007719061E-3</c:v>
                </c:pt>
                <c:pt idx="2663">
                  <c:v>8.9760182905067559E-4</c:v>
                </c:pt>
                <c:pt idx="2664">
                  <c:v>1.5455327622170027E-3</c:v>
                </c:pt>
                <c:pt idx="2665">
                  <c:v>9.5811885998353099E-4</c:v>
                </c:pt>
                <c:pt idx="2666">
                  <c:v>1.9753070396483548E-3</c:v>
                </c:pt>
                <c:pt idx="2667">
                  <c:v>2.3602388839494589E-3</c:v>
                </c:pt>
                <c:pt idx="2668">
                  <c:v>2.0936947603957439E-3</c:v>
                </c:pt>
                <c:pt idx="2669">
                  <c:v>1.5885132453607345E-3</c:v>
                </c:pt>
                <c:pt idx="2670">
                  <c:v>1.0100579416173908E-3</c:v>
                </c:pt>
                <c:pt idx="2671">
                  <c:v>1.2506038392925494E-3</c:v>
                </c:pt>
                <c:pt idx="2672">
                  <c:v>1.0225103639247238E-3</c:v>
                </c:pt>
                <c:pt idx="2673">
                  <c:v>1.2554832851762383E-3</c:v>
                </c:pt>
                <c:pt idx="2674">
                  <c:v>8.7512924204130333E-4</c:v>
                </c:pt>
                <c:pt idx="2675">
                  <c:v>1.7929710473217008E-3</c:v>
                </c:pt>
                <c:pt idx="2676">
                  <c:v>7.524170338318733E-4</c:v>
                </c:pt>
                <c:pt idx="2677">
                  <c:v>7.734619177780631E-4</c:v>
                </c:pt>
                <c:pt idx="2678">
                  <c:v>7.2613690807425278E-4</c:v>
                </c:pt>
                <c:pt idx="2679">
                  <c:v>1.8286564519699479E-3</c:v>
                </c:pt>
                <c:pt idx="2680">
                  <c:v>1.2217617690333232E-3</c:v>
                </c:pt>
                <c:pt idx="2681">
                  <c:v>1.5317401082264224E-3</c:v>
                </c:pt>
                <c:pt idx="2682">
                  <c:v>6.8579222078568277E-4</c:v>
                </c:pt>
                <c:pt idx="2683">
                  <c:v>1.3126196435610997E-3</c:v>
                </c:pt>
                <c:pt idx="2684">
                  <c:v>6.5553370531925507E-4</c:v>
                </c:pt>
                <c:pt idx="2685">
                  <c:v>1.3052747096554155E-3</c:v>
                </c:pt>
                <c:pt idx="2686">
                  <c:v>1.382671774895969E-3</c:v>
                </c:pt>
                <c:pt idx="2687">
                  <c:v>1.1800146400706665E-3</c:v>
                </c:pt>
                <c:pt idx="2688">
                  <c:v>1.456167670684828E-3</c:v>
                </c:pt>
                <c:pt idx="2689">
                  <c:v>7.9312696568208118E-4</c:v>
                </c:pt>
                <c:pt idx="2690">
                  <c:v>1.9576494064366171E-3</c:v>
                </c:pt>
                <c:pt idx="2691">
                  <c:v>7.9674011082925072E-4</c:v>
                </c:pt>
                <c:pt idx="2692">
                  <c:v>6.489376947047328E-4</c:v>
                </c:pt>
                <c:pt idx="2693">
                  <c:v>1.8409918355245421E-3</c:v>
                </c:pt>
                <c:pt idx="2694">
                  <c:v>1.7133196270734071E-3</c:v>
                </c:pt>
                <c:pt idx="2695">
                  <c:v>1.6602934584770091E-3</c:v>
                </c:pt>
                <c:pt idx="2696">
                  <c:v>1.109677320076055E-3</c:v>
                </c:pt>
                <c:pt idx="2697">
                  <c:v>7.967401108292505E-4</c:v>
                </c:pt>
                <c:pt idx="2698">
                  <c:v>1.1842221339571008E-3</c:v>
                </c:pt>
                <c:pt idx="2699">
                  <c:v>1.1396699527820961E-3</c:v>
                </c:pt>
                <c:pt idx="2700">
                  <c:v>7.2769409376566405E-4</c:v>
                </c:pt>
                <c:pt idx="2701">
                  <c:v>2.1939229095554219E-3</c:v>
                </c:pt>
                <c:pt idx="2702">
                  <c:v>1.664445953654105E-3</c:v>
                </c:pt>
                <c:pt idx="2703">
                  <c:v>5.3449964345354513E-4</c:v>
                </c:pt>
                <c:pt idx="2704">
                  <c:v>7.734619177780631E-4</c:v>
                </c:pt>
                <c:pt idx="2705">
                  <c:v>1.1263915567785311E-3</c:v>
                </c:pt>
                <c:pt idx="2706">
                  <c:v>1.2584698584541568E-3</c:v>
                </c:pt>
                <c:pt idx="2707">
                  <c:v>1.3817380765135169E-3</c:v>
                </c:pt>
                <c:pt idx="2708">
                  <c:v>2.356778584278831E-3</c:v>
                </c:pt>
                <c:pt idx="2709">
                  <c:v>1.5449136156705603E-3</c:v>
                </c:pt>
                <c:pt idx="2710">
                  <c:v>2.3015398131150111E-3</c:v>
                </c:pt>
                <c:pt idx="2711">
                  <c:v>2.1587394432831478E-3</c:v>
                </c:pt>
                <c:pt idx="2712">
                  <c:v>1.190297692386894E-3</c:v>
                </c:pt>
                <c:pt idx="2713">
                  <c:v>7.4743316244096762E-4</c:v>
                </c:pt>
                <c:pt idx="2714">
                  <c:v>1.3100847348441688E-3</c:v>
                </c:pt>
                <c:pt idx="2715">
                  <c:v>2.498106922300093E-3</c:v>
                </c:pt>
                <c:pt idx="2716">
                  <c:v>1.1437591870459298E-3</c:v>
                </c:pt>
                <c:pt idx="2717">
                  <c:v>1.5388616794029127E-3</c:v>
                </c:pt>
                <c:pt idx="2718">
                  <c:v>1.8700735100951201E-3</c:v>
                </c:pt>
                <c:pt idx="2719">
                  <c:v>1.2204507658397218E-3</c:v>
                </c:pt>
                <c:pt idx="2720">
                  <c:v>1.4925580088553712E-3</c:v>
                </c:pt>
                <c:pt idx="2721">
                  <c:v>1.4754477742704901E-3</c:v>
                </c:pt>
                <c:pt idx="2722">
                  <c:v>1.1283559535370548E-3</c:v>
                </c:pt>
                <c:pt idx="2723">
                  <c:v>1.0847724754613891E-3</c:v>
                </c:pt>
                <c:pt idx="2724">
                  <c:v>1.672034369099437E-3</c:v>
                </c:pt>
                <c:pt idx="2725">
                  <c:v>1.2801223369266214E-3</c:v>
                </c:pt>
                <c:pt idx="2726">
                  <c:v>1.0225103639247238E-3</c:v>
                </c:pt>
                <c:pt idx="2727">
                  <c:v>8.0348791549203209E-4</c:v>
                </c:pt>
                <c:pt idx="2728">
                  <c:v>1.1699284682485237E-3</c:v>
                </c:pt>
                <c:pt idx="2729">
                  <c:v>1.1345821646907212E-3</c:v>
                </c:pt>
                <c:pt idx="2730">
                  <c:v>1.9148190677397178E-3</c:v>
                </c:pt>
                <c:pt idx="2731">
                  <c:v>2.1664378556651457E-3</c:v>
                </c:pt>
                <c:pt idx="2732">
                  <c:v>9.1777417269496087E-4</c:v>
                </c:pt>
                <c:pt idx="2733">
                  <c:v>1.1988255372409372E-3</c:v>
                </c:pt>
                <c:pt idx="2734">
                  <c:v>1.1408083758443876E-3</c:v>
                </c:pt>
                <c:pt idx="2735">
                  <c:v>8.5440266277572784E-4</c:v>
                </c:pt>
                <c:pt idx="2736">
                  <c:v>2.0016154220366634E-3</c:v>
                </c:pt>
                <c:pt idx="2737">
                  <c:v>2.3763514364382684E-3</c:v>
                </c:pt>
                <c:pt idx="2738">
                  <c:v>5.5467198709782987E-4</c:v>
                </c:pt>
                <c:pt idx="2739">
                  <c:v>2.4357037314437567E-3</c:v>
                </c:pt>
                <c:pt idx="2740">
                  <c:v>1.0254977842912949E-3</c:v>
                </c:pt>
                <c:pt idx="2741">
                  <c:v>6.7384253931939905E-4</c:v>
                </c:pt>
                <c:pt idx="2742">
                  <c:v>9.8515309700272476E-4</c:v>
                </c:pt>
                <c:pt idx="2743">
                  <c:v>2.3012034582075586E-3</c:v>
                </c:pt>
                <c:pt idx="2744">
                  <c:v>1.5330306538456548E-3</c:v>
                </c:pt>
                <c:pt idx="2745">
                  <c:v>1.2519148424861505E-3</c:v>
                </c:pt>
                <c:pt idx="2746">
                  <c:v>7.5478328431706357E-4</c:v>
                </c:pt>
                <c:pt idx="2747">
                  <c:v>1.2715798903901688E-3</c:v>
                </c:pt>
                <c:pt idx="2748">
                  <c:v>9.5811885998353078E-4</c:v>
                </c:pt>
                <c:pt idx="2749">
                  <c:v>6.6139011701206582E-4</c:v>
                </c:pt>
                <c:pt idx="2750">
                  <c:v>1.4728086890333971E-3</c:v>
                </c:pt>
                <c:pt idx="2751">
                  <c:v>2.593554025773609E-3</c:v>
                </c:pt>
                <c:pt idx="2752">
                  <c:v>1.1666996349020725E-3</c:v>
                </c:pt>
                <c:pt idx="2753">
                  <c:v>1.7133196270734071E-3</c:v>
                </c:pt>
                <c:pt idx="2754">
                  <c:v>8.4279447898632782E-4</c:v>
                </c:pt>
                <c:pt idx="2755">
                  <c:v>1.5215978415953858E-3</c:v>
                </c:pt>
                <c:pt idx="2756">
                  <c:v>1.1845737584685104E-3</c:v>
                </c:pt>
                <c:pt idx="2757">
                  <c:v>1.3204402826185516E-3</c:v>
                </c:pt>
                <c:pt idx="2758">
                  <c:v>7.0927640412939109E-4</c:v>
                </c:pt>
                <c:pt idx="2759">
                  <c:v>7.7656776718496544E-4</c:v>
                </c:pt>
                <c:pt idx="2760">
                  <c:v>1.2679756856237047E-3</c:v>
                </c:pt>
                <c:pt idx="2761">
                  <c:v>2.0726745500399828E-3</c:v>
                </c:pt>
                <c:pt idx="2762">
                  <c:v>8.7308129623672748E-4</c:v>
                </c:pt>
                <c:pt idx="2763">
                  <c:v>2.2117656118795458E-3</c:v>
                </c:pt>
                <c:pt idx="2764">
                  <c:v>1.6440883714320068E-3</c:v>
                </c:pt>
                <c:pt idx="2765">
                  <c:v>5.9501667438639999E-4</c:v>
                </c:pt>
                <c:pt idx="2766">
                  <c:v>1.1889866891932927E-3</c:v>
                </c:pt>
                <c:pt idx="2767">
                  <c:v>1.0411889973857235E-3</c:v>
                </c:pt>
                <c:pt idx="2768">
                  <c:v>2.5146288786086829E-3</c:v>
                </c:pt>
                <c:pt idx="2769">
                  <c:v>1.0287220627385285E-3</c:v>
                </c:pt>
                <c:pt idx="2770">
                  <c:v>1.8036688155971732E-3</c:v>
                </c:pt>
                <c:pt idx="2771">
                  <c:v>1.9608860045187419E-3</c:v>
                </c:pt>
                <c:pt idx="2772">
                  <c:v>8.6734331358424789E-4</c:v>
                </c:pt>
                <c:pt idx="2773">
                  <c:v>2.0936947603957439E-3</c:v>
                </c:pt>
                <c:pt idx="2774">
                  <c:v>2.2100354620442314E-3</c:v>
                </c:pt>
                <c:pt idx="2775">
                  <c:v>1.3913856160262328E-3</c:v>
                </c:pt>
                <c:pt idx="2776">
                  <c:v>1.8940180041209396E-3</c:v>
                </c:pt>
                <c:pt idx="2777">
                  <c:v>2.4488579226379114E-3</c:v>
                </c:pt>
                <c:pt idx="2778">
                  <c:v>1.2558478520669544E-3</c:v>
                </c:pt>
                <c:pt idx="2779">
                  <c:v>1.7304486696789285E-3</c:v>
                </c:pt>
                <c:pt idx="2780">
                  <c:v>6.2527518985282758E-4</c:v>
                </c:pt>
                <c:pt idx="2781">
                  <c:v>1.2532258456797519E-3</c:v>
                </c:pt>
                <c:pt idx="2782">
                  <c:v>1.0244190842791385E-3</c:v>
                </c:pt>
                <c:pt idx="2783">
                  <c:v>1.001262315462178E-3</c:v>
                </c:pt>
                <c:pt idx="2784">
                  <c:v>1.2506038392925494E-3</c:v>
                </c:pt>
                <c:pt idx="2785">
                  <c:v>1.2283609442594714E-3</c:v>
                </c:pt>
                <c:pt idx="2786">
                  <c:v>1.8832277012892748E-3</c:v>
                </c:pt>
                <c:pt idx="2787">
                  <c:v>1.5436358875649341E-3</c:v>
                </c:pt>
                <c:pt idx="2788">
                  <c:v>1.6080860975201719E-3</c:v>
                </c:pt>
                <c:pt idx="2789">
                  <c:v>1.6072672898806109E-3</c:v>
                </c:pt>
                <c:pt idx="2790">
                  <c:v>1.3123534671662333E-3</c:v>
                </c:pt>
                <c:pt idx="2791">
                  <c:v>1.1283559535370546E-3</c:v>
                </c:pt>
                <c:pt idx="2792">
                  <c:v>1.5105485884314206E-3</c:v>
                </c:pt>
                <c:pt idx="2793">
                  <c:v>1.8912703574834508E-3</c:v>
                </c:pt>
                <c:pt idx="2794">
                  <c:v>1.1034511089223886E-3</c:v>
                </c:pt>
                <c:pt idx="2795">
                  <c:v>1.2597808616477582E-3</c:v>
                </c:pt>
                <c:pt idx="2796">
                  <c:v>1.6039777616489157E-3</c:v>
                </c:pt>
                <c:pt idx="2797">
                  <c:v>1.472020206536595E-3</c:v>
                </c:pt>
                <c:pt idx="2798">
                  <c:v>1.0287220627385287E-3</c:v>
                </c:pt>
                <c:pt idx="2799">
                  <c:v>1.7981614968276432E-3</c:v>
                </c:pt>
                <c:pt idx="2800">
                  <c:v>1.2203593273592364E-3</c:v>
                </c:pt>
                <c:pt idx="2801">
                  <c:v>1.2453640425819014E-3</c:v>
                </c:pt>
                <c:pt idx="2802">
                  <c:v>1.122129742383388E-3</c:v>
                </c:pt>
                <c:pt idx="2803">
                  <c:v>8.6195303356745756E-4</c:v>
                </c:pt>
                <c:pt idx="2804">
                  <c:v>8.7308129623672737E-4</c:v>
                </c:pt>
                <c:pt idx="2805">
                  <c:v>1.6676491071828271E-3</c:v>
                </c:pt>
                <c:pt idx="2806">
                  <c:v>1.2112737434845132E-3</c:v>
                </c:pt>
                <c:pt idx="2807">
                  <c:v>9.3794651633924571E-4</c:v>
                </c:pt>
                <c:pt idx="2808">
                  <c:v>1.1283559535370546E-3</c:v>
                </c:pt>
                <c:pt idx="2809">
                  <c:v>7.1605073625211025E-4</c:v>
                </c:pt>
                <c:pt idx="2810">
                  <c:v>6.1518901803068484E-4</c:v>
                </c:pt>
                <c:pt idx="2811">
                  <c:v>2.4225495402496028E-3</c:v>
                </c:pt>
                <c:pt idx="2812">
                  <c:v>1.0293577449597708E-3</c:v>
                </c:pt>
                <c:pt idx="2813">
                  <c:v>7.7146546675372859E-4</c:v>
                </c:pt>
                <c:pt idx="2814">
                  <c:v>1.2348718009693351E-3</c:v>
                </c:pt>
                <c:pt idx="2815">
                  <c:v>5.4458581527568745E-4</c:v>
                </c:pt>
                <c:pt idx="2816">
                  <c:v>1.9148190677397178E-3</c:v>
                </c:pt>
                <c:pt idx="2817">
                  <c:v>1.541630710320445E-3</c:v>
                </c:pt>
                <c:pt idx="2818">
                  <c:v>8.1828773561648993E-4</c:v>
                </c:pt>
                <c:pt idx="2819">
                  <c:v>1.0543032453854922E-3</c:v>
                </c:pt>
                <c:pt idx="2820">
                  <c:v>2.0542321868132806E-3</c:v>
                </c:pt>
                <c:pt idx="2821">
                  <c:v>1.2624028680349605E-3</c:v>
                </c:pt>
                <c:pt idx="2822">
                  <c:v>1.2165177562589182E-3</c:v>
                </c:pt>
                <c:pt idx="2823">
                  <c:v>9.0369704258976219E-4</c:v>
                </c:pt>
                <c:pt idx="2824">
                  <c:v>1.7875562631083637E-3</c:v>
                </c:pt>
                <c:pt idx="2825">
                  <c:v>9.5877697791309875E-4</c:v>
                </c:pt>
                <c:pt idx="2826">
                  <c:v>6.7657858926544519E-4</c:v>
                </c:pt>
                <c:pt idx="2827">
                  <c:v>1.7160772758943593E-3</c:v>
                </c:pt>
                <c:pt idx="2828">
                  <c:v>7.5478328431706357E-4</c:v>
                </c:pt>
                <c:pt idx="2829">
                  <c:v>1.6596064509886506E-3</c:v>
                </c:pt>
                <c:pt idx="2830">
                  <c:v>1.2203593273592364E-3</c:v>
                </c:pt>
                <c:pt idx="2831">
                  <c:v>1.6444052406955948E-3</c:v>
                </c:pt>
                <c:pt idx="2832">
                  <c:v>1.467610909132441E-3</c:v>
                </c:pt>
                <c:pt idx="2833">
                  <c:v>1.8791336630914711E-3</c:v>
                </c:pt>
                <c:pt idx="2834">
                  <c:v>8.4717096993996315E-4</c:v>
                </c:pt>
                <c:pt idx="2835">
                  <c:v>6.2403285009006665E-4</c:v>
                </c:pt>
                <c:pt idx="2836">
                  <c:v>1.0455560392234522E-3</c:v>
                </c:pt>
                <c:pt idx="2837">
                  <c:v>8.0682628265139281E-4</c:v>
                </c:pt>
                <c:pt idx="2838">
                  <c:v>1.6106350549950469E-3</c:v>
                </c:pt>
                <c:pt idx="2839">
                  <c:v>1.0287220627385285E-3</c:v>
                </c:pt>
                <c:pt idx="2840">
                  <c:v>1.0471132249148633E-3</c:v>
                </c:pt>
                <c:pt idx="2841">
                  <c:v>1.8504526214492445E-3</c:v>
                </c:pt>
                <c:pt idx="2842">
                  <c:v>9.3794651633924571E-4</c:v>
                </c:pt>
                <c:pt idx="2843">
                  <c:v>2.0936947603957439E-3</c:v>
                </c:pt>
                <c:pt idx="2844">
                  <c:v>2.1311103148793052E-3</c:v>
                </c:pt>
                <c:pt idx="2845">
                  <c:v>8.3559108793453477E-4</c:v>
                </c:pt>
                <c:pt idx="2846">
                  <c:v>1.0723200531540559E-3</c:v>
                </c:pt>
                <c:pt idx="2847">
                  <c:v>1.1929196987740965E-3</c:v>
                </c:pt>
                <c:pt idx="2848">
                  <c:v>1.0713378547747942E-3</c:v>
                </c:pt>
                <c:pt idx="2849">
                  <c:v>1.2532258456797521E-3</c:v>
                </c:pt>
                <c:pt idx="2850">
                  <c:v>1.4751089323984845E-3</c:v>
                </c:pt>
                <c:pt idx="2851">
                  <c:v>2.2785113855780452E-3</c:v>
                </c:pt>
                <c:pt idx="2852">
                  <c:v>1.030828002422489E-3</c:v>
                </c:pt>
                <c:pt idx="2853">
                  <c:v>9.1114454810930449E-4</c:v>
                </c:pt>
                <c:pt idx="2854">
                  <c:v>1.2427378201309424E-3</c:v>
                </c:pt>
                <c:pt idx="2855">
                  <c:v>2.5409372609969914E-3</c:v>
                </c:pt>
                <c:pt idx="2856">
                  <c:v>1.014003599389465E-3</c:v>
                </c:pt>
                <c:pt idx="2857">
                  <c:v>1.5436358875649341E-3</c:v>
                </c:pt>
                <c:pt idx="2858">
                  <c:v>1.5113182480311223E-3</c:v>
                </c:pt>
                <c:pt idx="2859">
                  <c:v>1.6708986921962887E-3</c:v>
                </c:pt>
                <c:pt idx="2860">
                  <c:v>2.5540914521911462E-3</c:v>
                </c:pt>
                <c:pt idx="2861">
                  <c:v>2.1035737210316555E-3</c:v>
                </c:pt>
                <c:pt idx="2862">
                  <c:v>1.7202756147813771E-3</c:v>
                </c:pt>
                <c:pt idx="2863">
                  <c:v>1.9334229678604601E-3</c:v>
                </c:pt>
                <c:pt idx="2864">
                  <c:v>1.259780861647758E-3</c:v>
                </c:pt>
                <c:pt idx="2865">
                  <c:v>1.2506038392925494E-3</c:v>
                </c:pt>
                <c:pt idx="2866">
                  <c:v>1.5895125672611603E-3</c:v>
                </c:pt>
                <c:pt idx="2867">
                  <c:v>1.2652912202824572E-3</c:v>
                </c:pt>
                <c:pt idx="2868">
                  <c:v>1.0993252654935262E-3</c:v>
                </c:pt>
                <c:pt idx="2869">
                  <c:v>1.754010412115211E-3</c:v>
                </c:pt>
                <c:pt idx="2870">
                  <c:v>7.967401108292505E-4</c:v>
                </c:pt>
                <c:pt idx="2871">
                  <c:v>1.7885263565429921E-3</c:v>
                </c:pt>
                <c:pt idx="2872">
                  <c:v>1.0966668194067229E-3</c:v>
                </c:pt>
                <c:pt idx="2873">
                  <c:v>8.7930750739039388E-4</c:v>
                </c:pt>
                <c:pt idx="2874">
                  <c:v>1.0438392604036144E-3</c:v>
                </c:pt>
                <c:pt idx="2875">
                  <c:v>1.0972248977687219E-3</c:v>
                </c:pt>
                <c:pt idx="2876">
                  <c:v>8.1081918470006216E-4</c:v>
                </c:pt>
                <c:pt idx="2877">
                  <c:v>1.9811068928788076E-3</c:v>
                </c:pt>
                <c:pt idx="2878">
                  <c:v>9.4156961892705919E-4</c:v>
                </c:pt>
                <c:pt idx="2879">
                  <c:v>9.7270067469539174E-4</c:v>
                </c:pt>
                <c:pt idx="2880">
                  <c:v>1.8830033665818793E-3</c:v>
                </c:pt>
                <c:pt idx="2881">
                  <c:v>1.6535119151681837E-3</c:v>
                </c:pt>
                <c:pt idx="2882">
                  <c:v>1.6849133634189882E-3</c:v>
                </c:pt>
                <c:pt idx="2883">
                  <c:v>5.4458581527568745E-4</c:v>
                </c:pt>
                <c:pt idx="2884">
                  <c:v>1.9784504700553953E-3</c:v>
                </c:pt>
                <c:pt idx="2885">
                  <c:v>1.5163945293033103E-3</c:v>
                </c:pt>
                <c:pt idx="2886">
                  <c:v>8.1704539585372867E-4</c:v>
                </c:pt>
                <c:pt idx="2887">
                  <c:v>9.5795926687895273E-4</c:v>
                </c:pt>
                <c:pt idx="2888">
                  <c:v>2.0542321868132806E-3</c:v>
                </c:pt>
                <c:pt idx="2889">
                  <c:v>1.2545368488733532E-3</c:v>
                </c:pt>
                <c:pt idx="2890">
                  <c:v>1.2073407339037098E-3</c:v>
                </c:pt>
                <c:pt idx="2891">
                  <c:v>6.9074184518195776E-4</c:v>
                </c:pt>
                <c:pt idx="2892">
                  <c:v>1.0474152085393899E-3</c:v>
                </c:pt>
                <c:pt idx="2893">
                  <c:v>2.1485051503491097E-3</c:v>
                </c:pt>
                <c:pt idx="2894">
                  <c:v>1.0589805782049563E-3</c:v>
                </c:pt>
                <c:pt idx="2895">
                  <c:v>1.3191334954648585E-3</c:v>
                </c:pt>
                <c:pt idx="2896">
                  <c:v>8.7209909785746571E-4</c:v>
                </c:pt>
                <c:pt idx="2897">
                  <c:v>2.283862694259408E-3</c:v>
                </c:pt>
                <c:pt idx="2898">
                  <c:v>9.8503900829059743E-4</c:v>
                </c:pt>
                <c:pt idx="2899">
                  <c:v>2.4132650525458569E-3</c:v>
                </c:pt>
                <c:pt idx="2900">
                  <c:v>1.6321046123888229E-3</c:v>
                </c:pt>
                <c:pt idx="2901">
                  <c:v>1.771760579883142E-3</c:v>
                </c:pt>
                <c:pt idx="2902">
                  <c:v>9.1043856315872643E-4</c:v>
                </c:pt>
                <c:pt idx="2903">
                  <c:v>1.0841190818964667E-3</c:v>
                </c:pt>
                <c:pt idx="2904">
                  <c:v>2.2292580004343756E-3</c:v>
                </c:pt>
                <c:pt idx="2905">
                  <c:v>1.2374938073565376E-3</c:v>
                </c:pt>
                <c:pt idx="2906">
                  <c:v>2.4357037314437571E-3</c:v>
                </c:pt>
                <c:pt idx="2907">
                  <c:v>1.0993252654935262E-3</c:v>
                </c:pt>
                <c:pt idx="2908">
                  <c:v>1.2060357206158895E-3</c:v>
                </c:pt>
                <c:pt idx="2909">
                  <c:v>1.2768239031645738E-3</c:v>
                </c:pt>
                <c:pt idx="2910">
                  <c:v>8.5440266277572795E-4</c:v>
                </c:pt>
                <c:pt idx="2911">
                  <c:v>1.9845723805198478E-3</c:v>
                </c:pt>
                <c:pt idx="2912">
                  <c:v>1.0723200531540561E-3</c:v>
                </c:pt>
                <c:pt idx="2913">
                  <c:v>1.1283559535370546E-3</c:v>
                </c:pt>
                <c:pt idx="2914">
                  <c:v>1.6602934584770089E-3</c:v>
                </c:pt>
                <c:pt idx="2915">
                  <c:v>1.2440488233245435E-3</c:v>
                </c:pt>
                <c:pt idx="2916">
                  <c:v>1.7239248607926862E-3</c:v>
                </c:pt>
                <c:pt idx="2917">
                  <c:v>2.2778534371139048E-3</c:v>
                </c:pt>
                <c:pt idx="2918">
                  <c:v>1.6381966612924348E-3</c:v>
                </c:pt>
                <c:pt idx="2919">
                  <c:v>2.1331573339782072E-3</c:v>
                </c:pt>
                <c:pt idx="2920">
                  <c:v>9.8678883284899067E-4</c:v>
                </c:pt>
                <c:pt idx="2921">
                  <c:v>1.5477107789304851E-3</c:v>
                </c:pt>
                <c:pt idx="2922">
                  <c:v>7.8769206280138203E-4</c:v>
                </c:pt>
                <c:pt idx="2923">
                  <c:v>2.4488579226379114E-3</c:v>
                </c:pt>
                <c:pt idx="2924">
                  <c:v>9.2388583203659191E-4</c:v>
                </c:pt>
                <c:pt idx="2925">
                  <c:v>1.6072672898806116E-3</c:v>
                </c:pt>
                <c:pt idx="2926">
                  <c:v>1.851187665424041E-3</c:v>
                </c:pt>
                <c:pt idx="2927">
                  <c:v>1.250617842825664E-3</c:v>
                </c:pt>
                <c:pt idx="2928">
                  <c:v>2.498106922300093E-3</c:v>
                </c:pt>
                <c:pt idx="2929">
                  <c:v>1.2519148424861505E-3</c:v>
                </c:pt>
                <c:pt idx="2930">
                  <c:v>1.2531170346910478E-3</c:v>
                </c:pt>
                <c:pt idx="2931">
                  <c:v>1.633298068600342E-3</c:v>
                </c:pt>
                <c:pt idx="2932">
                  <c:v>1.4440000186324517E-3</c:v>
                </c:pt>
                <c:pt idx="2933">
                  <c:v>1.2519148424861507E-3</c:v>
                </c:pt>
                <c:pt idx="2934">
                  <c:v>1.2506038392925494E-3</c:v>
                </c:pt>
                <c:pt idx="2935">
                  <c:v>1.4171826970947525E-3</c:v>
                </c:pt>
                <c:pt idx="2936">
                  <c:v>1.2715798903901688E-3</c:v>
                </c:pt>
                <c:pt idx="2937">
                  <c:v>1.2361828041629363E-3</c:v>
                </c:pt>
                <c:pt idx="2938">
                  <c:v>8.3708479811782084E-4</c:v>
                </c:pt>
                <c:pt idx="2939">
                  <c:v>1.1086993377605503E-3</c:v>
                </c:pt>
                <c:pt idx="2940">
                  <c:v>1.2610918648413591E-3</c:v>
                </c:pt>
                <c:pt idx="2941">
                  <c:v>2.0026192987886095E-3</c:v>
                </c:pt>
                <c:pt idx="2942">
                  <c:v>2.5277830698028371E-3</c:v>
                </c:pt>
                <c:pt idx="2943">
                  <c:v>8.4195024046839482E-4</c:v>
                </c:pt>
                <c:pt idx="2944">
                  <c:v>1.0842779973301232E-3</c:v>
                </c:pt>
                <c:pt idx="2945">
                  <c:v>1.718910709507701E-3</c:v>
                </c:pt>
                <c:pt idx="2946">
                  <c:v>1.2152067530653171E-3</c:v>
                </c:pt>
                <c:pt idx="2947">
                  <c:v>2.1693446770024273E-3</c:v>
                </c:pt>
                <c:pt idx="2948">
                  <c:v>9.3534340777339268E-4</c:v>
                </c:pt>
                <c:pt idx="2949">
                  <c:v>9.2911719661972606E-4</c:v>
                </c:pt>
                <c:pt idx="2950">
                  <c:v>5.8493050256425735E-4</c:v>
                </c:pt>
                <c:pt idx="2951">
                  <c:v>1.7490637829605288E-3</c:v>
                </c:pt>
                <c:pt idx="2952">
                  <c:v>1.2193683580169999E-3</c:v>
                </c:pt>
                <c:pt idx="2953">
                  <c:v>7.2987843970239753E-4</c:v>
                </c:pt>
                <c:pt idx="2954">
                  <c:v>8.4717096993996315E-4</c:v>
                </c:pt>
                <c:pt idx="2955">
                  <c:v>1.6708986921962891E-3</c:v>
                </c:pt>
                <c:pt idx="2956">
                  <c:v>2.1489776908177063E-3</c:v>
                </c:pt>
                <c:pt idx="2957">
                  <c:v>7.7346191777806321E-4</c:v>
                </c:pt>
                <c:pt idx="2958">
                  <c:v>9.5795926687895273E-4</c:v>
                </c:pt>
                <c:pt idx="2959">
                  <c:v>1.9503538197117899E-3</c:v>
                </c:pt>
                <c:pt idx="2960">
                  <c:v>1.3763508364095932E-3</c:v>
                </c:pt>
                <c:pt idx="2961">
                  <c:v>1.5542411212842138E-3</c:v>
                </c:pt>
                <c:pt idx="2962">
                  <c:v>2.2138126309784473E-3</c:v>
                </c:pt>
                <c:pt idx="2963">
                  <c:v>1.1194976091378111E-3</c:v>
                </c:pt>
                <c:pt idx="2964">
                  <c:v>2.5409372609969914E-3</c:v>
                </c:pt>
                <c:pt idx="2965">
                  <c:v>1.1034511089223888E-3</c:v>
                </c:pt>
                <c:pt idx="2966">
                  <c:v>1.2191397626461205E-3</c:v>
                </c:pt>
                <c:pt idx="2967">
                  <c:v>5.9605479818067406E-4</c:v>
                </c:pt>
                <c:pt idx="2968">
                  <c:v>1.6160498392083843E-3</c:v>
                </c:pt>
                <c:pt idx="2969">
                  <c:v>2.1463115251723615E-3</c:v>
                </c:pt>
                <c:pt idx="2970">
                  <c:v>2.054232186813281E-3</c:v>
                </c:pt>
                <c:pt idx="2971">
                  <c:v>2.4875016885808135E-3</c:v>
                </c:pt>
                <c:pt idx="2972">
                  <c:v>1.6124684541389902E-3</c:v>
                </c:pt>
                <c:pt idx="2973">
                  <c:v>1.6749927303940921E-3</c:v>
                </c:pt>
                <c:pt idx="2974">
                  <c:v>8.6685508508306086E-4</c:v>
                </c:pt>
                <c:pt idx="2975">
                  <c:v>9.9400131454359364E-4</c:v>
                </c:pt>
                <c:pt idx="2976">
                  <c:v>2.2134818028530187E-3</c:v>
                </c:pt>
                <c:pt idx="2977">
                  <c:v>1.2374938073565376E-3</c:v>
                </c:pt>
                <c:pt idx="2978">
                  <c:v>1.7345300945119659E-3</c:v>
                </c:pt>
                <c:pt idx="2979">
                  <c:v>8.3547265889420393E-4</c:v>
                </c:pt>
                <c:pt idx="2980">
                  <c:v>2.1634428852054617E-3</c:v>
                </c:pt>
                <c:pt idx="2981">
                  <c:v>1.2755128999709724E-3</c:v>
                </c:pt>
                <c:pt idx="2982">
                  <c:v>8.4817645162206144E-4</c:v>
                </c:pt>
                <c:pt idx="2983">
                  <c:v>1.7266887489646361E-3</c:v>
                </c:pt>
                <c:pt idx="2984">
                  <c:v>8.1081918470006216E-4</c:v>
                </c:pt>
                <c:pt idx="2985">
                  <c:v>1.0186358909163862E-3</c:v>
                </c:pt>
                <c:pt idx="2986">
                  <c:v>1.0287365750783904E-3</c:v>
                </c:pt>
                <c:pt idx="2987">
                  <c:v>1.1571980237962815E-3</c:v>
                </c:pt>
                <c:pt idx="2988">
                  <c:v>2.0642502034816236E-3</c:v>
                </c:pt>
                <c:pt idx="2989">
                  <c:v>2.0845028072481913E-3</c:v>
                </c:pt>
                <c:pt idx="2990">
                  <c:v>7.5639542354068038E-4</c:v>
                </c:pt>
                <c:pt idx="2991">
                  <c:v>2.1726199075606705E-3</c:v>
                </c:pt>
                <c:pt idx="2992">
                  <c:v>8.1344557656875226E-4</c:v>
                </c:pt>
                <c:pt idx="2993">
                  <c:v>1.1825242078053284E-3</c:v>
                </c:pt>
                <c:pt idx="2994">
                  <c:v>1.1758766572572807E-3</c:v>
                </c:pt>
                <c:pt idx="2995">
                  <c:v>9.9560906828572316E-4</c:v>
                </c:pt>
                <c:pt idx="2996">
                  <c:v>1.6921091596348479E-3</c:v>
                </c:pt>
                <c:pt idx="2997">
                  <c:v>6.0510284620854231E-4</c:v>
                </c:pt>
                <c:pt idx="2998">
                  <c:v>1.2663358776157643E-3</c:v>
                </c:pt>
                <c:pt idx="2999">
                  <c:v>2.3041618195022134E-3</c:v>
                </c:pt>
                <c:pt idx="3000">
                  <c:v>5.7484433074211504E-4</c:v>
                </c:pt>
                <c:pt idx="3001">
                  <c:v>1.0411889973857235E-3</c:v>
                </c:pt>
                <c:pt idx="3002">
                  <c:v>1.4505403631457955E-3</c:v>
                </c:pt>
                <c:pt idx="3003">
                  <c:v>1.4440000186324517E-3</c:v>
                </c:pt>
                <c:pt idx="3004">
                  <c:v>1.2506038392925494E-3</c:v>
                </c:pt>
                <c:pt idx="3005">
                  <c:v>1.2414268169373412E-3</c:v>
                </c:pt>
                <c:pt idx="3006">
                  <c:v>9.7728233187988219E-4</c:v>
                </c:pt>
                <c:pt idx="3007">
                  <c:v>1.2715798903901688E-3</c:v>
                </c:pt>
                <c:pt idx="3008">
                  <c:v>1.2361828041629363E-3</c:v>
                </c:pt>
                <c:pt idx="3009">
                  <c:v>8.3708479811782084E-4</c:v>
                </c:pt>
                <c:pt idx="3010">
                  <c:v>1.4558268856246144E-3</c:v>
                </c:pt>
                <c:pt idx="3011">
                  <c:v>1.2532258456797521E-3</c:v>
                </c:pt>
                <c:pt idx="3012">
                  <c:v>2.0026192987886095E-3</c:v>
                </c:pt>
                <c:pt idx="3013">
                  <c:v>2.5277830698028371E-3</c:v>
                </c:pt>
                <c:pt idx="3014">
                  <c:v>9.1641340389186845E-4</c:v>
                </c:pt>
                <c:pt idx="3015">
                  <c:v>1.7080398523180206E-3</c:v>
                </c:pt>
                <c:pt idx="3016">
                  <c:v>1.6242535240195604E-3</c:v>
                </c:pt>
                <c:pt idx="3017">
                  <c:v>1.2152067530653171E-3</c:v>
                </c:pt>
                <c:pt idx="3018">
                  <c:v>2.1799499107217069E-3</c:v>
                </c:pt>
                <c:pt idx="3019">
                  <c:v>1.2256947786141266E-3</c:v>
                </c:pt>
                <c:pt idx="3020">
                  <c:v>8.917599296977269E-4</c:v>
                </c:pt>
                <c:pt idx="3021">
                  <c:v>1.0723200531540561E-3</c:v>
                </c:pt>
                <c:pt idx="3022">
                  <c:v>1.7345985885727732E-3</c:v>
                </c:pt>
                <c:pt idx="3023">
                  <c:v>1.223228318685476E-3</c:v>
                </c:pt>
                <c:pt idx="3024">
                  <c:v>1.1824316732252866E-3</c:v>
                </c:pt>
                <c:pt idx="3025">
                  <c:v>9.1043856315872643E-4</c:v>
                </c:pt>
                <c:pt idx="3026">
                  <c:v>1.6496882247577299E-3</c:v>
                </c:pt>
                <c:pt idx="3027">
                  <c:v>2.1805300859804194E-3</c:v>
                </c:pt>
                <c:pt idx="3028">
                  <c:v>7.8591434008539623E-4</c:v>
                </c:pt>
                <c:pt idx="3029">
                  <c:v>9.0290556487521568E-4</c:v>
                </c:pt>
                <c:pt idx="3030">
                  <c:v>1.8872490293863626E-3</c:v>
                </c:pt>
                <c:pt idx="3031">
                  <c:v>1.2848271691126788E-3</c:v>
                </c:pt>
                <c:pt idx="3032">
                  <c:v>2.593554025773609E-3</c:v>
                </c:pt>
                <c:pt idx="3033">
                  <c:v>1.7593739952304842E-3</c:v>
                </c:pt>
                <c:pt idx="3034">
                  <c:v>1.1810527638649406E-3</c:v>
                </c:pt>
                <c:pt idx="3035">
                  <c:v>1.3294406679411912E-3</c:v>
                </c:pt>
                <c:pt idx="3036">
                  <c:v>9.928730183396768E-4</c:v>
                </c:pt>
                <c:pt idx="3037">
                  <c:v>1.2742018967773715E-3</c:v>
                </c:pt>
                <c:pt idx="3038">
                  <c:v>1.2781349063581749E-3</c:v>
                </c:pt>
                <c:pt idx="3039">
                  <c:v>2.4225495402496028E-3</c:v>
                </c:pt>
                <c:pt idx="3040">
                  <c:v>1.2361828041629363E-3</c:v>
                </c:pt>
                <c:pt idx="3041">
                  <c:v>2.08054056920159E-3</c:v>
                </c:pt>
                <c:pt idx="3042">
                  <c:v>2.466291221142254E-3</c:v>
                </c:pt>
                <c:pt idx="3043">
                  <c:v>1.5339238211396593E-3</c:v>
                </c:pt>
                <c:pt idx="3044">
                  <c:v>2.2910076283080591E-3</c:v>
                </c:pt>
                <c:pt idx="3045">
                  <c:v>8.7930750739039388E-4</c:v>
                </c:pt>
                <c:pt idx="3046">
                  <c:v>1.0215281655454622E-3</c:v>
                </c:pt>
                <c:pt idx="3047">
                  <c:v>2.150377012527592E-3</c:v>
                </c:pt>
                <c:pt idx="3048">
                  <c:v>1.2322497945821327E-3</c:v>
                </c:pt>
                <c:pt idx="3049">
                  <c:v>1.7133196270734071E-3</c:v>
                </c:pt>
                <c:pt idx="3050">
                  <c:v>8.0758039391296682E-4</c:v>
                </c:pt>
                <c:pt idx="3051">
                  <c:v>2.100338094880035E-3</c:v>
                </c:pt>
                <c:pt idx="3052">
                  <c:v>2.5146288786086829E-3</c:v>
                </c:pt>
                <c:pt idx="3053">
                  <c:v>8.2327160700739529E-4</c:v>
                </c:pt>
                <c:pt idx="3054">
                  <c:v>1.7659610654643017E-3</c:v>
                </c:pt>
                <c:pt idx="3055">
                  <c:v>8.2327160700739518E-4</c:v>
                </c:pt>
                <c:pt idx="3056">
                  <c:v>8.1704539585372878E-4</c:v>
                </c:pt>
                <c:pt idx="3057">
                  <c:v>9.9760551931005778E-4</c:v>
                </c:pt>
                <c:pt idx="3058">
                  <c:v>1.1784986636444832E-3</c:v>
                </c:pt>
                <c:pt idx="3059">
                  <c:v>2.5014746874145286E-3</c:v>
                </c:pt>
                <c:pt idx="3060">
                  <c:v>1.9062438990636046E-3</c:v>
                </c:pt>
                <c:pt idx="3061">
                  <c:v>1.0287220627385283E-3</c:v>
                </c:pt>
                <c:pt idx="3062">
                  <c:v>5.6475815891997251E-4</c:v>
                </c:pt>
                <c:pt idx="3063">
                  <c:v>2.351534571504426E-3</c:v>
                </c:pt>
                <c:pt idx="3064">
                  <c:v>1.2405316710035216E-3</c:v>
                </c:pt>
                <c:pt idx="3065">
                  <c:v>1.2389814475827078E-3</c:v>
                </c:pt>
                <c:pt idx="3066">
                  <c:v>2.0569425117167679E-3</c:v>
                </c:pt>
                <c:pt idx="3067">
                  <c:v>1.2742018967773713E-3</c:v>
                </c:pt>
                <c:pt idx="3068">
                  <c:v>2.2223708455988249E-3</c:v>
                </c:pt>
                <c:pt idx="3069">
                  <c:v>1.6602934584770096E-3</c:v>
                </c:pt>
                <c:pt idx="3070">
                  <c:v>8.7742948540639064E-4</c:v>
                </c:pt>
                <c:pt idx="3071">
                  <c:v>1.3121729975527931E-3</c:v>
                </c:pt>
                <c:pt idx="3072">
                  <c:v>1.6815039259155686E-3</c:v>
                </c:pt>
                <c:pt idx="3073">
                  <c:v>1.9308390856723353E-3</c:v>
                </c:pt>
                <c:pt idx="3074">
                  <c:v>1.4898126796454611E-3</c:v>
                </c:pt>
                <c:pt idx="3075">
                  <c:v>1.16407762851487E-3</c:v>
                </c:pt>
                <c:pt idx="3076">
                  <c:v>5.2441347163140238E-4</c:v>
                </c:pt>
                <c:pt idx="3077">
                  <c:v>7.2987843970239753E-4</c:v>
                </c:pt>
                <c:pt idx="3078">
                  <c:v>1.7384585939125229E-3</c:v>
                </c:pt>
                <c:pt idx="3079">
                  <c:v>1.4705448406727888E-3</c:v>
                </c:pt>
                <c:pt idx="3080">
                  <c:v>1.5925686510824201E-3</c:v>
                </c:pt>
                <c:pt idx="3081">
                  <c:v>9.9846354727210068E-4</c:v>
                </c:pt>
                <c:pt idx="3082">
                  <c:v>2.4093953490554481E-3</c:v>
                </c:pt>
                <c:pt idx="3083">
                  <c:v>9.0768800087281834E-4</c:v>
                </c:pt>
                <c:pt idx="3084">
                  <c:v>1.9809068929740772E-3</c:v>
                </c:pt>
                <c:pt idx="3085">
                  <c:v>7.7968812893172961E-4</c:v>
                </c:pt>
                <c:pt idx="3086">
                  <c:v>1.8881064695020415E-3</c:v>
                </c:pt>
                <c:pt idx="3087">
                  <c:v>1.3758861401982972E-3</c:v>
                </c:pt>
                <c:pt idx="3088">
                  <c:v>1.6558059191822741E-3</c:v>
                </c:pt>
                <c:pt idx="3089">
                  <c:v>1.208651737097311E-3</c:v>
                </c:pt>
                <c:pt idx="3090">
                  <c:v>2.209216654404671E-3</c:v>
                </c:pt>
                <c:pt idx="3091">
                  <c:v>1.1295837809599538E-3</c:v>
                </c:pt>
                <c:pt idx="3092">
                  <c:v>1.0993252654935262E-3</c:v>
                </c:pt>
                <c:pt idx="3093">
                  <c:v>1.0996486333980961E-3</c:v>
                </c:pt>
                <c:pt idx="3094">
                  <c:v>1.1709339499306219E-3</c:v>
                </c:pt>
                <c:pt idx="3095">
                  <c:v>1.1850536796124893E-3</c:v>
                </c:pt>
                <c:pt idx="3096">
                  <c:v>9.2289098546605966E-4</c:v>
                </c:pt>
                <c:pt idx="3097">
                  <c:v>6.9587839260782519E-4</c:v>
                </c:pt>
                <c:pt idx="3098">
                  <c:v>2.0671942670312791E-3</c:v>
                </c:pt>
                <c:pt idx="3099">
                  <c:v>1.2227647186452821E-3</c:v>
                </c:pt>
                <c:pt idx="3100">
                  <c:v>1.3112291826625944E-3</c:v>
                </c:pt>
                <c:pt idx="3101">
                  <c:v>1.5800895765448431E-3</c:v>
                </c:pt>
                <c:pt idx="3102">
                  <c:v>1.5966620561613317E-3</c:v>
                </c:pt>
                <c:pt idx="3103">
                  <c:v>1.7800654007719063E-3</c:v>
                </c:pt>
                <c:pt idx="3104">
                  <c:v>1.1916579975842197E-3</c:v>
                </c:pt>
                <c:pt idx="3105">
                  <c:v>2.5803998345794547E-3</c:v>
                </c:pt>
                <c:pt idx="3106">
                  <c:v>1.3077965065991575E-3</c:v>
                </c:pt>
                <c:pt idx="3107">
                  <c:v>1.6815039259155686E-3</c:v>
                </c:pt>
                <c:pt idx="3108">
                  <c:v>1.6284777573191708E-3</c:v>
                </c:pt>
                <c:pt idx="3109">
                  <c:v>1.5532372445322675E-3</c:v>
                </c:pt>
                <c:pt idx="3110">
                  <c:v>2.0805405692015896E-3</c:v>
                </c:pt>
                <c:pt idx="3111">
                  <c:v>1.9884612308425096E-3</c:v>
                </c:pt>
                <c:pt idx="3112">
                  <c:v>1.5467502589477562E-3</c:v>
                </c:pt>
                <c:pt idx="3113">
                  <c:v>2.510695869027879E-3</c:v>
                </c:pt>
                <c:pt idx="3114">
                  <c:v>1.7198434359596492E-3</c:v>
                </c:pt>
                <c:pt idx="3115">
                  <c:v>8.4195024046839493E-4</c:v>
                </c:pt>
                <c:pt idx="3116">
                  <c:v>1.2768239031645738E-3</c:v>
                </c:pt>
                <c:pt idx="3117">
                  <c:v>1.0347996445032594E-3</c:v>
                </c:pt>
                <c:pt idx="3118">
                  <c:v>1.2322497945821327E-3</c:v>
                </c:pt>
                <c:pt idx="3119">
                  <c:v>1.7875562631083637E-3</c:v>
                </c:pt>
                <c:pt idx="3120">
                  <c:v>8.9511714952515372E-4</c:v>
                </c:pt>
                <c:pt idx="3121">
                  <c:v>1.9912157150041385E-3</c:v>
                </c:pt>
                <c:pt idx="3122">
                  <c:v>2.5146288786086829E-3</c:v>
                </c:pt>
                <c:pt idx="3123">
                  <c:v>8.2327160700739518E-4</c:v>
                </c:pt>
                <c:pt idx="3124">
                  <c:v>1.6298189609090733E-3</c:v>
                </c:pt>
                <c:pt idx="3125">
                  <c:v>7.8591434008539612E-4</c:v>
                </c:pt>
                <c:pt idx="3126">
                  <c:v>8.1704539585372878E-4</c:v>
                </c:pt>
                <c:pt idx="3127">
                  <c:v>9.9760551931005778E-4</c:v>
                </c:pt>
                <c:pt idx="3128">
                  <c:v>1.4847131151419831E-3</c:v>
                </c:pt>
                <c:pt idx="3129">
                  <c:v>2.0155986719693512E-3</c:v>
                </c:pt>
                <c:pt idx="3130">
                  <c:v>1.1470345869980542E-3</c:v>
                </c:pt>
                <c:pt idx="3131">
                  <c:v>1.9572400026168363E-3</c:v>
                </c:pt>
                <c:pt idx="3132">
                  <c:v>1.4725136229127994E-3</c:v>
                </c:pt>
                <c:pt idx="3133">
                  <c:v>1.5643937638560746E-3</c:v>
                </c:pt>
                <c:pt idx="3134">
                  <c:v>2.5803998345794547E-3</c:v>
                </c:pt>
                <c:pt idx="3135">
                  <c:v>9.4417525910488978E-4</c:v>
                </c:pt>
                <c:pt idx="3136">
                  <c:v>1.7027143933541276E-3</c:v>
                </c:pt>
                <c:pt idx="3137">
                  <c:v>1.2112737434845132E-3</c:v>
                </c:pt>
                <c:pt idx="3138">
                  <c:v>1.7451353282312454E-3</c:v>
                </c:pt>
                <c:pt idx="3139">
                  <c:v>1.0723200531540559E-3</c:v>
                </c:pt>
                <c:pt idx="3140">
                  <c:v>1.2676468808093654E-3</c:v>
                </c:pt>
                <c:pt idx="3141">
                  <c:v>2.2515450547255958E-3</c:v>
                </c:pt>
                <c:pt idx="3142">
                  <c:v>6.1518901803068484E-4</c:v>
                </c:pt>
                <c:pt idx="3143">
                  <c:v>1.2506038392925494E-3</c:v>
                </c:pt>
                <c:pt idx="3144">
                  <c:v>5.3449964345354513E-4</c:v>
                </c:pt>
                <c:pt idx="3145">
                  <c:v>1.3754599070453888E-3</c:v>
                </c:pt>
                <c:pt idx="3146">
                  <c:v>5.3449964345354492E-4</c:v>
                </c:pt>
                <c:pt idx="3147">
                  <c:v>7.429520318911108E-4</c:v>
                </c:pt>
                <c:pt idx="3148">
                  <c:v>2.054232186813281E-3</c:v>
                </c:pt>
                <c:pt idx="3149">
                  <c:v>1.6077863517777486E-3</c:v>
                </c:pt>
                <c:pt idx="3150">
                  <c:v>1.8610498414696444E-3</c:v>
                </c:pt>
                <c:pt idx="3151">
                  <c:v>9.2289098546605955E-4</c:v>
                </c:pt>
                <c:pt idx="3152">
                  <c:v>1.3782569009114316E-3</c:v>
                </c:pt>
                <c:pt idx="3153">
                  <c:v>1.246670829711746E-3</c:v>
                </c:pt>
                <c:pt idx="3154">
                  <c:v>1.1761572110141677E-3</c:v>
                </c:pt>
                <c:pt idx="3155">
                  <c:v>2.4620121138320657E-3</c:v>
                </c:pt>
                <c:pt idx="3156">
                  <c:v>1.1077213554450455E-3</c:v>
                </c:pt>
                <c:pt idx="3157">
                  <c:v>1.535765697106239E-3</c:v>
                </c:pt>
                <c:pt idx="3158">
                  <c:v>1.6558059191822741E-3</c:v>
                </c:pt>
                <c:pt idx="3159">
                  <c:v>1.208651737097311E-3</c:v>
                </c:pt>
                <c:pt idx="3160">
                  <c:v>2.2092166544046706E-3</c:v>
                </c:pt>
                <c:pt idx="3161">
                  <c:v>1.3380550220655856E-3</c:v>
                </c:pt>
                <c:pt idx="3162">
                  <c:v>1.9254243014589982E-3</c:v>
                </c:pt>
                <c:pt idx="3163">
                  <c:v>9.714023196930612E-4</c:v>
                </c:pt>
                <c:pt idx="3164">
                  <c:v>1.2781349063581749E-3</c:v>
                </c:pt>
                <c:pt idx="3165">
                  <c:v>1.5887429820798486E-3</c:v>
                </c:pt>
                <c:pt idx="3166">
                  <c:v>9.0956602285682158E-4</c:v>
                </c:pt>
                <c:pt idx="3167">
                  <c:v>1.2479818329053469E-3</c:v>
                </c:pt>
                <c:pt idx="3168">
                  <c:v>1.0968083622844625E-3</c:v>
                </c:pt>
                <c:pt idx="3169">
                  <c:v>1.3107465605366048E-3</c:v>
                </c:pt>
                <c:pt idx="3170">
                  <c:v>1.2755128999709724E-3</c:v>
                </c:pt>
                <c:pt idx="3171">
                  <c:v>1.2516277099892496E-3</c:v>
                </c:pt>
                <c:pt idx="3172">
                  <c:v>1.6072672898806114E-3</c:v>
                </c:pt>
                <c:pt idx="3173">
                  <c:v>1.9784504700553957E-3</c:v>
                </c:pt>
                <c:pt idx="3174">
                  <c:v>8.7257855539567828E-4</c:v>
                </c:pt>
                <c:pt idx="3175">
                  <c:v>1.6178725235998911E-3</c:v>
                </c:pt>
                <c:pt idx="3176">
                  <c:v>1.3390931458598593E-3</c:v>
                </c:pt>
                <c:pt idx="3177">
                  <c:v>1.6921091596348481E-3</c:v>
                </c:pt>
                <c:pt idx="3178">
                  <c:v>1.702714393354127E-3</c:v>
                </c:pt>
                <c:pt idx="3179">
                  <c:v>1.7335630410617508E-3</c:v>
                </c:pt>
                <c:pt idx="3180">
                  <c:v>2.0016154220366634E-3</c:v>
                </c:pt>
                <c:pt idx="3181">
                  <c:v>1.9884612308425096E-3</c:v>
                </c:pt>
                <c:pt idx="3182">
                  <c:v>1.5674416644891782E-3</c:v>
                </c:pt>
                <c:pt idx="3183">
                  <c:v>2.4225495402496028E-3</c:v>
                </c:pt>
                <c:pt idx="3184">
                  <c:v>1.1889866891932927E-3</c:v>
                </c:pt>
                <c:pt idx="3185">
                  <c:v>9.8240253471681624E-4</c:v>
                </c:pt>
                <c:pt idx="3186">
                  <c:v>1.7883750707479245E-3</c:v>
                </c:pt>
                <c:pt idx="3187">
                  <c:v>1.6088955459160814E-3</c:v>
                </c:pt>
                <c:pt idx="3188">
                  <c:v>1.1228693413050999E-3</c:v>
                </c:pt>
                <c:pt idx="3189">
                  <c:v>1.8511876654240408E-3</c:v>
                </c:pt>
                <c:pt idx="3190">
                  <c:v>8.9511714952515372E-4</c:v>
                </c:pt>
                <c:pt idx="3191">
                  <c:v>1.983678500656871E-3</c:v>
                </c:pt>
                <c:pt idx="3192">
                  <c:v>1.3599028562010147E-3</c:v>
                </c:pt>
                <c:pt idx="3193">
                  <c:v>1.5106910082164757E-3</c:v>
                </c:pt>
                <c:pt idx="3194">
                  <c:v>7.7968812893172961E-4</c:v>
                </c:pt>
                <c:pt idx="3195">
                  <c:v>7.7346191777806299E-4</c:v>
                </c:pt>
                <c:pt idx="3196">
                  <c:v>1.2374938073565374E-3</c:v>
                </c:pt>
                <c:pt idx="3197">
                  <c:v>1.3900559296538425E-3</c:v>
                </c:pt>
                <c:pt idx="3198">
                  <c:v>5.4931831624606842E-4</c:v>
                </c:pt>
                <c:pt idx="3199">
                  <c:v>5.7422316086073457E-4</c:v>
                </c:pt>
                <c:pt idx="3200">
                  <c:v>1.141746200370644E-3</c:v>
                </c:pt>
                <c:pt idx="3201">
                  <c:v>2.0147696132308181E-3</c:v>
                </c:pt>
                <c:pt idx="3202">
                  <c:v>2.4620121138320657E-3</c:v>
                </c:pt>
                <c:pt idx="3203">
                  <c:v>6.6139011701206582E-4</c:v>
                </c:pt>
                <c:pt idx="3204">
                  <c:v>2.5672456433853004E-3</c:v>
                </c:pt>
                <c:pt idx="3205">
                  <c:v>1.31239425747312E-3</c:v>
                </c:pt>
                <c:pt idx="3206">
                  <c:v>1.2650248744221627E-3</c:v>
                </c:pt>
                <c:pt idx="3207">
                  <c:v>2.2919189705038123E-3</c:v>
                </c:pt>
                <c:pt idx="3208">
                  <c:v>1.7663457956698049E-3</c:v>
                </c:pt>
                <c:pt idx="3209">
                  <c:v>1.6852810948497839E-3</c:v>
                </c:pt>
                <c:pt idx="3210">
                  <c:v>1.8830033665818799E-3</c:v>
                </c:pt>
                <c:pt idx="3211">
                  <c:v>6.8579222078568266E-4</c:v>
                </c:pt>
                <c:pt idx="3212">
                  <c:v>1.1876756859996917E-3</c:v>
                </c:pt>
                <c:pt idx="3213">
                  <c:v>2.2910076283080591E-3</c:v>
                </c:pt>
                <c:pt idx="3214">
                  <c:v>2.3304702018905219E-3</c:v>
                </c:pt>
                <c:pt idx="3215">
                  <c:v>1.6072672898806114E-3</c:v>
                </c:pt>
                <c:pt idx="3216">
                  <c:v>1.2361828041629363E-3</c:v>
                </c:pt>
                <c:pt idx="3217">
                  <c:v>2.0805405692015896E-3</c:v>
                </c:pt>
                <c:pt idx="3218">
                  <c:v>1.3413933892249467E-3</c:v>
                </c:pt>
                <c:pt idx="3219">
                  <c:v>1.5806813038237249E-3</c:v>
                </c:pt>
                <c:pt idx="3220">
                  <c:v>2.3791539570863357E-3</c:v>
                </c:pt>
                <c:pt idx="3221">
                  <c:v>8.5153367144948804E-4</c:v>
                </c:pt>
                <c:pt idx="3222">
                  <c:v>2.2121707996594175E-3</c:v>
                </c:pt>
                <c:pt idx="3223">
                  <c:v>1.1707425962662588E-3</c:v>
                </c:pt>
                <c:pt idx="3224">
                  <c:v>1.3846284521197999E-3</c:v>
                </c:pt>
                <c:pt idx="3225">
                  <c:v>1.7133196270734065E-3</c:v>
                </c:pt>
                <c:pt idx="3226">
                  <c:v>1.0315497205827906E-3</c:v>
                </c:pt>
                <c:pt idx="3227">
                  <c:v>1.3836775507184056E-3</c:v>
                </c:pt>
                <c:pt idx="3228">
                  <c:v>1.6944441583431518E-3</c:v>
                </c:pt>
                <c:pt idx="3229">
                  <c:v>1.8000137486396525E-3</c:v>
                </c:pt>
                <c:pt idx="3230">
                  <c:v>1.0507724283668168E-3</c:v>
                </c:pt>
                <c:pt idx="3231">
                  <c:v>1.2178287594525195E-3</c:v>
                </c:pt>
                <c:pt idx="3232">
                  <c:v>1.0411889973857235E-3</c:v>
                </c:pt>
                <c:pt idx="3233">
                  <c:v>1.9970194454628871E-3</c:v>
                </c:pt>
                <c:pt idx="3234">
                  <c:v>1.4949309622734764E-3</c:v>
                </c:pt>
                <c:pt idx="3235">
                  <c:v>9.8515309700272476E-4</c:v>
                </c:pt>
                <c:pt idx="3236">
                  <c:v>1.1295837809599536E-3</c:v>
                </c:pt>
                <c:pt idx="3237">
                  <c:v>9.00499421671054E-4</c:v>
                </c:pt>
                <c:pt idx="3238">
                  <c:v>1.0837594437100263E-3</c:v>
                </c:pt>
                <c:pt idx="3239">
                  <c:v>1.643586433056034E-3</c:v>
                </c:pt>
                <c:pt idx="3240">
                  <c:v>1.3391644656014366E-3</c:v>
                </c:pt>
                <c:pt idx="3241">
                  <c:v>1.6708986921962887E-3</c:v>
                </c:pt>
                <c:pt idx="3242">
                  <c:v>5.7484433074211504E-4</c:v>
                </c:pt>
                <c:pt idx="3243">
                  <c:v>1.233560797775734E-3</c:v>
                </c:pt>
                <c:pt idx="3244">
                  <c:v>2.0314766386517929E-3</c:v>
                </c:pt>
                <c:pt idx="3245">
                  <c:v>1.5648463550034933E-3</c:v>
                </c:pt>
                <c:pt idx="3246">
                  <c:v>1.1780327013861936E-3</c:v>
                </c:pt>
                <c:pt idx="3247">
                  <c:v>1.2558478520669546E-3</c:v>
                </c:pt>
                <c:pt idx="3248">
                  <c:v>2.4225495402496028E-3</c:v>
                </c:pt>
                <c:pt idx="3249">
                  <c:v>2.3304702018905219E-3</c:v>
                </c:pt>
                <c:pt idx="3250">
                  <c:v>1.9884612308425096E-3</c:v>
                </c:pt>
                <c:pt idx="3251">
                  <c:v>1.8963818924834291E-3</c:v>
                </c:pt>
                <c:pt idx="3252">
                  <c:v>5.2441347163140238E-4</c:v>
                </c:pt>
                <c:pt idx="3253">
                  <c:v>1.3809120129927275E-3</c:v>
                </c:pt>
                <c:pt idx="3254">
                  <c:v>1.1889866891932927E-3</c:v>
                </c:pt>
                <c:pt idx="3255">
                  <c:v>1.1422266297916634E-3</c:v>
                </c:pt>
                <c:pt idx="3256">
                  <c:v>2.4883204962203747E-3</c:v>
                </c:pt>
                <c:pt idx="3257">
                  <c:v>1.3801259372898998E-3</c:v>
                </c:pt>
                <c:pt idx="3258">
                  <c:v>1.206546136248811E-3</c:v>
                </c:pt>
                <c:pt idx="3259">
                  <c:v>1.8511876654240408E-3</c:v>
                </c:pt>
                <c:pt idx="3260">
                  <c:v>9.9274007695948369E-4</c:v>
                </c:pt>
                <c:pt idx="3261">
                  <c:v>1.4845962457831255E-3</c:v>
                </c:pt>
                <c:pt idx="3262">
                  <c:v>1.1531738699468769E-3</c:v>
                </c:pt>
                <c:pt idx="3263">
                  <c:v>1.4923658531602441E-3</c:v>
                </c:pt>
                <c:pt idx="3264">
                  <c:v>1.1929196987740963E-3</c:v>
                </c:pt>
                <c:pt idx="3265">
                  <c:v>7.3610465085606393E-4</c:v>
                </c:pt>
                <c:pt idx="3266">
                  <c:v>1.2296277881949304E-3</c:v>
                </c:pt>
                <c:pt idx="3267">
                  <c:v>1.3742797320724857E-3</c:v>
                </c:pt>
                <c:pt idx="3268">
                  <c:v>5.5317827691454444E-4</c:v>
                </c:pt>
                <c:pt idx="3269">
                  <c:v>1.081168270694925E-3</c:v>
                </c:pt>
                <c:pt idx="3270">
                  <c:v>8.917599296977269E-4</c:v>
                </c:pt>
                <c:pt idx="3271">
                  <c:v>1.9996609374939543E-3</c:v>
                </c:pt>
                <c:pt idx="3272">
                  <c:v>2.4620121138320657E-3</c:v>
                </c:pt>
                <c:pt idx="3273">
                  <c:v>6.9849601351354039E-4</c:v>
                </c:pt>
                <c:pt idx="3274">
                  <c:v>2.5146288786086829E-3</c:v>
                </c:pt>
                <c:pt idx="3275">
                  <c:v>1.8518519431591301E-3</c:v>
                </c:pt>
                <c:pt idx="3276">
                  <c:v>1.2637138712285616E-3</c:v>
                </c:pt>
                <c:pt idx="3277">
                  <c:v>2.2919189705038123E-3</c:v>
                </c:pt>
                <c:pt idx="3278">
                  <c:v>1.8405824317047612E-3</c:v>
                </c:pt>
                <c:pt idx="3279">
                  <c:v>1.1425603283883789E-3</c:v>
                </c:pt>
                <c:pt idx="3280">
                  <c:v>1.8830033665818799E-3</c:v>
                </c:pt>
                <c:pt idx="3281">
                  <c:v>6.9639745450496228E-4</c:v>
                </c:pt>
                <c:pt idx="3282">
                  <c:v>1.1876756859996917E-3</c:v>
                </c:pt>
                <c:pt idx="3283">
                  <c:v>2.1989282899489791E-3</c:v>
                </c:pt>
                <c:pt idx="3284">
                  <c:v>1.7141384347129675E-3</c:v>
                </c:pt>
                <c:pt idx="3285">
                  <c:v>5.9501667438639999E-4</c:v>
                </c:pt>
                <c:pt idx="3286">
                  <c:v>1.1053874980611271E-3</c:v>
                </c:pt>
                <c:pt idx="3287">
                  <c:v>5.991280054754005E-4</c:v>
                </c:pt>
                <c:pt idx="3288">
                  <c:v>2.423870286265136E-3</c:v>
                </c:pt>
                <c:pt idx="3289">
                  <c:v>2.2687205740168385E-3</c:v>
                </c:pt>
                <c:pt idx="3290">
                  <c:v>8.616198432716309E-4</c:v>
                </c:pt>
                <c:pt idx="3291">
                  <c:v>2.196394602078061E-3</c:v>
                </c:pt>
                <c:pt idx="3292">
                  <c:v>1.3898190710911694E-3</c:v>
                </c:pt>
                <c:pt idx="3293">
                  <c:v>1.6037049269447112E-3</c:v>
                </c:pt>
                <c:pt idx="3294">
                  <c:v>5.3449964345354513E-4</c:v>
                </c:pt>
                <c:pt idx="3295">
                  <c:v>9.7915463413128533E-4</c:v>
                </c:pt>
                <c:pt idx="3296">
                  <c:v>2.5277830698028371E-3</c:v>
                </c:pt>
                <c:pt idx="3297">
                  <c:v>1.5569910505943225E-3</c:v>
                </c:pt>
                <c:pt idx="3298">
                  <c:v>1.9877935842038618E-3</c:v>
                </c:pt>
                <c:pt idx="3299">
                  <c:v>1.0507724283668168E-3</c:v>
                </c:pt>
                <c:pt idx="3300">
                  <c:v>1.208651737097311E-3</c:v>
                </c:pt>
                <c:pt idx="3301">
                  <c:v>9.9760551931005778E-4</c:v>
                </c:pt>
                <c:pt idx="3302">
                  <c:v>1.9028005534487123E-3</c:v>
                </c:pt>
                <c:pt idx="3303">
                  <c:v>1.4949309622734764E-3</c:v>
                </c:pt>
                <c:pt idx="3304">
                  <c:v>9.7892688584905814E-4</c:v>
                </c:pt>
                <c:pt idx="3305">
                  <c:v>1.2219165130506475E-3</c:v>
                </c:pt>
                <c:pt idx="3306">
                  <c:v>1.3004523750870039E-3</c:v>
                </c:pt>
                <c:pt idx="3307">
                  <c:v>2.0570792055549518E-3</c:v>
                </c:pt>
                <c:pt idx="3308">
                  <c:v>1.641037475581159E-3</c:v>
                </c:pt>
                <c:pt idx="3309">
                  <c:v>1.2742018967773713E-3</c:v>
                </c:pt>
                <c:pt idx="3310">
                  <c:v>1.7244439226898234E-3</c:v>
                </c:pt>
                <c:pt idx="3311">
                  <c:v>1.7663457956698042E-3</c:v>
                </c:pt>
                <c:pt idx="3312">
                  <c:v>1.273680562076232E-3</c:v>
                </c:pt>
                <c:pt idx="3313">
                  <c:v>1.0589805782049559E-3</c:v>
                </c:pt>
                <c:pt idx="3314">
                  <c:v>6.1518901803068484E-4</c:v>
                </c:pt>
                <c:pt idx="3315">
                  <c:v>9.5993209576498962E-4</c:v>
                </c:pt>
                <c:pt idx="3316">
                  <c:v>2.2910076283080591E-3</c:v>
                </c:pt>
                <c:pt idx="3317">
                  <c:v>2.4488579226379114E-3</c:v>
                </c:pt>
                <c:pt idx="3318">
                  <c:v>2.2646992459197505E-3</c:v>
                </c:pt>
                <c:pt idx="3319">
                  <c:v>1.9292894500978859E-3</c:v>
                </c:pt>
                <c:pt idx="3320">
                  <c:v>5.4458581527568745E-4</c:v>
                </c:pt>
                <c:pt idx="3321">
                  <c:v>8.4717096993996315E-4</c:v>
                </c:pt>
                <c:pt idx="3322">
                  <c:v>1.5818767484005848E-3</c:v>
                </c:pt>
                <c:pt idx="3323">
                  <c:v>1.3252739643854921E-3</c:v>
                </c:pt>
                <c:pt idx="3324">
                  <c:v>2.4357037314437571E-3</c:v>
                </c:pt>
                <c:pt idx="3325">
                  <c:v>7.2987843970239753E-4</c:v>
                </c:pt>
                <c:pt idx="3326">
                  <c:v>1.109677320076055E-3</c:v>
                </c:pt>
                <c:pt idx="3327">
                  <c:v>8.1567011471077452E-4</c:v>
                </c:pt>
                <c:pt idx="3328">
                  <c:v>1.2270057818077279E-3</c:v>
                </c:pt>
                <c:pt idx="3329">
                  <c:v>7.4855707316339695E-4</c:v>
                </c:pt>
                <c:pt idx="3330">
                  <c:v>1.2936750031229635E-3</c:v>
                </c:pt>
                <c:pt idx="3331">
                  <c:v>1.0303487143020072E-3</c:v>
                </c:pt>
                <c:pt idx="3332">
                  <c:v>2.1718010999211093E-3</c:v>
                </c:pt>
                <c:pt idx="3333">
                  <c:v>1.5511978202454508E-3</c:v>
                </c:pt>
                <c:pt idx="3334">
                  <c:v>1.0299789148411512E-3</c:v>
                </c:pt>
                <c:pt idx="3335">
                  <c:v>1.3111749417470588E-3</c:v>
                </c:pt>
                <c:pt idx="3336">
                  <c:v>1.1470345869980542E-3</c:v>
                </c:pt>
                <c:pt idx="3337">
                  <c:v>1.8316148132646031E-3</c:v>
                </c:pt>
                <c:pt idx="3338">
                  <c:v>9.7194656343381806E-4</c:v>
                </c:pt>
                <c:pt idx="3339">
                  <c:v>2.0420818723710724E-3</c:v>
                </c:pt>
                <c:pt idx="3340">
                  <c:v>1.6921091596348479E-3</c:v>
                </c:pt>
                <c:pt idx="3341">
                  <c:v>7.5428054347601449E-4</c:v>
                </c:pt>
                <c:pt idx="3342">
                  <c:v>2.4620121138320657E-3</c:v>
                </c:pt>
                <c:pt idx="3343">
                  <c:v>1.7729709552523466E-3</c:v>
                </c:pt>
                <c:pt idx="3344">
                  <c:v>1.2584698584541568E-3</c:v>
                </c:pt>
                <c:pt idx="3345">
                  <c:v>1.5100390049391449E-3</c:v>
                </c:pt>
                <c:pt idx="3346">
                  <c:v>8.5725714176210536E-4</c:v>
                </c:pt>
                <c:pt idx="3347">
                  <c:v>1.2677468854311856E-3</c:v>
                </c:pt>
                <c:pt idx="3348">
                  <c:v>1.9996609374939543E-3</c:v>
                </c:pt>
                <c:pt idx="3349">
                  <c:v>8.2158401154776859E-4</c:v>
                </c:pt>
                <c:pt idx="3350">
                  <c:v>1.1811206700316854E-3</c:v>
                </c:pt>
                <c:pt idx="3351">
                  <c:v>2.1463115251723615E-3</c:v>
                </c:pt>
                <c:pt idx="3352">
                  <c:v>1.651325840036851E-3</c:v>
                </c:pt>
                <c:pt idx="3353">
                  <c:v>1.0349627862320568E-3</c:v>
                </c:pt>
                <c:pt idx="3354">
                  <c:v>1.1713678579231002E-3</c:v>
                </c:pt>
                <c:pt idx="3355">
                  <c:v>5.9439550450501952E-4</c:v>
                </c:pt>
                <c:pt idx="3356">
                  <c:v>1.6390829910384503E-3</c:v>
                </c:pt>
                <c:pt idx="3357">
                  <c:v>1.1300497432420922E-3</c:v>
                </c:pt>
                <c:pt idx="3358">
                  <c:v>8.5440266277572795E-4</c:v>
                </c:pt>
                <c:pt idx="3359">
                  <c:v>1.1486828271335084E-3</c:v>
                </c:pt>
                <c:pt idx="3360">
                  <c:v>2.068482958781002E-3</c:v>
                </c:pt>
                <c:pt idx="3361">
                  <c:v>1.152282815836216E-3</c:v>
                </c:pt>
                <c:pt idx="3362">
                  <c:v>1.2378226121708771E-3</c:v>
                </c:pt>
                <c:pt idx="3363">
                  <c:v>7.2267424623322606E-4</c:v>
                </c:pt>
                <c:pt idx="3364">
                  <c:v>2.3623151315380069E-3</c:v>
                </c:pt>
                <c:pt idx="3365">
                  <c:v>1.2427793230306503E-3</c:v>
                </c:pt>
                <c:pt idx="3366">
                  <c:v>1.6797227444476175E-3</c:v>
                </c:pt>
                <c:pt idx="3367">
                  <c:v>1.55077614199176E-3</c:v>
                </c:pt>
                <c:pt idx="3368">
                  <c:v>1.241426816937341E-3</c:v>
                </c:pt>
                <c:pt idx="3369">
                  <c:v>1.8374390012977208E-3</c:v>
                </c:pt>
                <c:pt idx="3370">
                  <c:v>1.1549006061596615E-3</c:v>
                </c:pt>
                <c:pt idx="3371">
                  <c:v>1.7216210344111879E-3</c:v>
                </c:pt>
                <c:pt idx="3372">
                  <c:v>1.0629734802536253E-3</c:v>
                </c:pt>
                <c:pt idx="3373">
                  <c:v>2.0542321868132806E-3</c:v>
                </c:pt>
                <c:pt idx="3374">
                  <c:v>2.5014746874145286E-3</c:v>
                </c:pt>
                <c:pt idx="3375">
                  <c:v>1.4715164142434147E-3</c:v>
                </c:pt>
                <c:pt idx="3376">
                  <c:v>1.1994747147421026E-3</c:v>
                </c:pt>
                <c:pt idx="3377">
                  <c:v>6.3025906124373316E-4</c:v>
                </c:pt>
                <c:pt idx="3378">
                  <c:v>1.6596064509886506E-3</c:v>
                </c:pt>
                <c:pt idx="3379">
                  <c:v>9.3794651633924604E-4</c:v>
                </c:pt>
                <c:pt idx="3380">
                  <c:v>1.7451353282312452E-3</c:v>
                </c:pt>
                <c:pt idx="3381">
                  <c:v>1.4195585246604609E-3</c:v>
                </c:pt>
                <c:pt idx="3382">
                  <c:v>1.0993252654935262E-3</c:v>
                </c:pt>
                <c:pt idx="3383">
                  <c:v>6.5553370531925507E-4</c:v>
                </c:pt>
                <c:pt idx="3384">
                  <c:v>8.9865218260758617E-4</c:v>
                </c:pt>
                <c:pt idx="3385">
                  <c:v>2.3173160106963677E-3</c:v>
                </c:pt>
                <c:pt idx="3386">
                  <c:v>2.3567785842788305E-3</c:v>
                </c:pt>
                <c:pt idx="3387">
                  <c:v>1.8617928991433205E-3</c:v>
                </c:pt>
                <c:pt idx="3388">
                  <c:v>1.9033024918246851E-3</c:v>
                </c:pt>
                <c:pt idx="3389">
                  <c:v>1.0909986866150555E-3</c:v>
                </c:pt>
                <c:pt idx="3390">
                  <c:v>9.2140760597492005E-4</c:v>
                </c:pt>
                <c:pt idx="3391">
                  <c:v>1.5542411212842138E-3</c:v>
                </c:pt>
                <c:pt idx="3392">
                  <c:v>1.8073709123079726E-3</c:v>
                </c:pt>
                <c:pt idx="3393">
                  <c:v>1.5188725858995542E-3</c:v>
                </c:pt>
                <c:pt idx="3394">
                  <c:v>7.2987843970239753E-4</c:v>
                </c:pt>
                <c:pt idx="3395">
                  <c:v>1.0660938420003895E-3</c:v>
                </c:pt>
                <c:pt idx="3396">
                  <c:v>9.0320687032296185E-4</c:v>
                </c:pt>
                <c:pt idx="3397">
                  <c:v>1.9701071861320924E-3</c:v>
                </c:pt>
                <c:pt idx="3398">
                  <c:v>1.1863646828060906E-3</c:v>
                </c:pt>
                <c:pt idx="3399">
                  <c:v>1.1593159786480157E-3</c:v>
                </c:pt>
                <c:pt idx="3400">
                  <c:v>1.0283431534792371E-3</c:v>
                </c:pt>
                <c:pt idx="3401">
                  <c:v>2.0473849751959645E-3</c:v>
                </c:pt>
                <c:pt idx="3402">
                  <c:v>1.2374938073565376E-3</c:v>
                </c:pt>
                <c:pt idx="3403">
                  <c:v>1.0299789148411512E-3</c:v>
                </c:pt>
                <c:pt idx="3404">
                  <c:v>2.593554025773609E-3</c:v>
                </c:pt>
                <c:pt idx="3405">
                  <c:v>1.8617928991433205E-3</c:v>
                </c:pt>
                <c:pt idx="3406">
                  <c:v>1.0536414196930565E-3</c:v>
                </c:pt>
                <c:pt idx="3407">
                  <c:v>1.779841404995367E-3</c:v>
                </c:pt>
                <c:pt idx="3408">
                  <c:v>1.2472794756663028E-3</c:v>
                </c:pt>
                <c:pt idx="3409">
                  <c:v>9.4803268816138835E-4</c:v>
                </c:pt>
                <c:pt idx="3410">
                  <c:v>2.3699327754729852E-3</c:v>
                </c:pt>
                <c:pt idx="3411">
                  <c:v>1.8936086003011592E-3</c:v>
                </c:pt>
                <c:pt idx="3412">
                  <c:v>1.0954653048250503E-3</c:v>
                </c:pt>
                <c:pt idx="3413">
                  <c:v>1.654203771743796E-3</c:v>
                </c:pt>
                <c:pt idx="3414">
                  <c:v>1.7291154797640564E-3</c:v>
                </c:pt>
                <c:pt idx="3415">
                  <c:v>9.2786034451710307E-4</c:v>
                </c:pt>
                <c:pt idx="3416">
                  <c:v>9.8837737544995837E-4</c:v>
                </c:pt>
                <c:pt idx="3417">
                  <c:v>8.7930750739039398E-4</c:v>
                </c:pt>
                <c:pt idx="3418">
                  <c:v>8.4717096993996315E-4</c:v>
                </c:pt>
                <c:pt idx="3419">
                  <c:v>1.4937291089040404E-3</c:v>
                </c:pt>
                <c:pt idx="3420">
                  <c:v>1.9678452363361158E-3</c:v>
                </c:pt>
                <c:pt idx="3421">
                  <c:v>1.6487768825619764E-3</c:v>
                </c:pt>
                <c:pt idx="3422">
                  <c:v>1.0287365750783904E-3</c:v>
                </c:pt>
                <c:pt idx="3423">
                  <c:v>1.2868334876815534E-3</c:v>
                </c:pt>
                <c:pt idx="3424">
                  <c:v>8.086760028514241E-4</c:v>
                </c:pt>
                <c:pt idx="3425">
                  <c:v>7.3438327198372452E-4</c:v>
                </c:pt>
                <c:pt idx="3426">
                  <c:v>9.2256639671547686E-4</c:v>
                </c:pt>
                <c:pt idx="3427">
                  <c:v>1.5860568224420528E-3</c:v>
                </c:pt>
                <c:pt idx="3428">
                  <c:v>1.3483737116401868E-3</c:v>
                </c:pt>
                <c:pt idx="3429">
                  <c:v>1.5441436916299386E-3</c:v>
                </c:pt>
                <c:pt idx="3430">
                  <c:v>6.4544753349711243E-4</c:v>
                </c:pt>
                <c:pt idx="3431">
                  <c:v>1.1567406630832357E-3</c:v>
                </c:pt>
                <c:pt idx="3432">
                  <c:v>1.6921091596348479E-3</c:v>
                </c:pt>
                <c:pt idx="3433">
                  <c:v>1.0516896238450279E-3</c:v>
                </c:pt>
                <c:pt idx="3434">
                  <c:v>2.0936947603957439E-3</c:v>
                </c:pt>
                <c:pt idx="3435">
                  <c:v>9.6451849891071551E-4</c:v>
                </c:pt>
                <c:pt idx="3436">
                  <c:v>1.7425529262506648E-3</c:v>
                </c:pt>
                <c:pt idx="3437">
                  <c:v>8.0918780881963502E-4</c:v>
                </c:pt>
                <c:pt idx="3438">
                  <c:v>1.4289383279775928E-3</c:v>
                </c:pt>
                <c:pt idx="3439">
                  <c:v>1.6256528457294461E-3</c:v>
                </c:pt>
                <c:pt idx="3440">
                  <c:v>9.6910490205644119E-4</c:v>
                </c:pt>
                <c:pt idx="3441">
                  <c:v>1.913088917904404E-3</c:v>
                </c:pt>
                <c:pt idx="3442">
                  <c:v>1.4379996223221781E-3</c:v>
                </c:pt>
                <c:pt idx="3443">
                  <c:v>2.5540914521911462E-3</c:v>
                </c:pt>
                <c:pt idx="3444">
                  <c:v>1.4459427370182906E-3</c:v>
                </c:pt>
                <c:pt idx="3445">
                  <c:v>1.5675271126295704E-3</c:v>
                </c:pt>
                <c:pt idx="3446">
                  <c:v>1.0085497190942434E-3</c:v>
                </c:pt>
                <c:pt idx="3447">
                  <c:v>1.8087667305469227E-3</c:v>
                </c:pt>
                <c:pt idx="3448">
                  <c:v>1.3284939025045221E-3</c:v>
                </c:pt>
                <c:pt idx="3449">
                  <c:v>8.4717096993996315E-4</c:v>
                </c:pt>
                <c:pt idx="3450">
                  <c:v>2.1200031427840525E-3</c:v>
                </c:pt>
                <c:pt idx="3451">
                  <c:v>2.24144175938229E-3</c:v>
                </c:pt>
                <c:pt idx="3452">
                  <c:v>1.4152546990170232E-3</c:v>
                </c:pt>
                <c:pt idx="3453">
                  <c:v>1.9254243014589978E-3</c:v>
                </c:pt>
                <c:pt idx="3454">
                  <c:v>1.8065346423356355E-3</c:v>
                </c:pt>
                <c:pt idx="3455">
                  <c:v>2.0738975735289113E-3</c:v>
                </c:pt>
                <c:pt idx="3456">
                  <c:v>2.1857740987548243E-3</c:v>
                </c:pt>
                <c:pt idx="3457">
                  <c:v>6.0510284620854252E-4</c:v>
                </c:pt>
                <c:pt idx="3458">
                  <c:v>5.8044937201440097E-4</c:v>
                </c:pt>
                <c:pt idx="3459">
                  <c:v>9.5927448613631065E-4</c:v>
                </c:pt>
                <c:pt idx="3460">
                  <c:v>2.2646992459197505E-3</c:v>
                </c:pt>
                <c:pt idx="3461">
                  <c:v>6.8629496162673196E-4</c:v>
                </c:pt>
                <c:pt idx="3462">
                  <c:v>1.2519148424861505E-3</c:v>
                </c:pt>
                <c:pt idx="3463">
                  <c:v>9.9696983708881569E-4</c:v>
                </c:pt>
                <c:pt idx="3464">
                  <c:v>1.8534475919089284E-3</c:v>
                </c:pt>
                <c:pt idx="3465">
                  <c:v>2.1799499107217064E-3</c:v>
                </c:pt>
                <c:pt idx="3466">
                  <c:v>1.4220827638020868E-3</c:v>
                </c:pt>
                <c:pt idx="3467">
                  <c:v>1.2689578840029666E-3</c:v>
                </c:pt>
                <c:pt idx="3468">
                  <c:v>1.1942307019676976E-3</c:v>
                </c:pt>
                <c:pt idx="3469">
                  <c:v>1.5542411212842138E-3</c:v>
                </c:pt>
                <c:pt idx="3470">
                  <c:v>1.075928473984277E-3</c:v>
                </c:pt>
                <c:pt idx="3471">
                  <c:v>8.8503097770301119E-4</c:v>
                </c:pt>
                <c:pt idx="3472">
                  <c:v>2.1269237421253093E-3</c:v>
                </c:pt>
                <c:pt idx="3473">
                  <c:v>1.0690667500270984E-3</c:v>
                </c:pt>
                <c:pt idx="3474">
                  <c:v>1.3422075172426812E-3</c:v>
                </c:pt>
                <c:pt idx="3475">
                  <c:v>1.7873786193426345E-3</c:v>
                </c:pt>
                <c:pt idx="3476">
                  <c:v>1.2401158137437399E-3</c:v>
                </c:pt>
                <c:pt idx="3477">
                  <c:v>1.0186358909163857E-3</c:v>
                </c:pt>
                <c:pt idx="3478">
                  <c:v>1.7875562631083637E-3</c:v>
                </c:pt>
                <c:pt idx="3479">
                  <c:v>9.3794651633924604E-4</c:v>
                </c:pt>
                <c:pt idx="3480">
                  <c:v>1.1559823357579055E-3</c:v>
                </c:pt>
                <c:pt idx="3481">
                  <c:v>1.1283559535370546E-3</c:v>
                </c:pt>
                <c:pt idx="3482">
                  <c:v>8.4159798293348821E-4</c:v>
                </c:pt>
                <c:pt idx="3483">
                  <c:v>8.7930750739039398E-4</c:v>
                </c:pt>
                <c:pt idx="3484">
                  <c:v>7.734619177780631E-4</c:v>
                </c:pt>
                <c:pt idx="3485">
                  <c:v>1.1470345869980542E-3</c:v>
                </c:pt>
                <c:pt idx="3486">
                  <c:v>7.1605073625211004E-4</c:v>
                </c:pt>
                <c:pt idx="3487">
                  <c:v>2.0632923398096318E-3</c:v>
                </c:pt>
                <c:pt idx="3488">
                  <c:v>1.4334073535589671E-3</c:v>
                </c:pt>
                <c:pt idx="3489">
                  <c:v>5.3449964345354513E-4</c:v>
                </c:pt>
                <c:pt idx="3490">
                  <c:v>2.448857922637911E-3</c:v>
                </c:pt>
                <c:pt idx="3491">
                  <c:v>9.9137930815639116E-4</c:v>
                </c:pt>
                <c:pt idx="3492">
                  <c:v>1.2323381130984173E-3</c:v>
                </c:pt>
                <c:pt idx="3493">
                  <c:v>1.9066702569391207E-3</c:v>
                </c:pt>
                <c:pt idx="3494">
                  <c:v>2.3169066068765873E-3</c:v>
                </c:pt>
                <c:pt idx="3495">
                  <c:v>1.5685588723025423E-3</c:v>
                </c:pt>
                <c:pt idx="3496">
                  <c:v>7.2365222854873102E-4</c:v>
                </c:pt>
                <c:pt idx="3497">
                  <c:v>1.2650248744221632E-3</c:v>
                </c:pt>
                <c:pt idx="3498">
                  <c:v>2.0420818723710732E-3</c:v>
                </c:pt>
                <c:pt idx="3499">
                  <c:v>1.6328455220526511E-3</c:v>
                </c:pt>
                <c:pt idx="3500">
                  <c:v>7.1605073625211025E-4</c:v>
                </c:pt>
                <c:pt idx="3501">
                  <c:v>9.726067046744748E-4</c:v>
                </c:pt>
                <c:pt idx="3502">
                  <c:v>1.7663457956698047E-3</c:v>
                </c:pt>
                <c:pt idx="3503">
                  <c:v>1.0051796423325213E-3</c:v>
                </c:pt>
                <c:pt idx="3504">
                  <c:v>2.0016154220366634E-3</c:v>
                </c:pt>
                <c:pt idx="3505">
                  <c:v>9.0465924702426989E-4</c:v>
                </c:pt>
                <c:pt idx="3506">
                  <c:v>1.0124650173313672E-3</c:v>
                </c:pt>
                <c:pt idx="3507">
                  <c:v>1.7275169606145171E-3</c:v>
                </c:pt>
                <c:pt idx="3508">
                  <c:v>1.0972248977687222E-3</c:v>
                </c:pt>
                <c:pt idx="3509">
                  <c:v>2.5803998345794547E-3</c:v>
                </c:pt>
                <c:pt idx="3510">
                  <c:v>8.7276092354990158E-4</c:v>
                </c:pt>
                <c:pt idx="3511">
                  <c:v>1.8952462155802804E-3</c:v>
                </c:pt>
                <c:pt idx="3512">
                  <c:v>1.5648463550034931E-3</c:v>
                </c:pt>
                <c:pt idx="3513">
                  <c:v>6.3025906124373316E-4</c:v>
                </c:pt>
                <c:pt idx="3514">
                  <c:v>2.4751663050262196E-3</c:v>
                </c:pt>
                <c:pt idx="3515">
                  <c:v>1.6863657401202962E-3</c:v>
                </c:pt>
                <c:pt idx="3516">
                  <c:v>1.5675271126295704E-3</c:v>
                </c:pt>
                <c:pt idx="3517">
                  <c:v>1.0085497190942434E-3</c:v>
                </c:pt>
                <c:pt idx="3518">
                  <c:v>8.5725714176210568E-4</c:v>
                </c:pt>
                <c:pt idx="3519">
                  <c:v>1.648826738043722E-3</c:v>
                </c:pt>
                <c:pt idx="3520">
                  <c:v>9.1777417269496065E-4</c:v>
                </c:pt>
                <c:pt idx="3521">
                  <c:v>2.1200031427840525E-3</c:v>
                </c:pt>
                <c:pt idx="3522">
                  <c:v>2.1468134635483343E-3</c:v>
                </c:pt>
                <c:pt idx="3523">
                  <c:v>1.7583358714362103E-3</c:v>
                </c:pt>
                <c:pt idx="3524">
                  <c:v>6.4806515440282762E-4</c:v>
                </c:pt>
                <c:pt idx="3525">
                  <c:v>1.7689096839370241E-3</c:v>
                </c:pt>
                <c:pt idx="3526">
                  <c:v>2.0845028072481913E-3</c:v>
                </c:pt>
                <c:pt idx="3527">
                  <c:v>2.1068489515898982E-3</c:v>
                </c:pt>
                <c:pt idx="3528">
                  <c:v>6.8417172902772536E-4</c:v>
                </c:pt>
                <c:pt idx="3529">
                  <c:v>1.2637138712285616E-3</c:v>
                </c:pt>
                <c:pt idx="3530">
                  <c:v>7.4564944936103962E-4</c:v>
                </c:pt>
                <c:pt idx="3531">
                  <c:v>1.1732546508700782E-3</c:v>
                </c:pt>
                <c:pt idx="3532">
                  <c:v>1.2440488233245435E-3</c:v>
                </c:pt>
                <c:pt idx="3533">
                  <c:v>1.2742018967773713E-3</c:v>
                </c:pt>
                <c:pt idx="3534">
                  <c:v>1.3901983196679324E-3</c:v>
                </c:pt>
                <c:pt idx="3535">
                  <c:v>1.177187660450882E-3</c:v>
                </c:pt>
                <c:pt idx="3536">
                  <c:v>2.47516630502622E-3</c:v>
                </c:pt>
                <c:pt idx="3537">
                  <c:v>1.6602934584770091E-3</c:v>
                </c:pt>
                <c:pt idx="3538">
                  <c:v>7.9633353278563525E-4</c:v>
                </c:pt>
                <c:pt idx="3539">
                  <c:v>1.0411889973857235E-3</c:v>
                </c:pt>
                <c:pt idx="3540">
                  <c:v>2.0766517188789283E-3</c:v>
                </c:pt>
                <c:pt idx="3541">
                  <c:v>1.8477864558038995E-3</c:v>
                </c:pt>
                <c:pt idx="3542">
                  <c:v>1.2624028680349607E-3</c:v>
                </c:pt>
                <c:pt idx="3543">
                  <c:v>1.2519148424861507E-3</c:v>
                </c:pt>
                <c:pt idx="3544">
                  <c:v>1.6249249230923496E-3</c:v>
                </c:pt>
                <c:pt idx="3545">
                  <c:v>1.1671924183024776E-3</c:v>
                </c:pt>
                <c:pt idx="3546">
                  <c:v>1.4541935310805232E-3</c:v>
                </c:pt>
                <c:pt idx="3547">
                  <c:v>7.5639542354068059E-4</c:v>
                </c:pt>
                <c:pt idx="3548">
                  <c:v>6.940148829636839E-4</c:v>
                </c:pt>
                <c:pt idx="3549">
                  <c:v>1.1159035312297216E-3</c:v>
                </c:pt>
                <c:pt idx="3550">
                  <c:v>1.6708986921962891E-3</c:v>
                </c:pt>
                <c:pt idx="3551">
                  <c:v>2.1095592764933855E-3</c:v>
                </c:pt>
                <c:pt idx="3552">
                  <c:v>8.8553371854406039E-4</c:v>
                </c:pt>
                <c:pt idx="3553">
                  <c:v>1.1363315856227347E-3</c:v>
                </c:pt>
                <c:pt idx="3554">
                  <c:v>1.9466347688975566E-3</c:v>
                </c:pt>
                <c:pt idx="3555">
                  <c:v>1.1311409666513652E-3</c:v>
                </c:pt>
                <c:pt idx="3556">
                  <c:v>1.9983768006434496E-3</c:v>
                </c:pt>
                <c:pt idx="3557">
                  <c:v>2.1057132746867503E-3</c:v>
                </c:pt>
                <c:pt idx="3558">
                  <c:v>1.4314817586704429E-3</c:v>
                </c:pt>
                <c:pt idx="3559">
                  <c:v>9.4779583008072559E-4</c:v>
                </c:pt>
                <c:pt idx="3560">
                  <c:v>2.5540914521911462E-3</c:v>
                </c:pt>
                <c:pt idx="3561">
                  <c:v>1.2663358776157641E-3</c:v>
                </c:pt>
                <c:pt idx="3562">
                  <c:v>1.1194976091378113E-3</c:v>
                </c:pt>
                <c:pt idx="3563">
                  <c:v>7.6648159536282269E-4</c:v>
                </c:pt>
                <c:pt idx="3564">
                  <c:v>1.5860568224420524E-3</c:v>
                </c:pt>
                <c:pt idx="3565">
                  <c:v>1.1408625269353659E-3</c:v>
                </c:pt>
                <c:pt idx="3566">
                  <c:v>1.7345300945119659E-3</c:v>
                </c:pt>
                <c:pt idx="3567">
                  <c:v>7.2987843970239753E-4</c:v>
                </c:pt>
                <c:pt idx="3568">
                  <c:v>2.0673863780074357E-3</c:v>
                </c:pt>
                <c:pt idx="3569">
                  <c:v>9.5959485882313644E-4</c:v>
                </c:pt>
                <c:pt idx="3570">
                  <c:v>1.7482743836044182E-3</c:v>
                </c:pt>
                <c:pt idx="3571">
                  <c:v>6.1518901803068505E-4</c:v>
                </c:pt>
                <c:pt idx="3572">
                  <c:v>1.935844466065892E-3</c:v>
                </c:pt>
                <c:pt idx="3573">
                  <c:v>6.2652757330146575E-4</c:v>
                </c:pt>
                <c:pt idx="3574">
                  <c:v>1.2570859757659581E-3</c:v>
                </c:pt>
                <c:pt idx="3575">
                  <c:v>1.5216861601116702E-3</c:v>
                </c:pt>
                <c:pt idx="3576">
                  <c:v>7.2293000213523805E-4</c:v>
                </c:pt>
                <c:pt idx="3577">
                  <c:v>1.7327999446766517E-3</c:v>
                </c:pt>
                <c:pt idx="3578">
                  <c:v>2.3920545851072979E-3</c:v>
                </c:pt>
                <c:pt idx="3579">
                  <c:v>1.2262108453173681E-3</c:v>
                </c:pt>
                <c:pt idx="3580">
                  <c:v>1.8031668772212001E-3</c:v>
                </c:pt>
                <c:pt idx="3581">
                  <c:v>1.575860992542553E-3</c:v>
                </c:pt>
                <c:pt idx="3582">
                  <c:v>2.1693446770024273E-3</c:v>
                </c:pt>
                <c:pt idx="3583">
                  <c:v>8.0602240578032827E-4</c:v>
                </c:pt>
                <c:pt idx="3584">
                  <c:v>1.0674974593672052E-3</c:v>
                </c:pt>
                <c:pt idx="3585">
                  <c:v>1.0791529218492409E-3</c:v>
                </c:pt>
                <c:pt idx="3586">
                  <c:v>9.1777417269496065E-4</c:v>
                </c:pt>
                <c:pt idx="3587">
                  <c:v>6.9874738393406488E-4</c:v>
                </c:pt>
                <c:pt idx="3588">
                  <c:v>1.0490592326110875E-3</c:v>
                </c:pt>
                <c:pt idx="3589">
                  <c:v>1.2008226659361936E-3</c:v>
                </c:pt>
                <c:pt idx="3590">
                  <c:v>2.0525945715341599E-3</c:v>
                </c:pt>
                <c:pt idx="3591">
                  <c:v>1.1408083758443876E-3</c:v>
                </c:pt>
                <c:pt idx="3592">
                  <c:v>2.4620121138320653E-3</c:v>
                </c:pt>
                <c:pt idx="3593">
                  <c:v>1.0014654799785339E-3</c:v>
                </c:pt>
                <c:pt idx="3594">
                  <c:v>1.1811206700316856E-3</c:v>
                </c:pt>
                <c:pt idx="3595">
                  <c:v>1.2154637745084643E-3</c:v>
                </c:pt>
                <c:pt idx="3596">
                  <c:v>7.1306331588553941E-4</c:v>
                </c:pt>
                <c:pt idx="3597">
                  <c:v>1.8068515115992234E-3</c:v>
                </c:pt>
                <c:pt idx="3598">
                  <c:v>1.0444816004283365E-3</c:v>
                </c:pt>
                <c:pt idx="3599">
                  <c:v>1.2742018967773711E-3</c:v>
                </c:pt>
                <c:pt idx="3600">
                  <c:v>1.210273155537094E-3</c:v>
                </c:pt>
                <c:pt idx="3601">
                  <c:v>1.7218732868422642E-3</c:v>
                </c:pt>
                <c:pt idx="3602">
                  <c:v>1.5271560672510953E-3</c:v>
                </c:pt>
                <c:pt idx="3603">
                  <c:v>1.8405824317047612E-3</c:v>
                </c:pt>
                <c:pt idx="3604">
                  <c:v>1.9890557037746748E-3</c:v>
                </c:pt>
                <c:pt idx="3605">
                  <c:v>9.9921685611629595E-4</c:v>
                </c:pt>
                <c:pt idx="3606">
                  <c:v>1.1404964352850755E-3</c:v>
                </c:pt>
                <c:pt idx="3607">
                  <c:v>1.9990817341657462E-3</c:v>
                </c:pt>
                <c:pt idx="3608">
                  <c:v>1.7846816654784724E-3</c:v>
                </c:pt>
                <c:pt idx="3609">
                  <c:v>1.2558478520669544E-3</c:v>
                </c:pt>
                <c:pt idx="3610">
                  <c:v>1.246670829711746E-3</c:v>
                </c:pt>
                <c:pt idx="3611">
                  <c:v>1.5489581372220788E-3</c:v>
                </c:pt>
                <c:pt idx="3612">
                  <c:v>7.9312696568208118E-4</c:v>
                </c:pt>
                <c:pt idx="3613">
                  <c:v>9.7270067469539163E-4</c:v>
                </c:pt>
                <c:pt idx="3614">
                  <c:v>7.9674011082925072E-4</c:v>
                </c:pt>
                <c:pt idx="3615">
                  <c:v>8.204026156811556E-4</c:v>
                </c:pt>
                <c:pt idx="3616">
                  <c:v>1.2663358776157643E-3</c:v>
                </c:pt>
                <c:pt idx="3617">
                  <c:v>1.7133196270734071E-3</c:v>
                </c:pt>
                <c:pt idx="3618">
                  <c:v>1.604625797849544E-3</c:v>
                </c:pt>
                <c:pt idx="3619">
                  <c:v>8.6062887392939435E-4</c:v>
                </c:pt>
                <c:pt idx="3620">
                  <c:v>1.2243837754205254E-3</c:v>
                </c:pt>
                <c:pt idx="3621">
                  <c:v>1.9495931301922122E-3</c:v>
                </c:pt>
                <c:pt idx="3622">
                  <c:v>9.6024825238805872E-4</c:v>
                </c:pt>
                <c:pt idx="3623">
                  <c:v>1.9221984181293094E-3</c:v>
                </c:pt>
                <c:pt idx="3624">
                  <c:v>9.2289098546605955E-4</c:v>
                </c:pt>
                <c:pt idx="3625">
                  <c:v>9.540220412343921E-4</c:v>
                </c:pt>
                <c:pt idx="3626">
                  <c:v>5.4458581527568734E-4</c:v>
                </c:pt>
                <c:pt idx="3627">
                  <c:v>1.1981637115485012E-3</c:v>
                </c:pt>
                <c:pt idx="3628">
                  <c:v>1.1263915567785311E-3</c:v>
                </c:pt>
                <c:pt idx="3629">
                  <c:v>1.2584698584541568E-3</c:v>
                </c:pt>
                <c:pt idx="3630">
                  <c:v>5.7484433074211482E-4</c:v>
                </c:pt>
                <c:pt idx="3631">
                  <c:v>2.0102661712132343E-3</c:v>
                </c:pt>
                <c:pt idx="3632">
                  <c:v>1.5079098271533291E-3</c:v>
                </c:pt>
                <c:pt idx="3633">
                  <c:v>7.8821112469851912E-4</c:v>
                </c:pt>
                <c:pt idx="3634">
                  <c:v>2.0951080409674708E-3</c:v>
                </c:pt>
                <c:pt idx="3635">
                  <c:v>1.9915295890499821E-3</c:v>
                </c:pt>
                <c:pt idx="3636">
                  <c:v>1.5789733853571065E-3</c:v>
                </c:pt>
                <c:pt idx="3637">
                  <c:v>2.1824063336403892E-3</c:v>
                </c:pt>
                <c:pt idx="3638">
                  <c:v>2.1163185084060298E-3</c:v>
                </c:pt>
                <c:pt idx="3639">
                  <c:v>2.593554025773609E-3</c:v>
                </c:pt>
                <c:pt idx="3640">
                  <c:v>1.122129742383388E-3</c:v>
                </c:pt>
                <c:pt idx="3641">
                  <c:v>1.0936333411935284E-3</c:v>
                </c:pt>
                <c:pt idx="3642">
                  <c:v>1.4925580088553712E-3</c:v>
                </c:pt>
                <c:pt idx="3643">
                  <c:v>1.1745656540636795E-3</c:v>
                </c:pt>
                <c:pt idx="3644">
                  <c:v>1.2388048105501385E-3</c:v>
                </c:pt>
                <c:pt idx="3645">
                  <c:v>2.4620121138320657E-3</c:v>
                </c:pt>
                <c:pt idx="3646">
                  <c:v>2.445080753703695E-3</c:v>
                </c:pt>
                <c:pt idx="3647">
                  <c:v>1.302277377001484E-3</c:v>
                </c:pt>
                <c:pt idx="3648">
                  <c:v>1.7378053250702089E-3</c:v>
                </c:pt>
                <c:pt idx="3649">
                  <c:v>7.2201381085223114E-4</c:v>
                </c:pt>
                <c:pt idx="3650">
                  <c:v>7.5639542354068038E-4</c:v>
                </c:pt>
                <c:pt idx="3651">
                  <c:v>1.4610708983990189E-3</c:v>
                </c:pt>
                <c:pt idx="3652">
                  <c:v>1.0348337220801595E-3</c:v>
                </c:pt>
                <c:pt idx="3653">
                  <c:v>7.7968812893172961E-4</c:v>
                </c:pt>
                <c:pt idx="3654">
                  <c:v>1.0424416678406299E-3</c:v>
                </c:pt>
                <c:pt idx="3655">
                  <c:v>1.6040660801652003E-3</c:v>
                </c:pt>
                <c:pt idx="3656">
                  <c:v>8.8751565722853328E-4</c:v>
                </c:pt>
                <c:pt idx="3657">
                  <c:v>6.2403285009006665E-4</c:v>
                </c:pt>
                <c:pt idx="3658">
                  <c:v>8.3572402931472831E-4</c:v>
                </c:pt>
                <c:pt idx="3659">
                  <c:v>8.2949781816106191E-4</c:v>
                </c:pt>
                <c:pt idx="3660">
                  <c:v>8.0147261179963148E-4</c:v>
                </c:pt>
                <c:pt idx="3661">
                  <c:v>1.3856250729905174E-3</c:v>
                </c:pt>
                <c:pt idx="3662">
                  <c:v>1.3406503315512705E-3</c:v>
                </c:pt>
                <c:pt idx="3663">
                  <c:v>7.8279397833863184E-4</c:v>
                </c:pt>
                <c:pt idx="3664">
                  <c:v>1.5542411212842134E-3</c:v>
                </c:pt>
                <c:pt idx="3665">
                  <c:v>1.218782950211996E-3</c:v>
                </c:pt>
                <c:pt idx="3666">
                  <c:v>1.8753564941572549E-3</c:v>
                </c:pt>
                <c:pt idx="3667">
                  <c:v>1.3667563518406016E-3</c:v>
                </c:pt>
                <c:pt idx="3668">
                  <c:v>1.6433286538429332E-3</c:v>
                </c:pt>
                <c:pt idx="3669">
                  <c:v>1.1249102174315682E-3</c:v>
                </c:pt>
                <c:pt idx="3670">
                  <c:v>1.8830033665818799E-3</c:v>
                </c:pt>
                <c:pt idx="3671">
                  <c:v>1.0085497190942434E-3</c:v>
                </c:pt>
                <c:pt idx="3672">
                  <c:v>1.022257219204014E-3</c:v>
                </c:pt>
                <c:pt idx="3673">
                  <c:v>1.2538515704603502E-3</c:v>
                </c:pt>
                <c:pt idx="3674">
                  <c:v>1.3469700044726623E-3</c:v>
                </c:pt>
                <c:pt idx="3675">
                  <c:v>7.5639542354068038E-4</c:v>
                </c:pt>
                <c:pt idx="3676">
                  <c:v>1.4185204008661865E-3</c:v>
                </c:pt>
                <c:pt idx="3677">
                  <c:v>1.7866822078201079E-3</c:v>
                </c:pt>
                <c:pt idx="3678">
                  <c:v>1.2517417535480935E-3</c:v>
                </c:pt>
                <c:pt idx="3679">
                  <c:v>7.3610465085606426E-4</c:v>
                </c:pt>
                <c:pt idx="3680">
                  <c:v>2.3436243930846767E-3</c:v>
                </c:pt>
                <c:pt idx="3681">
                  <c:v>8.7930750739039388E-4</c:v>
                </c:pt>
                <c:pt idx="3682">
                  <c:v>1.6596064509886506E-3</c:v>
                </c:pt>
                <c:pt idx="3683">
                  <c:v>1.0225103639247238E-3</c:v>
                </c:pt>
                <c:pt idx="3684">
                  <c:v>2.4883204962203747E-3</c:v>
                </c:pt>
                <c:pt idx="3685">
                  <c:v>1.1290219952932476E-3</c:v>
                </c:pt>
                <c:pt idx="3686">
                  <c:v>1.8517636246428457E-3</c:v>
                </c:pt>
                <c:pt idx="3687">
                  <c:v>1.2545368488733534E-3</c:v>
                </c:pt>
                <c:pt idx="3688">
                  <c:v>9.1666477431239304E-4</c:v>
                </c:pt>
                <c:pt idx="3689">
                  <c:v>1.8489555772127539E-3</c:v>
                </c:pt>
                <c:pt idx="3690">
                  <c:v>1.0972248977687219E-3</c:v>
                </c:pt>
                <c:pt idx="3691">
                  <c:v>9.9137930815639138E-4</c:v>
                </c:pt>
                <c:pt idx="3692">
                  <c:v>1.8405824317047612E-3</c:v>
                </c:pt>
                <c:pt idx="3693">
                  <c:v>1.1594996574966581E-3</c:v>
                </c:pt>
                <c:pt idx="3694">
                  <c:v>1.0502199219162764E-3</c:v>
                </c:pt>
                <c:pt idx="3695">
                  <c:v>6.7384253931939873E-4</c:v>
                </c:pt>
                <c:pt idx="3696">
                  <c:v>8.7742948540639053E-4</c:v>
                </c:pt>
                <c:pt idx="3697">
                  <c:v>6.8579222078568266E-4</c:v>
                </c:pt>
                <c:pt idx="3698">
                  <c:v>2.4751663050262196E-3</c:v>
                </c:pt>
                <c:pt idx="3699">
                  <c:v>1.0733064675970746E-3</c:v>
                </c:pt>
                <c:pt idx="3700">
                  <c:v>1.3796562226213176E-3</c:v>
                </c:pt>
                <c:pt idx="3701">
                  <c:v>1.9030252269677198E-3</c:v>
                </c:pt>
                <c:pt idx="3702">
                  <c:v>8.4505608987529715E-4</c:v>
                </c:pt>
                <c:pt idx="3703">
                  <c:v>2.5511330908964906E-3</c:v>
                </c:pt>
                <c:pt idx="3704">
                  <c:v>2.501474687414529E-3</c:v>
                </c:pt>
                <c:pt idx="3705">
                  <c:v>9.3846557823638313E-4</c:v>
                </c:pt>
                <c:pt idx="3706">
                  <c:v>1.3929071644115723E-3</c:v>
                </c:pt>
                <c:pt idx="3707">
                  <c:v>2.0696184662187225E-3</c:v>
                </c:pt>
                <c:pt idx="3708">
                  <c:v>1.6613671400318786E-3</c:v>
                </c:pt>
                <c:pt idx="3709">
                  <c:v>1.9757804272294522E-3</c:v>
                </c:pt>
                <c:pt idx="3710">
                  <c:v>2.1068489515898982E-3</c:v>
                </c:pt>
                <c:pt idx="3711">
                  <c:v>2.3699327754729848E-3</c:v>
                </c:pt>
                <c:pt idx="3712">
                  <c:v>2.4667006249620349E-3</c:v>
                </c:pt>
                <c:pt idx="3713">
                  <c:v>1.4754477742704901E-3</c:v>
                </c:pt>
                <c:pt idx="3714">
                  <c:v>1.2007857179357037E-3</c:v>
                </c:pt>
                <c:pt idx="3715">
                  <c:v>1.3212210455806617E-3</c:v>
                </c:pt>
                <c:pt idx="3716">
                  <c:v>1.4616598445491603E-3</c:v>
                </c:pt>
                <c:pt idx="3717">
                  <c:v>8.2699862629567788E-4</c:v>
                </c:pt>
                <c:pt idx="3718">
                  <c:v>1.3664137129108783E-3</c:v>
                </c:pt>
                <c:pt idx="3719">
                  <c:v>1.9510823301952507E-3</c:v>
                </c:pt>
                <c:pt idx="3720">
                  <c:v>1.2440488233245435E-3</c:v>
                </c:pt>
                <c:pt idx="3721">
                  <c:v>8.5440266277572784E-4</c:v>
                </c:pt>
                <c:pt idx="3722">
                  <c:v>1.6216315176323581E-3</c:v>
                </c:pt>
                <c:pt idx="3723">
                  <c:v>1.407231448945085E-3</c:v>
                </c:pt>
                <c:pt idx="3724">
                  <c:v>9.1666477431239304E-4</c:v>
                </c:pt>
                <c:pt idx="3725">
                  <c:v>1.5806813038237249E-3</c:v>
                </c:pt>
                <c:pt idx="3726">
                  <c:v>7.9836676239272925E-4</c:v>
                </c:pt>
                <c:pt idx="3727">
                  <c:v>7.9214055123906274E-4</c:v>
                </c:pt>
                <c:pt idx="3728">
                  <c:v>1.2768239031645736E-3</c:v>
                </c:pt>
                <c:pt idx="3729">
                  <c:v>1.8832277012892748E-3</c:v>
                </c:pt>
                <c:pt idx="3730">
                  <c:v>1.4518497167856684E-3</c:v>
                </c:pt>
                <c:pt idx="3731">
                  <c:v>1.2322497945821324E-3</c:v>
                </c:pt>
                <c:pt idx="3732">
                  <c:v>1.122129742383388E-3</c:v>
                </c:pt>
                <c:pt idx="3733">
                  <c:v>1.9996609374939548E-3</c:v>
                </c:pt>
                <c:pt idx="3734">
                  <c:v>1.0729615842566876E-3</c:v>
                </c:pt>
                <c:pt idx="3735">
                  <c:v>1.7615456031513897E-3</c:v>
                </c:pt>
                <c:pt idx="3736">
                  <c:v>1.1751087565277484E-3</c:v>
                </c:pt>
                <c:pt idx="3737">
                  <c:v>9.8770627054135612E-4</c:v>
                </c:pt>
                <c:pt idx="3738">
                  <c:v>9.2556292690433237E-4</c:v>
                </c:pt>
                <c:pt idx="3739">
                  <c:v>1.0723200531540561E-3</c:v>
                </c:pt>
                <c:pt idx="3740">
                  <c:v>2.1002868938058195E-3</c:v>
                </c:pt>
                <c:pt idx="3741">
                  <c:v>1.0791529218492409E-3</c:v>
                </c:pt>
                <c:pt idx="3742">
                  <c:v>1.5664782392325067E-3</c:v>
                </c:pt>
                <c:pt idx="3743">
                  <c:v>7.5904509871220667E-4</c:v>
                </c:pt>
                <c:pt idx="3744">
                  <c:v>1.4166681490541777E-3</c:v>
                </c:pt>
                <c:pt idx="3745">
                  <c:v>1.6063002364303958E-3</c:v>
                </c:pt>
                <c:pt idx="3746">
                  <c:v>1.7788161886585004E-3</c:v>
                </c:pt>
                <c:pt idx="3747">
                  <c:v>1.4838918205617182E-3</c:v>
                </c:pt>
                <c:pt idx="3748">
                  <c:v>8.2327160700739529E-4</c:v>
                </c:pt>
                <c:pt idx="3749">
                  <c:v>8.9471074089926886E-4</c:v>
                </c:pt>
                <c:pt idx="3750">
                  <c:v>1.1932569357159498E-3</c:v>
                </c:pt>
                <c:pt idx="3751">
                  <c:v>1.2427378201309424E-3</c:v>
                </c:pt>
                <c:pt idx="3752">
                  <c:v>2.3962411578612938E-3</c:v>
                </c:pt>
                <c:pt idx="3753">
                  <c:v>1.0389042279403743E-3</c:v>
                </c:pt>
                <c:pt idx="3754">
                  <c:v>1.7413302415733483E-3</c:v>
                </c:pt>
                <c:pt idx="3755">
                  <c:v>1.246670829711746E-3</c:v>
                </c:pt>
                <c:pt idx="3756">
                  <c:v>1.2155355578796565E-3</c:v>
                </c:pt>
                <c:pt idx="3757">
                  <c:v>1.2453598265181449E-3</c:v>
                </c:pt>
                <c:pt idx="3758">
                  <c:v>1.0598676308467231E-3</c:v>
                </c:pt>
                <c:pt idx="3759">
                  <c:v>9.9137930815639138E-4</c:v>
                </c:pt>
                <c:pt idx="3760">
                  <c:v>1.9042138340204383E-3</c:v>
                </c:pt>
                <c:pt idx="3761">
                  <c:v>1.0706928933373859E-3</c:v>
                </c:pt>
                <c:pt idx="3762">
                  <c:v>2.5409372609969914E-3</c:v>
                </c:pt>
                <c:pt idx="3763">
                  <c:v>1.9225757677071272E-3</c:v>
                </c:pt>
                <c:pt idx="3764">
                  <c:v>8.9175992969772679E-4</c:v>
                </c:pt>
                <c:pt idx="3765">
                  <c:v>8.2054588775349463E-4</c:v>
                </c:pt>
                <c:pt idx="3766">
                  <c:v>8.6048935433889447E-4</c:v>
                </c:pt>
                <c:pt idx="3767">
                  <c:v>2.113536445332331E-3</c:v>
                </c:pt>
                <c:pt idx="3768">
                  <c:v>1.0225103639247238E-3</c:v>
                </c:pt>
                <c:pt idx="3769">
                  <c:v>1.374445315541006E-3</c:v>
                </c:pt>
                <c:pt idx="3770">
                  <c:v>2.2011603781602659E-3</c:v>
                </c:pt>
                <c:pt idx="3771">
                  <c:v>1.6390829910384503E-3</c:v>
                </c:pt>
                <c:pt idx="3772">
                  <c:v>9.4156961892705919E-4</c:v>
                </c:pt>
                <c:pt idx="3773">
                  <c:v>2.0963362524268115E-3</c:v>
                </c:pt>
                <c:pt idx="3774">
                  <c:v>1.5966620561613317E-3</c:v>
                </c:pt>
                <c:pt idx="3775">
                  <c:v>1.9455311463079171E-3</c:v>
                </c:pt>
                <c:pt idx="3776">
                  <c:v>1.5938354950178792E-3</c:v>
                </c:pt>
                <c:pt idx="3777">
                  <c:v>1.3933134036197272E-3</c:v>
                </c:pt>
                <c:pt idx="3778">
                  <c:v>2.0279238044249724E-3</c:v>
                </c:pt>
                <c:pt idx="3779">
                  <c:v>2.2778534371139052E-3</c:v>
                </c:pt>
                <c:pt idx="3780">
                  <c:v>1.7032334552512646E-3</c:v>
                </c:pt>
                <c:pt idx="3781">
                  <c:v>1.3965226271055642E-3</c:v>
                </c:pt>
                <c:pt idx="3782">
                  <c:v>1.1916086955804951E-3</c:v>
                </c:pt>
                <c:pt idx="3783">
                  <c:v>1.5296922866862932E-3</c:v>
                </c:pt>
                <c:pt idx="3784">
                  <c:v>1.6602934584770089E-3</c:v>
                </c:pt>
                <c:pt idx="3785">
                  <c:v>8.8751565722853306E-4</c:v>
                </c:pt>
                <c:pt idx="3786">
                  <c:v>1.9434913384905163E-3</c:v>
                </c:pt>
                <c:pt idx="3787">
                  <c:v>1.3111348737585191E-3</c:v>
                </c:pt>
                <c:pt idx="3788">
                  <c:v>6.4544753349711243E-4</c:v>
                </c:pt>
                <c:pt idx="3789">
                  <c:v>9.256270354121058E-4</c:v>
                </c:pt>
                <c:pt idx="3790">
                  <c:v>1.5256633289506161E-3</c:v>
                </c:pt>
                <c:pt idx="3791">
                  <c:v>1.304664085037195E-3</c:v>
                </c:pt>
                <c:pt idx="3792">
                  <c:v>1.220450765839722E-3</c:v>
                </c:pt>
                <c:pt idx="3793">
                  <c:v>1.4886461247227867E-3</c:v>
                </c:pt>
                <c:pt idx="3794">
                  <c:v>1.8587420032924727E-3</c:v>
                </c:pt>
                <c:pt idx="3795">
                  <c:v>1.8299771979854817E-3</c:v>
                </c:pt>
                <c:pt idx="3796">
                  <c:v>1.0877359348542015E-3</c:v>
                </c:pt>
                <c:pt idx="3797">
                  <c:v>1.2916066444868387E-3</c:v>
                </c:pt>
                <c:pt idx="3798">
                  <c:v>1.1876756859996917E-3</c:v>
                </c:pt>
                <c:pt idx="3799">
                  <c:v>1.2669327574134507E-3</c:v>
                </c:pt>
                <c:pt idx="3800">
                  <c:v>1.2506038392925494E-3</c:v>
                </c:pt>
                <c:pt idx="3801">
                  <c:v>1.514910347852953E-3</c:v>
                </c:pt>
                <c:pt idx="3802">
                  <c:v>6.6674378786382737E-4</c:v>
                </c:pt>
                <c:pt idx="3803">
                  <c:v>2.5540914521911462E-3</c:v>
                </c:pt>
                <c:pt idx="3804">
                  <c:v>1.8834043383218436E-3</c:v>
                </c:pt>
                <c:pt idx="3805">
                  <c:v>1.0853291979756861E-3</c:v>
                </c:pt>
                <c:pt idx="3806">
                  <c:v>1.2912890975523292E-3</c:v>
                </c:pt>
                <c:pt idx="3807">
                  <c:v>8.225174957458216E-4</c:v>
                </c:pt>
                <c:pt idx="3808">
                  <c:v>1.1396699527820961E-3</c:v>
                </c:pt>
                <c:pt idx="3809">
                  <c:v>2.5146288786086829E-3</c:v>
                </c:pt>
                <c:pt idx="3810">
                  <c:v>1.0892390936713835E-3</c:v>
                </c:pt>
                <c:pt idx="3811">
                  <c:v>2.2860022479145019E-3</c:v>
                </c:pt>
                <c:pt idx="3812">
                  <c:v>1.2763980535184E-3</c:v>
                </c:pt>
                <c:pt idx="3813">
                  <c:v>1.5462142429948833E-3</c:v>
                </c:pt>
                <c:pt idx="3814">
                  <c:v>2.1068489515898982E-3</c:v>
                </c:pt>
                <c:pt idx="3815">
                  <c:v>1.3918242483356592E-3</c:v>
                </c:pt>
                <c:pt idx="3816">
                  <c:v>1.5731961376393246E-3</c:v>
                </c:pt>
                <c:pt idx="3817">
                  <c:v>1.5978931380919606E-3</c:v>
                </c:pt>
                <c:pt idx="3818">
                  <c:v>1.3644391544197787E-3</c:v>
                </c:pt>
                <c:pt idx="3819">
                  <c:v>9.9837101271590847E-4</c:v>
                </c:pt>
                <c:pt idx="3820">
                  <c:v>1.2348718009693349E-3</c:v>
                </c:pt>
                <c:pt idx="3821">
                  <c:v>1.7557405619505252E-3</c:v>
                </c:pt>
                <c:pt idx="3822">
                  <c:v>1.1076162522669067E-3</c:v>
                </c:pt>
                <c:pt idx="3823">
                  <c:v>8.3015542778974087E-4</c:v>
                </c:pt>
                <c:pt idx="3824">
                  <c:v>1.5018886344332254E-3</c:v>
                </c:pt>
                <c:pt idx="3825">
                  <c:v>1.9358055394017382E-3</c:v>
                </c:pt>
                <c:pt idx="3826">
                  <c:v>1.0162841527710574E-3</c:v>
                </c:pt>
                <c:pt idx="3827">
                  <c:v>9.5788200190286845E-4</c:v>
                </c:pt>
                <c:pt idx="3828">
                  <c:v>1.0100579416173908E-3</c:v>
                </c:pt>
                <c:pt idx="3829">
                  <c:v>1.5175765134982978E-3</c:v>
                </c:pt>
                <c:pt idx="3830">
                  <c:v>2.0361923550080169E-3</c:v>
                </c:pt>
                <c:pt idx="3831">
                  <c:v>9.9137930815639116E-4</c:v>
                </c:pt>
                <c:pt idx="3832">
                  <c:v>1.1800146400706662E-3</c:v>
                </c:pt>
                <c:pt idx="3833">
                  <c:v>1.5809202750161852E-3</c:v>
                </c:pt>
                <c:pt idx="3834">
                  <c:v>1.4872926118247717E-3</c:v>
                </c:pt>
                <c:pt idx="3835">
                  <c:v>1.6724437729192174E-3</c:v>
                </c:pt>
                <c:pt idx="3836">
                  <c:v>1.2755128999709724E-3</c:v>
                </c:pt>
                <c:pt idx="3837">
                  <c:v>2.2753970141952229E-3</c:v>
                </c:pt>
                <c:pt idx="3838">
                  <c:v>6.958783926078253E-4</c:v>
                </c:pt>
                <c:pt idx="3839">
                  <c:v>9.0421235200506002E-4</c:v>
                </c:pt>
                <c:pt idx="3840">
                  <c:v>1.5566124349933597E-3</c:v>
                </c:pt>
                <c:pt idx="3841">
                  <c:v>1.6602934584770096E-3</c:v>
                </c:pt>
                <c:pt idx="3842">
                  <c:v>1.6337441262564254E-3</c:v>
                </c:pt>
                <c:pt idx="3843">
                  <c:v>2.402659818826577E-3</c:v>
                </c:pt>
                <c:pt idx="3844">
                  <c:v>1.3495057156546692E-3</c:v>
                </c:pt>
                <c:pt idx="3845">
                  <c:v>1.9292894500978859E-3</c:v>
                </c:pt>
                <c:pt idx="3846">
                  <c:v>5.5467198709782998E-4</c:v>
                </c:pt>
                <c:pt idx="3847">
                  <c:v>8.5563665000414806E-4</c:v>
                </c:pt>
                <c:pt idx="3848">
                  <c:v>1.259780861647758E-3</c:v>
                </c:pt>
                <c:pt idx="3849">
                  <c:v>2.1463115251723615E-3</c:v>
                </c:pt>
                <c:pt idx="3850">
                  <c:v>9.3534340777339268E-4</c:v>
                </c:pt>
                <c:pt idx="3851">
                  <c:v>2.4357037314437571E-3</c:v>
                </c:pt>
                <c:pt idx="3852">
                  <c:v>9.278603445171034E-4</c:v>
                </c:pt>
                <c:pt idx="3853">
                  <c:v>1.0660938420003895E-3</c:v>
                </c:pt>
                <c:pt idx="3854">
                  <c:v>6.2403285009006665E-4</c:v>
                </c:pt>
                <c:pt idx="3855">
                  <c:v>7.1605073625211025E-4</c:v>
                </c:pt>
                <c:pt idx="3856">
                  <c:v>1.0349712183595706E-3</c:v>
                </c:pt>
                <c:pt idx="3857">
                  <c:v>1.4152299458811189E-3</c:v>
                </c:pt>
                <c:pt idx="3858">
                  <c:v>1.2220835320315895E-3</c:v>
                </c:pt>
                <c:pt idx="3859">
                  <c:v>1.4937924149705868E-3</c:v>
                </c:pt>
                <c:pt idx="3860">
                  <c:v>1.2335607977757338E-3</c:v>
                </c:pt>
                <c:pt idx="3861">
                  <c:v>1.2453598265181446E-3</c:v>
                </c:pt>
                <c:pt idx="3862">
                  <c:v>1.7752208795537702E-3</c:v>
                </c:pt>
                <c:pt idx="3863">
                  <c:v>1.6643779232944594E-3</c:v>
                </c:pt>
                <c:pt idx="3864">
                  <c:v>1.9884612308425096E-3</c:v>
                </c:pt>
                <c:pt idx="3865">
                  <c:v>1.1784986636444832E-3</c:v>
                </c:pt>
                <c:pt idx="3866">
                  <c:v>9.7194656343381806E-4</c:v>
                </c:pt>
                <c:pt idx="3867">
                  <c:v>1.2506038392925494E-3</c:v>
                </c:pt>
                <c:pt idx="3868">
                  <c:v>2.476896454861534E-3</c:v>
                </c:pt>
                <c:pt idx="3869">
                  <c:v>1.5452641436004037E-3</c:v>
                </c:pt>
                <c:pt idx="3870">
                  <c:v>9.7547202311204821E-4</c:v>
                </c:pt>
                <c:pt idx="3871">
                  <c:v>9.6736973371614301E-4</c:v>
                </c:pt>
                <c:pt idx="3872">
                  <c:v>1.5754515887227729E-3</c:v>
                </c:pt>
                <c:pt idx="3873">
                  <c:v>9.1005425135800894E-4</c:v>
                </c:pt>
                <c:pt idx="3874">
                  <c:v>8.4082632974596526E-4</c:v>
                </c:pt>
                <c:pt idx="3875">
                  <c:v>1.5860568224420521E-3</c:v>
                </c:pt>
                <c:pt idx="3876">
                  <c:v>1.2452032280777542E-3</c:v>
                </c:pt>
                <c:pt idx="3877">
                  <c:v>1.6602934584770096E-3</c:v>
                </c:pt>
                <c:pt idx="3878">
                  <c:v>1.6708986921962884E-3</c:v>
                </c:pt>
                <c:pt idx="3879">
                  <c:v>1.3953827341625074E-3</c:v>
                </c:pt>
                <c:pt idx="3880">
                  <c:v>1.2162302849265561E-3</c:v>
                </c:pt>
                <c:pt idx="3881">
                  <c:v>6.0448167632716227E-4</c:v>
                </c:pt>
                <c:pt idx="3882">
                  <c:v>2.4620121138320657E-3</c:v>
                </c:pt>
                <c:pt idx="3883">
                  <c:v>1.6618000761653992E-3</c:v>
                </c:pt>
                <c:pt idx="3884">
                  <c:v>1.208651737097311E-3</c:v>
                </c:pt>
                <c:pt idx="3885">
                  <c:v>8.8914230879201181E-4</c:v>
                </c:pt>
                <c:pt idx="3886">
                  <c:v>1.3664137129108787E-3</c:v>
                </c:pt>
                <c:pt idx="3887">
                  <c:v>1.1460566046825494E-3</c:v>
                </c:pt>
                <c:pt idx="3888">
                  <c:v>1.1552420591652715E-3</c:v>
                </c:pt>
                <c:pt idx="3889">
                  <c:v>1.5526307112551964E-3</c:v>
                </c:pt>
                <c:pt idx="3890">
                  <c:v>1.2951596481790876E-3</c:v>
                </c:pt>
                <c:pt idx="3891">
                  <c:v>2.1442767805073698E-3</c:v>
                </c:pt>
                <c:pt idx="3892">
                  <c:v>1.168023286286944E-3</c:v>
                </c:pt>
                <c:pt idx="3893">
                  <c:v>1.1998035195564421E-3</c:v>
                </c:pt>
                <c:pt idx="3894">
                  <c:v>1.5310314669651072E-3</c:v>
                </c:pt>
                <c:pt idx="3895">
                  <c:v>2.3962411578612943E-3</c:v>
                </c:pt>
                <c:pt idx="3896">
                  <c:v>1.8352994476426264E-3</c:v>
                </c:pt>
                <c:pt idx="3897">
                  <c:v>1.033989019980309E-3</c:v>
                </c:pt>
                <c:pt idx="3898">
                  <c:v>2.0805405692015896E-3</c:v>
                </c:pt>
                <c:pt idx="3899">
                  <c:v>2.5146288786086829E-3</c:v>
                </c:pt>
                <c:pt idx="3900">
                  <c:v>9.0109199025829585E-4</c:v>
                </c:pt>
                <c:pt idx="3901">
                  <c:v>2.5803998345794547E-3</c:v>
                </c:pt>
                <c:pt idx="3902">
                  <c:v>1.6096311782431007E-3</c:v>
                </c:pt>
                <c:pt idx="3903">
                  <c:v>1.2702688871965677E-3</c:v>
                </c:pt>
                <c:pt idx="3904">
                  <c:v>2.3178179490723409E-3</c:v>
                </c:pt>
                <c:pt idx="3905">
                  <c:v>7.3622307989639553E-4</c:v>
                </c:pt>
                <c:pt idx="3906">
                  <c:v>8.7308129623672758E-4</c:v>
                </c:pt>
                <c:pt idx="3907">
                  <c:v>1.6817989920361663E-3</c:v>
                </c:pt>
                <c:pt idx="3908">
                  <c:v>1.7133196270734071E-3</c:v>
                </c:pt>
                <c:pt idx="3909">
                  <c:v>1.2692208958100556E-3</c:v>
                </c:pt>
                <c:pt idx="3910">
                  <c:v>2.2646992459197505E-3</c:v>
                </c:pt>
                <c:pt idx="3911">
                  <c:v>2.3041618195022134E-3</c:v>
                </c:pt>
                <c:pt idx="3912">
                  <c:v>1.5542411212842138E-3</c:v>
                </c:pt>
                <c:pt idx="3913">
                  <c:v>1.9347087891627434E-3</c:v>
                </c:pt>
                <c:pt idx="3914">
                  <c:v>1.1034511089223886E-3</c:v>
                </c:pt>
                <c:pt idx="3915">
                  <c:v>1.0465941630177266E-3</c:v>
                </c:pt>
                <c:pt idx="3916">
                  <c:v>1.5966620561613321E-3</c:v>
                </c:pt>
                <c:pt idx="3917">
                  <c:v>1.8285128857811193E-3</c:v>
                </c:pt>
                <c:pt idx="3918">
                  <c:v>9.8837737544995815E-4</c:v>
                </c:pt>
                <c:pt idx="3919">
                  <c:v>9.2574546445243708E-4</c:v>
                </c:pt>
                <c:pt idx="3920">
                  <c:v>1.6072672898806114E-3</c:v>
                </c:pt>
                <c:pt idx="3921">
                  <c:v>2.2778534371139048E-3</c:v>
                </c:pt>
                <c:pt idx="3922">
                  <c:v>6.4544753349711275E-4</c:v>
                </c:pt>
                <c:pt idx="3923">
                  <c:v>1.0318422550675622E-3</c:v>
                </c:pt>
                <c:pt idx="3924">
                  <c:v>1.4796538326683512E-3</c:v>
                </c:pt>
                <c:pt idx="3925">
                  <c:v>1.27289089358377E-3</c:v>
                </c:pt>
                <c:pt idx="3926">
                  <c:v>1.2060297307101087E-3</c:v>
                </c:pt>
                <c:pt idx="3927">
                  <c:v>2.0866572916956303E-3</c:v>
                </c:pt>
                <c:pt idx="3928">
                  <c:v>1.2401158137437399E-3</c:v>
                </c:pt>
                <c:pt idx="3929">
                  <c:v>1.7098593274027785E-3</c:v>
                </c:pt>
                <c:pt idx="3930">
                  <c:v>1.6386303998910314E-3</c:v>
                </c:pt>
                <c:pt idx="3931">
                  <c:v>1.122129742383388E-3</c:v>
                </c:pt>
                <c:pt idx="3932">
                  <c:v>1.0529964582556479E-3</c:v>
                </c:pt>
                <c:pt idx="3933">
                  <c:v>1.0416772258869107E-3</c:v>
                </c:pt>
                <c:pt idx="3934">
                  <c:v>2.17261990756067E-3</c:v>
                </c:pt>
                <c:pt idx="3935">
                  <c:v>2.4127728569918166E-3</c:v>
                </c:pt>
                <c:pt idx="3936">
                  <c:v>2.17261990756067E-3</c:v>
                </c:pt>
                <c:pt idx="3937">
                  <c:v>1.1280900707766679E-3</c:v>
                </c:pt>
                <c:pt idx="3938">
                  <c:v>5.2441347163140238E-4</c:v>
                </c:pt>
                <c:pt idx="3939">
                  <c:v>7.0843591809329745E-4</c:v>
                </c:pt>
                <c:pt idx="3940">
                  <c:v>1.6072672898806116E-3</c:v>
                </c:pt>
                <c:pt idx="3941">
                  <c:v>7.9214055123906274E-4</c:v>
                </c:pt>
                <c:pt idx="3942">
                  <c:v>9.0047082037691549E-4</c:v>
                </c:pt>
                <c:pt idx="3943">
                  <c:v>1.6284777573191708E-3</c:v>
                </c:pt>
                <c:pt idx="3944">
                  <c:v>1.3703897851205611E-3</c:v>
                </c:pt>
                <c:pt idx="3945">
                  <c:v>1.7027143933541276E-3</c:v>
                </c:pt>
                <c:pt idx="3946">
                  <c:v>1.7133196270734067E-3</c:v>
                </c:pt>
                <c:pt idx="3947">
                  <c:v>2.3041618195022134E-3</c:v>
                </c:pt>
                <c:pt idx="3948">
                  <c:v>1.9412209566147239E-3</c:v>
                </c:pt>
                <c:pt idx="3949">
                  <c:v>1.8937355513174103E-3</c:v>
                </c:pt>
                <c:pt idx="3950">
                  <c:v>1.4462735651437188E-3</c:v>
                </c:pt>
                <c:pt idx="3951">
                  <c:v>1.8834816032740793E-3</c:v>
                </c:pt>
                <c:pt idx="3952">
                  <c:v>1.2020967211293049E-3</c:v>
                </c:pt>
                <c:pt idx="3953">
                  <c:v>9.7434469876708936E-4</c:v>
                </c:pt>
                <c:pt idx="3954">
                  <c:v>1.990600784497604E-3</c:v>
                </c:pt>
                <c:pt idx="3955">
                  <c:v>1.0910029026788125E-3</c:v>
                </c:pt>
                <c:pt idx="3956">
                  <c:v>1.1531681737471219E-3</c:v>
                </c:pt>
                <c:pt idx="3957">
                  <c:v>1.4785580989834372E-3</c:v>
                </c:pt>
                <c:pt idx="3958">
                  <c:v>1.207771183120375E-3</c:v>
                </c:pt>
                <c:pt idx="3959">
                  <c:v>2.0410779956191267E-3</c:v>
                </c:pt>
                <c:pt idx="3960">
                  <c:v>1.112969584283207E-3</c:v>
                </c:pt>
                <c:pt idx="3961">
                  <c:v>1.1172229665508365E-3</c:v>
                </c:pt>
                <c:pt idx="3962">
                  <c:v>1.3208509072843446E-3</c:v>
                </c:pt>
                <c:pt idx="3963">
                  <c:v>2.3173160106963681E-3</c:v>
                </c:pt>
                <c:pt idx="3964">
                  <c:v>1.1663343903404344E-3</c:v>
                </c:pt>
                <c:pt idx="3965">
                  <c:v>1.1932527196521928E-3</c:v>
                </c:pt>
                <c:pt idx="3966">
                  <c:v>8.9798614085139362E-4</c:v>
                </c:pt>
                <c:pt idx="3967">
                  <c:v>1.8830033665818793E-3</c:v>
                </c:pt>
                <c:pt idx="3968">
                  <c:v>2.4883204962203743E-3</c:v>
                </c:pt>
                <c:pt idx="3969">
                  <c:v>2.0845028072481904E-3</c:v>
                </c:pt>
                <c:pt idx="3970">
                  <c:v>1.2321905797851888E-3</c:v>
                </c:pt>
                <c:pt idx="3971">
                  <c:v>1.4119965919799444E-3</c:v>
                </c:pt>
                <c:pt idx="3972">
                  <c:v>1.8043025541243487E-3</c:v>
                </c:pt>
                <c:pt idx="3973">
                  <c:v>8.1691245447353556E-4</c:v>
                </c:pt>
                <c:pt idx="3974">
                  <c:v>1.0162841527710574E-3</c:v>
                </c:pt>
                <c:pt idx="3975">
                  <c:v>2.0279238044249724E-3</c:v>
                </c:pt>
                <c:pt idx="3976">
                  <c:v>1.1497561246042389E-3</c:v>
                </c:pt>
                <c:pt idx="3977">
                  <c:v>7.5899073302636549E-4</c:v>
                </c:pt>
                <c:pt idx="3978">
                  <c:v>2.2860022479145024E-3</c:v>
                </c:pt>
                <c:pt idx="3979">
                  <c:v>2.17261990756067E-3</c:v>
                </c:pt>
                <c:pt idx="3980">
                  <c:v>2.3041618195022134E-3</c:v>
                </c:pt>
                <c:pt idx="3981">
                  <c:v>1.6284777573191704E-3</c:v>
                </c:pt>
                <c:pt idx="3982">
                  <c:v>1.82478674847954E-3</c:v>
                </c:pt>
                <c:pt idx="3983">
                  <c:v>1.0660938420003895E-3</c:v>
                </c:pt>
                <c:pt idx="3984">
                  <c:v>1.2656706378426379E-3</c:v>
                </c:pt>
                <c:pt idx="3985">
                  <c:v>1.5966620561613323E-3</c:v>
                </c:pt>
                <c:pt idx="3986">
                  <c:v>5.9290179432173399E-4</c:v>
                </c:pt>
                <c:pt idx="3987">
                  <c:v>8.7905613696986939E-4</c:v>
                </c:pt>
                <c:pt idx="3988">
                  <c:v>2.2910076283080591E-3</c:v>
                </c:pt>
                <c:pt idx="3989">
                  <c:v>1.0388082345606708E-3</c:v>
                </c:pt>
                <c:pt idx="3990">
                  <c:v>1.2558478520669544E-3</c:v>
                </c:pt>
                <c:pt idx="3991">
                  <c:v>6.9675093290973015E-4</c:v>
                </c:pt>
                <c:pt idx="3992">
                  <c:v>1.9070023958066655E-3</c:v>
                </c:pt>
                <c:pt idx="3993">
                  <c:v>7.5020109723509458E-4</c:v>
                </c:pt>
                <c:pt idx="3994">
                  <c:v>1.5043293240706382E-3</c:v>
                </c:pt>
                <c:pt idx="3995">
                  <c:v>1.0981834740096865E-3</c:v>
                </c:pt>
                <c:pt idx="3996">
                  <c:v>1.5330306538456546E-3</c:v>
                </c:pt>
                <c:pt idx="3997">
                  <c:v>1.073635272411414E-3</c:v>
                </c:pt>
                <c:pt idx="3998">
                  <c:v>6.9252117278039837E-4</c:v>
                </c:pt>
                <c:pt idx="3999">
                  <c:v>1.230075699720523E-3</c:v>
                </c:pt>
                <c:pt idx="4000">
                  <c:v>2.0845028072481904E-3</c:v>
                </c:pt>
                <c:pt idx="4001">
                  <c:v>1.8041104431481929E-3</c:v>
                </c:pt>
                <c:pt idx="4002">
                  <c:v>1.2401158137437399E-3</c:v>
                </c:pt>
                <c:pt idx="4003">
                  <c:v>1.2845097915720506E-3</c:v>
                </c:pt>
                <c:pt idx="4004">
                  <c:v>1.9884612308425096E-3</c:v>
                </c:pt>
                <c:pt idx="4005">
                  <c:v>2.3041618195022134E-3</c:v>
                </c:pt>
                <c:pt idx="4006">
                  <c:v>2.0936947603957443E-3</c:v>
                </c:pt>
                <c:pt idx="4007">
                  <c:v>1.1345821646907212E-3</c:v>
                </c:pt>
                <c:pt idx="4008">
                  <c:v>1.6390829910384501E-3</c:v>
                </c:pt>
                <c:pt idx="4009">
                  <c:v>7.6527552592963008E-4</c:v>
                </c:pt>
                <c:pt idx="4010">
                  <c:v>1.6921091596348479E-3</c:v>
                </c:pt>
                <c:pt idx="4011">
                  <c:v>1.2689578840029663E-3</c:v>
                </c:pt>
                <c:pt idx="4012">
                  <c:v>1.2309387913885315E-3</c:v>
                </c:pt>
                <c:pt idx="4013">
                  <c:v>2.0420818723710732E-3</c:v>
                </c:pt>
                <c:pt idx="4014">
                  <c:v>5.6475815891997251E-4</c:v>
                </c:pt>
                <c:pt idx="4015">
                  <c:v>1.2020650056989548E-3</c:v>
                </c:pt>
                <c:pt idx="4016">
                  <c:v>1.2545368488733532E-3</c:v>
                </c:pt>
                <c:pt idx="4017">
                  <c:v>2.3818201227316809E-3</c:v>
                </c:pt>
                <c:pt idx="4018">
                  <c:v>1.1637123388237968E-3</c:v>
                </c:pt>
                <c:pt idx="4019">
                  <c:v>1.2781349063581749E-3</c:v>
                </c:pt>
                <c:pt idx="4020">
                  <c:v>1.386185637811211E-3</c:v>
                </c:pt>
                <c:pt idx="4021">
                  <c:v>1.5938354950178789E-3</c:v>
                </c:pt>
                <c:pt idx="4022">
                  <c:v>1.780748655897669E-3</c:v>
                </c:pt>
                <c:pt idx="4023">
                  <c:v>7.4233086200973055E-4</c:v>
                </c:pt>
                <c:pt idx="4024">
                  <c:v>8.8422693141421605E-4</c:v>
                </c:pt>
                <c:pt idx="4025">
                  <c:v>1.5330306538456546E-3</c:v>
                </c:pt>
                <c:pt idx="4026">
                  <c:v>1.9017583830322608E-3</c:v>
                </c:pt>
                <c:pt idx="4027">
                  <c:v>6.8579222078568266E-4</c:v>
                </c:pt>
                <c:pt idx="4028">
                  <c:v>1.0415163667591874E-3</c:v>
                </c:pt>
                <c:pt idx="4029">
                  <c:v>1.5754119253516248E-3</c:v>
                </c:pt>
                <c:pt idx="4030">
                  <c:v>1.408425752221408E-3</c:v>
                </c:pt>
                <c:pt idx="4031">
                  <c:v>1.1054323699359395E-3</c:v>
                </c:pt>
                <c:pt idx="4032">
                  <c:v>1.6636719383438816E-3</c:v>
                </c:pt>
                <c:pt idx="4033">
                  <c:v>1.5509442123771348E-3</c:v>
                </c:pt>
                <c:pt idx="4034">
                  <c:v>1.1221297423833882E-3</c:v>
                </c:pt>
                <c:pt idx="4035">
                  <c:v>1.9740401957128962E-3</c:v>
                </c:pt>
                <c:pt idx="4036">
                  <c:v>9.0028777455176999E-4</c:v>
                </c:pt>
                <c:pt idx="4037">
                  <c:v>2.0845028072481913E-3</c:v>
                </c:pt>
                <c:pt idx="4038">
                  <c:v>1.7239248607926864E-3</c:v>
                </c:pt>
                <c:pt idx="4039">
                  <c:v>1.0823917126363365E-3</c:v>
                </c:pt>
                <c:pt idx="4040">
                  <c:v>2.5014746874145286E-3</c:v>
                </c:pt>
                <c:pt idx="4041">
                  <c:v>2.0578607710059864E-3</c:v>
                </c:pt>
                <c:pt idx="4042">
                  <c:v>7.3348686053261846E-4</c:v>
                </c:pt>
                <c:pt idx="4043">
                  <c:v>8.7742948540639064E-4</c:v>
                </c:pt>
                <c:pt idx="4044">
                  <c:v>1.0162841527710574E-3</c:v>
                </c:pt>
                <c:pt idx="4045">
                  <c:v>1.935844466065892E-3</c:v>
                </c:pt>
                <c:pt idx="4046">
                  <c:v>1.2102731555370938E-3</c:v>
                </c:pt>
                <c:pt idx="4047">
                  <c:v>1.1690704402864808E-3</c:v>
                </c:pt>
                <c:pt idx="4048">
                  <c:v>2.3602388839494589E-3</c:v>
                </c:pt>
                <c:pt idx="4049">
                  <c:v>2.17261990756067E-3</c:v>
                </c:pt>
                <c:pt idx="4050">
                  <c:v>1.6827321373749093E-3</c:v>
                </c:pt>
                <c:pt idx="4051">
                  <c:v>1.0474152085393899E-3</c:v>
                </c:pt>
                <c:pt idx="4052">
                  <c:v>1.2584698584541566E-3</c:v>
                </c:pt>
                <c:pt idx="4053">
                  <c:v>1.0225103639247238E-3</c:v>
                </c:pt>
                <c:pt idx="4054">
                  <c:v>1.2656706378426379E-3</c:v>
                </c:pt>
                <c:pt idx="4055">
                  <c:v>6.8734940647709381E-4</c:v>
                </c:pt>
                <c:pt idx="4056">
                  <c:v>1.8871899393358758E-3</c:v>
                </c:pt>
                <c:pt idx="4057">
                  <c:v>1.1194976091378113E-3</c:v>
                </c:pt>
                <c:pt idx="4058">
                  <c:v>1.2768239031645738E-3</c:v>
                </c:pt>
                <c:pt idx="4059">
                  <c:v>1.8830033665818793E-3</c:v>
                </c:pt>
                <c:pt idx="4060">
                  <c:v>1.2102731555370938E-3</c:v>
                </c:pt>
                <c:pt idx="4061">
                  <c:v>1.1598422964263814E-3</c:v>
                </c:pt>
                <c:pt idx="4062">
                  <c:v>1.709402056585837E-3</c:v>
                </c:pt>
                <c:pt idx="4063">
                  <c:v>2.2860022479145024E-3</c:v>
                </c:pt>
                <c:pt idx="4064">
                  <c:v>1.5149345577899175E-3</c:v>
                </c:pt>
                <c:pt idx="4065">
                  <c:v>1.2097891430996634E-3</c:v>
                </c:pt>
                <c:pt idx="4066">
                  <c:v>5.8493050256425757E-4</c:v>
                </c:pt>
                <c:pt idx="4067">
                  <c:v>1.3052747096554155E-3</c:v>
                </c:pt>
                <c:pt idx="4068">
                  <c:v>1.3277448544669035E-3</c:v>
                </c:pt>
                <c:pt idx="4069">
                  <c:v>1.8688452986357789E-3</c:v>
                </c:pt>
                <c:pt idx="4070">
                  <c:v>1.1500022624546236E-3</c:v>
                </c:pt>
                <c:pt idx="4071">
                  <c:v>1.2525654102987567E-3</c:v>
                </c:pt>
                <c:pt idx="4072">
                  <c:v>1.2525844323368553E-3</c:v>
                </c:pt>
                <c:pt idx="4073">
                  <c:v>5.7484433074211504E-4</c:v>
                </c:pt>
                <c:pt idx="4074">
                  <c:v>1.2702688871965677E-3</c:v>
                </c:pt>
                <c:pt idx="4075">
                  <c:v>5.5467198709783019E-4</c:v>
                </c:pt>
                <c:pt idx="4076">
                  <c:v>1.1942307019676976E-3</c:v>
                </c:pt>
                <c:pt idx="4077">
                  <c:v>1.1034511089223888E-3</c:v>
                </c:pt>
                <c:pt idx="4078">
                  <c:v>1.152278599772459E-3</c:v>
                </c:pt>
                <c:pt idx="4079">
                  <c:v>9.1777417269496065E-4</c:v>
                </c:pt>
                <c:pt idx="4080">
                  <c:v>1.7875562631083637E-3</c:v>
                </c:pt>
                <c:pt idx="4081">
                  <c:v>1.2369702352076075E-3</c:v>
                </c:pt>
                <c:pt idx="4082">
                  <c:v>1.7769510293890838E-3</c:v>
                </c:pt>
                <c:pt idx="4083">
                  <c:v>1.2427378201309424E-3</c:v>
                </c:pt>
                <c:pt idx="4084">
                  <c:v>1.7516857893477311E-3</c:v>
                </c:pt>
                <c:pt idx="4085">
                  <c:v>2.2646992459197505E-3</c:v>
                </c:pt>
                <c:pt idx="4086">
                  <c:v>2.3041618195022134E-3</c:v>
                </c:pt>
                <c:pt idx="4087">
                  <c:v>1.8405824317047612E-3</c:v>
                </c:pt>
                <c:pt idx="4088">
                  <c:v>1.5926998181147306E-3</c:v>
                </c:pt>
                <c:pt idx="4089">
                  <c:v>1.8438576622630044E-3</c:v>
                </c:pt>
                <c:pt idx="4090">
                  <c:v>1.3212210455806617E-3</c:v>
                </c:pt>
                <c:pt idx="4091">
                  <c:v>2.356778584278831E-3</c:v>
                </c:pt>
                <c:pt idx="4092">
                  <c:v>1.6536494114475946E-3</c:v>
                </c:pt>
                <c:pt idx="4093">
                  <c:v>1.5370958023892729E-3</c:v>
                </c:pt>
                <c:pt idx="4094">
                  <c:v>2.0951080409674708E-3</c:v>
                </c:pt>
                <c:pt idx="4095">
                  <c:v>1.7350602099970005E-3</c:v>
                </c:pt>
                <c:pt idx="4096">
                  <c:v>1.0643487613965794E-3</c:v>
                </c:pt>
                <c:pt idx="4097">
                  <c:v>1.2968863843918724E-3</c:v>
                </c:pt>
                <c:pt idx="4098">
                  <c:v>2.593554025773609E-3</c:v>
                </c:pt>
                <c:pt idx="4099">
                  <c:v>1.5542411212842138E-3</c:v>
                </c:pt>
                <c:pt idx="4100">
                  <c:v>1.344794349905731E-3</c:v>
                </c:pt>
                <c:pt idx="4101">
                  <c:v>1.0166256057766675E-3</c:v>
                </c:pt>
                <c:pt idx="4102">
                  <c:v>1.5690147528557407E-3</c:v>
                </c:pt>
                <c:pt idx="4103">
                  <c:v>1.1745656540636795E-3</c:v>
                </c:pt>
                <c:pt idx="4104">
                  <c:v>1.1283559535370546E-3</c:v>
                </c:pt>
                <c:pt idx="4105">
                  <c:v>1.1221297423833882E-3</c:v>
                </c:pt>
                <c:pt idx="4106">
                  <c:v>1.7688022185884868E-3</c:v>
                </c:pt>
                <c:pt idx="4107">
                  <c:v>9.3874128341187501E-4</c:v>
                </c:pt>
                <c:pt idx="4108">
                  <c:v>1.0598676308467231E-3</c:v>
                </c:pt>
                <c:pt idx="4109">
                  <c:v>7.3985651317635438E-4</c:v>
                </c:pt>
                <c:pt idx="4110">
                  <c:v>2.1481342095638679E-3</c:v>
                </c:pt>
                <c:pt idx="4111">
                  <c:v>1.5243386158345315E-3</c:v>
                </c:pt>
                <c:pt idx="4112">
                  <c:v>1.1733379057519439E-3</c:v>
                </c:pt>
                <c:pt idx="4113">
                  <c:v>1.8436968030875836E-3</c:v>
                </c:pt>
                <c:pt idx="4114">
                  <c:v>9.0768800087281812E-4</c:v>
                </c:pt>
                <c:pt idx="4115">
                  <c:v>1.5912945958654599E-3</c:v>
                </c:pt>
                <c:pt idx="4116">
                  <c:v>9.6820503180567331E-4</c:v>
                </c:pt>
                <c:pt idx="4117">
                  <c:v>1.9753070396483548E-3</c:v>
                </c:pt>
                <c:pt idx="4118">
                  <c:v>2.4081671375961069E-3</c:v>
                </c:pt>
                <c:pt idx="4119">
                  <c:v>2.1200031427840529E-3</c:v>
                </c:pt>
                <c:pt idx="4120">
                  <c:v>1.5700369739748638E-3</c:v>
                </c:pt>
                <c:pt idx="4121">
                  <c:v>1.7407882352326847E-3</c:v>
                </c:pt>
                <c:pt idx="4122">
                  <c:v>1.3613417370926925E-3</c:v>
                </c:pt>
                <c:pt idx="4123">
                  <c:v>2.3483129042146454E-3</c:v>
                </c:pt>
                <c:pt idx="4124">
                  <c:v>1.8382578089372816E-3</c:v>
                </c:pt>
                <c:pt idx="4125">
                  <c:v>1.0603558593479101E-3</c:v>
                </c:pt>
                <c:pt idx="4126">
                  <c:v>1.8753564941572549E-3</c:v>
                </c:pt>
                <c:pt idx="4127">
                  <c:v>9.2786034451710307E-4</c:v>
                </c:pt>
                <c:pt idx="4128">
                  <c:v>6.8629496162673196E-4</c:v>
                </c:pt>
                <c:pt idx="4129">
                  <c:v>1.3476221319905913E-3</c:v>
                </c:pt>
                <c:pt idx="4130">
                  <c:v>2.5672456433853004E-3</c:v>
                </c:pt>
                <c:pt idx="4131">
                  <c:v>1.1627666253212685E-3</c:v>
                </c:pt>
                <c:pt idx="4132">
                  <c:v>2.4225495402496028E-3</c:v>
                </c:pt>
                <c:pt idx="4133">
                  <c:v>1.6632518197716643E-3</c:v>
                </c:pt>
                <c:pt idx="4134">
                  <c:v>1.5833916287272118E-3</c:v>
                </c:pt>
                <c:pt idx="4135">
                  <c:v>1.2967888313068462E-3</c:v>
                </c:pt>
                <c:pt idx="4136">
                  <c:v>1.2731116898744813E-3</c:v>
                </c:pt>
                <c:pt idx="4137">
                  <c:v>6.4329604426741787E-4</c:v>
                </c:pt>
                <c:pt idx="4138">
                  <c:v>7.4630925171853785E-4</c:v>
                </c:pt>
                <c:pt idx="4139">
                  <c:v>1.2404488346218362E-3</c:v>
                </c:pt>
                <c:pt idx="4140">
                  <c:v>2.0253459572959123E-3</c:v>
                </c:pt>
                <c:pt idx="4141">
                  <c:v>8.9798614085139362E-4</c:v>
                </c:pt>
                <c:pt idx="4142">
                  <c:v>2.1693446770024273E-3</c:v>
                </c:pt>
                <c:pt idx="4143">
                  <c:v>1.7069009661081233E-3</c:v>
                </c:pt>
                <c:pt idx="4144">
                  <c:v>6.2527518985282758E-4</c:v>
                </c:pt>
                <c:pt idx="4145">
                  <c:v>1.6596064509886506E-3</c:v>
                </c:pt>
                <c:pt idx="4146">
                  <c:v>1.0598676308467231E-3</c:v>
                </c:pt>
                <c:pt idx="4147">
                  <c:v>2.5672456433853004E-3</c:v>
                </c:pt>
                <c:pt idx="4148">
                  <c:v>9.8837737544995837E-4</c:v>
                </c:pt>
                <c:pt idx="4149">
                  <c:v>9.2192666787205735E-4</c:v>
                </c:pt>
                <c:pt idx="4150">
                  <c:v>1.9148684149682725E-3</c:v>
                </c:pt>
                <c:pt idx="4151">
                  <c:v>8.2699862629567788E-4</c:v>
                </c:pt>
                <c:pt idx="4152">
                  <c:v>2.146311525172361E-3</c:v>
                </c:pt>
                <c:pt idx="4153">
                  <c:v>2.1939229095554224E-3</c:v>
                </c:pt>
                <c:pt idx="4154">
                  <c:v>1.6851373591955272E-3</c:v>
                </c:pt>
                <c:pt idx="4155">
                  <c:v>1.0972248977687219E-3</c:v>
                </c:pt>
                <c:pt idx="4156">
                  <c:v>1.1981637115485012E-3</c:v>
                </c:pt>
                <c:pt idx="4157">
                  <c:v>1.1263915567785311E-3</c:v>
                </c:pt>
                <c:pt idx="4158">
                  <c:v>1.2584698584541568E-3</c:v>
                </c:pt>
                <c:pt idx="4159">
                  <c:v>1.3817380765135169E-3</c:v>
                </c:pt>
                <c:pt idx="4160">
                  <c:v>2.2778534371139052E-3</c:v>
                </c:pt>
                <c:pt idx="4161">
                  <c:v>1.5286012326947511E-3</c:v>
                </c:pt>
                <c:pt idx="4162">
                  <c:v>2.2870746187272552E-3</c:v>
                </c:pt>
                <c:pt idx="4163">
                  <c:v>2.1587394432831478E-3</c:v>
                </c:pt>
                <c:pt idx="4164">
                  <c:v>1.190297692386894E-3</c:v>
                </c:pt>
                <c:pt idx="4165">
                  <c:v>7.6137929493158573E-4</c:v>
                </c:pt>
                <c:pt idx="4166">
                  <c:v>1.294308537262812E-3</c:v>
                </c:pt>
                <c:pt idx="4167">
                  <c:v>2.498106922300093E-3</c:v>
                </c:pt>
                <c:pt idx="4168">
                  <c:v>1.1437591870459298E-3</c:v>
                </c:pt>
                <c:pt idx="4169">
                  <c:v>1.4520705130763797E-3</c:v>
                </c:pt>
                <c:pt idx="4170">
                  <c:v>1.8569193189009658E-3</c:v>
                </c:pt>
                <c:pt idx="4171">
                  <c:v>1.2191397626461207E-3</c:v>
                </c:pt>
                <c:pt idx="4172">
                  <c:v>1.4925580088553712E-3</c:v>
                </c:pt>
                <c:pt idx="4173">
                  <c:v>1.4754477742704901E-3</c:v>
                </c:pt>
                <c:pt idx="4174">
                  <c:v>1.1283559535370546E-3</c:v>
                </c:pt>
                <c:pt idx="4175">
                  <c:v>1.0847724754613891E-3</c:v>
                </c:pt>
                <c:pt idx="4176">
                  <c:v>1.672034369099437E-3</c:v>
                </c:pt>
                <c:pt idx="4177">
                  <c:v>1.2725851225793537E-3</c:v>
                </c:pt>
                <c:pt idx="4178">
                  <c:v>1.0162841527710572E-3</c:v>
                </c:pt>
                <c:pt idx="4179">
                  <c:v>8.140931492113116E-4</c:v>
                </c:pt>
                <c:pt idx="4180">
                  <c:v>1.1800146400706665E-3</c:v>
                </c:pt>
                <c:pt idx="4181">
                  <c:v>1.1345821646907212E-3</c:v>
                </c:pt>
                <c:pt idx="4182">
                  <c:v>1.9254243014589982E-3</c:v>
                </c:pt>
                <c:pt idx="4183">
                  <c:v>2.1195306023154567E-3</c:v>
                </c:pt>
                <c:pt idx="4184">
                  <c:v>8.8553371854406039E-4</c:v>
                </c:pt>
                <c:pt idx="4185">
                  <c:v>1.1650724750854023E-3</c:v>
                </c:pt>
                <c:pt idx="4186">
                  <c:v>1.122129742383388E-3</c:v>
                </c:pt>
                <c:pt idx="4187">
                  <c:v>8.3572402931472831E-4</c:v>
                </c:pt>
                <c:pt idx="4188">
                  <c:v>2.0016154220366634E-3</c:v>
                </c:pt>
                <c:pt idx="4189">
                  <c:v>2.3606482877692393E-3</c:v>
                </c:pt>
                <c:pt idx="4190">
                  <c:v>5.5467198709783019E-4</c:v>
                </c:pt>
                <c:pt idx="4191">
                  <c:v>2.4225495402496028E-3</c:v>
                </c:pt>
                <c:pt idx="4192">
                  <c:v>1.0293577449597708E-3</c:v>
                </c:pt>
                <c:pt idx="4193">
                  <c:v>6.7770249998787464E-4</c:v>
                </c:pt>
                <c:pt idx="4194">
                  <c:v>9.7892688584905814E-4</c:v>
                </c:pt>
                <c:pt idx="4195">
                  <c:v>2.2855003095385291E-3</c:v>
                </c:pt>
                <c:pt idx="4196">
                  <c:v>1.5330306538456546E-3</c:v>
                </c:pt>
                <c:pt idx="4197">
                  <c:v>1.2519148424861505E-3</c:v>
                </c:pt>
                <c:pt idx="4198">
                  <c:v>7.5478328431706357E-4</c:v>
                </c:pt>
                <c:pt idx="4199">
                  <c:v>1.2702688871965677E-3</c:v>
                </c:pt>
                <c:pt idx="4200">
                  <c:v>9.6820503180567352E-4</c:v>
                </c:pt>
                <c:pt idx="4201">
                  <c:v>6.551639058583992E-4</c:v>
                </c:pt>
                <c:pt idx="4202">
                  <c:v>1.4935000945748194E-3</c:v>
                </c:pt>
                <c:pt idx="4203">
                  <c:v>2.593554025773609E-3</c:v>
                </c:pt>
                <c:pt idx="4204">
                  <c:v>1.165388631708471E-3</c:v>
                </c:pt>
                <c:pt idx="4205">
                  <c:v>1.7239248607926866E-3</c:v>
                </c:pt>
                <c:pt idx="4206">
                  <c:v>8.7409111824702937E-4</c:v>
                </c:pt>
                <c:pt idx="4207">
                  <c:v>1.5202868384017847E-3</c:v>
                </c:pt>
                <c:pt idx="4208">
                  <c:v>1.1845737584685104E-3</c:v>
                </c:pt>
                <c:pt idx="4209">
                  <c:v>1.3046640850371953E-3</c:v>
                </c:pt>
                <c:pt idx="4210">
                  <c:v>7.1313636479786678E-4</c:v>
                </c:pt>
                <c:pt idx="4211">
                  <c:v>7.9725917272638726E-4</c:v>
                </c:pt>
                <c:pt idx="4212">
                  <c:v>1.5941004505667328E-3</c:v>
                </c:pt>
                <c:pt idx="4213">
                  <c:v>1.1142721553492945E-3</c:v>
                </c:pt>
                <c:pt idx="4214">
                  <c:v>1.2702688871965677E-3</c:v>
                </c:pt>
                <c:pt idx="4215">
                  <c:v>8.4717096993996315E-4</c:v>
                </c:pt>
                <c:pt idx="4216">
                  <c:v>6.6139011701206582E-4</c:v>
                </c:pt>
                <c:pt idx="4217">
                  <c:v>1.8592439416684459E-3</c:v>
                </c:pt>
                <c:pt idx="4218">
                  <c:v>1.7557405619505252E-3</c:v>
                </c:pt>
                <c:pt idx="4219">
                  <c:v>1.6106350549950469E-3</c:v>
                </c:pt>
                <c:pt idx="4220">
                  <c:v>1.0287220627385283E-3</c:v>
                </c:pt>
                <c:pt idx="4221">
                  <c:v>1.7879656669281441E-3</c:v>
                </c:pt>
                <c:pt idx="4222">
                  <c:v>1.9464208101309865E-3</c:v>
                </c:pt>
                <c:pt idx="4223">
                  <c:v>8.7742948540639053E-4</c:v>
                </c:pt>
                <c:pt idx="4224">
                  <c:v>2.0936947603957439E-3</c:v>
                </c:pt>
                <c:pt idx="4225">
                  <c:v>2.2074865045693566E-3</c:v>
                </c:pt>
                <c:pt idx="4226">
                  <c:v>1.3989228303735001E-3</c:v>
                </c:pt>
                <c:pt idx="4227">
                  <c:v>1.8940180041209392E-3</c:v>
                </c:pt>
                <c:pt idx="4228">
                  <c:v>2.4357037314437567E-3</c:v>
                </c:pt>
                <c:pt idx="4229">
                  <c:v>1.2558478520669544E-3</c:v>
                </c:pt>
                <c:pt idx="4230">
                  <c:v>1.7304486696789285E-3</c:v>
                </c:pt>
                <c:pt idx="4231">
                  <c:v>6.2527518985282758E-4</c:v>
                </c:pt>
                <c:pt idx="4232">
                  <c:v>1.2532258456797517E-3</c:v>
                </c:pt>
                <c:pt idx="4233">
                  <c:v>1.030828002422489E-3</c:v>
                </c:pt>
                <c:pt idx="4234">
                  <c:v>1.001262315462178E-3</c:v>
                </c:pt>
                <c:pt idx="4235">
                  <c:v>1.2506038392925494E-3</c:v>
                </c:pt>
                <c:pt idx="4236">
                  <c:v>1.2270499410658702E-3</c:v>
                </c:pt>
                <c:pt idx="4237">
                  <c:v>1.8832277012892748E-3</c:v>
                </c:pt>
                <c:pt idx="4238">
                  <c:v>1.5436358875649341E-3</c:v>
                </c:pt>
                <c:pt idx="4239">
                  <c:v>1.6080860975201719E-3</c:v>
                </c:pt>
                <c:pt idx="4240">
                  <c:v>1.6072672898806109E-3</c:v>
                </c:pt>
                <c:pt idx="4241">
                  <c:v>1.2965772695848763E-3</c:v>
                </c:pt>
                <c:pt idx="4242">
                  <c:v>1.122129742383388E-3</c:v>
                </c:pt>
                <c:pt idx="4243">
                  <c:v>1.7058104203936213E-3</c:v>
                </c:pt>
                <c:pt idx="4244">
                  <c:v>1.6381605604282945E-3</c:v>
                </c:pt>
                <c:pt idx="4245">
                  <c:v>1.0972248977687219E-3</c:v>
                </c:pt>
                <c:pt idx="4246">
                  <c:v>1.2584698584541566E-3</c:v>
                </c:pt>
                <c:pt idx="4247">
                  <c:v>1.5895125672611603E-3</c:v>
                </c:pt>
                <c:pt idx="4248">
                  <c:v>1.472020206536595E-3</c:v>
                </c:pt>
                <c:pt idx="4249">
                  <c:v>1.0287220627385287E-3</c:v>
                </c:pt>
                <c:pt idx="4250">
                  <c:v>1.8087667305469227E-3</c:v>
                </c:pt>
                <c:pt idx="4251">
                  <c:v>1.2203593273592364E-3</c:v>
                </c:pt>
                <c:pt idx="4252">
                  <c:v>1.2453640425819017E-3</c:v>
                </c:pt>
                <c:pt idx="4253">
                  <c:v>1.122129742383388E-3</c:v>
                </c:pt>
                <c:pt idx="4254">
                  <c:v>8.7203920538960009E-4</c:v>
                </c:pt>
                <c:pt idx="4255">
                  <c:v>8.6685508508306097E-4</c:v>
                </c:pt>
                <c:pt idx="4256">
                  <c:v>1.6676491071828271E-3</c:v>
                </c:pt>
                <c:pt idx="4257">
                  <c:v>1.2112737434845132E-3</c:v>
                </c:pt>
                <c:pt idx="4258">
                  <c:v>9.3794651633924571E-4</c:v>
                </c:pt>
                <c:pt idx="4259">
                  <c:v>1.1283559535370546E-3</c:v>
                </c:pt>
                <c:pt idx="4260">
                  <c:v>7.1605073625211025E-4</c:v>
                </c:pt>
                <c:pt idx="4261">
                  <c:v>6.1518901803068484E-4</c:v>
                </c:pt>
                <c:pt idx="4262">
                  <c:v>2.4225495402496028E-3</c:v>
                </c:pt>
                <c:pt idx="4263">
                  <c:v>1.0394439167819135E-3</c:v>
                </c:pt>
                <c:pt idx="4264">
                  <c:v>7.7146546675372859E-4</c:v>
                </c:pt>
                <c:pt idx="4265">
                  <c:v>1.2348718009693349E-3</c:v>
                </c:pt>
                <c:pt idx="4266">
                  <c:v>5.4458581527568745E-4</c:v>
                </c:pt>
                <c:pt idx="4267">
                  <c:v>1.9148190677397178E-3</c:v>
                </c:pt>
                <c:pt idx="4268">
                  <c:v>1.5522359440397243E-3</c:v>
                </c:pt>
                <c:pt idx="4269">
                  <c:v>8.2214769628496563E-4</c:v>
                </c:pt>
                <c:pt idx="4270">
                  <c:v>1.0467660310382247E-3</c:v>
                </c:pt>
                <c:pt idx="4271">
                  <c:v>2.0542321868132806E-3</c:v>
                </c:pt>
                <c:pt idx="4272">
                  <c:v>1.2624028680349605E-3</c:v>
                </c:pt>
                <c:pt idx="4273">
                  <c:v>1.2152067530653168E-3</c:v>
                </c:pt>
                <c:pt idx="4274">
                  <c:v>8.9747083143609568E-4</c:v>
                </c:pt>
                <c:pt idx="4275">
                  <c:v>1.7875562631083637E-3</c:v>
                </c:pt>
                <c:pt idx="4276">
                  <c:v>9.4562278671894446E-4</c:v>
                </c:pt>
                <c:pt idx="4277">
                  <c:v>6.9052472175606375E-4</c:v>
                </c:pt>
                <c:pt idx="4278">
                  <c:v>1.7224861940377102E-3</c:v>
                </c:pt>
                <c:pt idx="4279">
                  <c:v>7.5478328431706357E-4</c:v>
                </c:pt>
                <c:pt idx="4280">
                  <c:v>2.283862694259408E-3</c:v>
                </c:pt>
                <c:pt idx="4281">
                  <c:v>7.9725917272638726E-4</c:v>
                </c:pt>
                <c:pt idx="4282">
                  <c:v>1.25038405953207E-3</c:v>
                </c:pt>
                <c:pt idx="4283">
                  <c:v>1.0351996443127196E-3</c:v>
                </c:pt>
                <c:pt idx="4284">
                  <c:v>1.3359787744770379E-3</c:v>
                </c:pt>
                <c:pt idx="4285">
                  <c:v>2.3699327754729848E-3</c:v>
                </c:pt>
                <c:pt idx="4286">
                  <c:v>6.656198771413976E-4</c:v>
                </c:pt>
                <c:pt idx="4287">
                  <c:v>1.6030566766312298E-3</c:v>
                </c:pt>
                <c:pt idx="4288">
                  <c:v>1.1497561246042386E-3</c:v>
                </c:pt>
                <c:pt idx="4289">
                  <c:v>1.958785083339765E-3</c:v>
                </c:pt>
                <c:pt idx="4290">
                  <c:v>8.4717096993996294E-4</c:v>
                </c:pt>
                <c:pt idx="4291">
                  <c:v>1.2879080512231264E-3</c:v>
                </c:pt>
                <c:pt idx="4292">
                  <c:v>9.3794651633924604E-4</c:v>
                </c:pt>
                <c:pt idx="4293">
                  <c:v>1.9845723805198478E-3</c:v>
                </c:pt>
                <c:pt idx="4294">
                  <c:v>1.109677320076055E-3</c:v>
                </c:pt>
                <c:pt idx="4295">
                  <c:v>8.456772597566773E-4</c:v>
                </c:pt>
                <c:pt idx="4296">
                  <c:v>1.0660938420003895E-3</c:v>
                </c:pt>
                <c:pt idx="4297">
                  <c:v>1.1837426764188881E-3</c:v>
                </c:pt>
                <c:pt idx="4298">
                  <c:v>1.2755128999709724E-3</c:v>
                </c:pt>
                <c:pt idx="4299">
                  <c:v>1.6711230269036838E-3</c:v>
                </c:pt>
                <c:pt idx="4300">
                  <c:v>1.5064055716591863E-3</c:v>
                </c:pt>
                <c:pt idx="4301">
                  <c:v>2.2785113855780452E-3</c:v>
                </c:pt>
                <c:pt idx="4302">
                  <c:v>9.5762763631229708E-4</c:v>
                </c:pt>
                <c:pt idx="4303">
                  <c:v>8.8422693141421615E-4</c:v>
                </c:pt>
                <c:pt idx="4304">
                  <c:v>1.241426816937341E-3</c:v>
                </c:pt>
                <c:pt idx="4305">
                  <c:v>2.5277830698028371E-3</c:v>
                </c:pt>
                <c:pt idx="4306">
                  <c:v>9.7664633246746595E-4</c:v>
                </c:pt>
                <c:pt idx="4307">
                  <c:v>1.6178725235998907E-3</c:v>
                </c:pt>
                <c:pt idx="4308">
                  <c:v>1.4981640568369683E-3</c:v>
                </c:pt>
                <c:pt idx="4309">
                  <c:v>1.6815039259155684E-3</c:v>
                </c:pt>
                <c:pt idx="4310">
                  <c:v>2.5540914521911462E-3</c:v>
                </c:pt>
                <c:pt idx="4311">
                  <c:v>1.9936516803484511E-3</c:v>
                </c:pt>
                <c:pt idx="4312">
                  <c:v>1.7006394565315442E-3</c:v>
                </c:pt>
                <c:pt idx="4313">
                  <c:v>1.9584933959674949E-3</c:v>
                </c:pt>
                <c:pt idx="4314">
                  <c:v>1.2597808616477582E-3</c:v>
                </c:pt>
                <c:pt idx="4315">
                  <c:v>1.2506038392925494E-3</c:v>
                </c:pt>
                <c:pt idx="4316">
                  <c:v>1.6180678439304927E-3</c:v>
                </c:pt>
                <c:pt idx="4317">
                  <c:v>7.1873702058866565E-4</c:v>
                </c:pt>
                <c:pt idx="4318">
                  <c:v>1.0993252654935262E-3</c:v>
                </c:pt>
                <c:pt idx="4319">
                  <c:v>1.7408562209210564E-3</c:v>
                </c:pt>
                <c:pt idx="4320">
                  <c:v>8.6734331358424811E-4</c:v>
                </c:pt>
                <c:pt idx="4321">
                  <c:v>1.7740611621552367E-3</c:v>
                </c:pt>
                <c:pt idx="4322">
                  <c:v>1.1042040337539906E-3</c:v>
                </c:pt>
                <c:pt idx="4323">
                  <c:v>8.7930750739039388E-4</c:v>
                </c:pt>
                <c:pt idx="4324">
                  <c:v>1.2773809296162816E-3</c:v>
                </c:pt>
                <c:pt idx="4325">
                  <c:v>1.0972248977687219E-3</c:v>
                </c:pt>
                <c:pt idx="4326">
                  <c:v>8.1081918470006216E-4</c:v>
                </c:pt>
                <c:pt idx="4327">
                  <c:v>1.9811068928788076E-3</c:v>
                </c:pt>
                <c:pt idx="4328">
                  <c:v>9.3534340777339268E-4</c:v>
                </c:pt>
                <c:pt idx="4329">
                  <c:v>9.2911719661972606E-4</c:v>
                </c:pt>
                <c:pt idx="4330">
                  <c:v>1.8830033665818793E-3</c:v>
                </c:pt>
                <c:pt idx="4331">
                  <c:v>1.6509629576933089E-3</c:v>
                </c:pt>
                <c:pt idx="4332">
                  <c:v>1.6849133634189882E-3</c:v>
                </c:pt>
                <c:pt idx="4333">
                  <c:v>6.1518901803068505E-4</c:v>
                </c:pt>
                <c:pt idx="4334">
                  <c:v>2.0526871060903527E-3</c:v>
                </c:pt>
                <c:pt idx="4335">
                  <c:v>1.5107775524564235E-3</c:v>
                </c:pt>
                <c:pt idx="4336">
                  <c:v>8.1081918470006227E-4</c:v>
                </c:pt>
                <c:pt idx="4337">
                  <c:v>9.5795926687895273E-4</c:v>
                </c:pt>
                <c:pt idx="4338">
                  <c:v>1.9503538197117899E-3</c:v>
                </c:pt>
                <c:pt idx="4339">
                  <c:v>1.0873146401310942E-3</c:v>
                </c:pt>
                <c:pt idx="4340">
                  <c:v>6.8268556893755303E-4</c:v>
                </c:pt>
                <c:pt idx="4341">
                  <c:v>1.0411889973857235E-3</c:v>
                </c:pt>
                <c:pt idx="4342">
                  <c:v>1.4373504447733154E-3</c:v>
                </c:pt>
                <c:pt idx="4343">
                  <c:v>1.0690667500270984E-3</c:v>
                </c:pt>
                <c:pt idx="4344">
                  <c:v>1.3191334954648585E-3</c:v>
                </c:pt>
                <c:pt idx="4345">
                  <c:v>8.5833567235653156E-4</c:v>
                </c:pt>
                <c:pt idx="4346">
                  <c:v>2.1870948447703584E-3</c:v>
                </c:pt>
                <c:pt idx="4347">
                  <c:v>2.1331573339782072E-3</c:v>
                </c:pt>
                <c:pt idx="4348">
                  <c:v>2.4238702862651364E-3</c:v>
                </c:pt>
                <c:pt idx="4349">
                  <c:v>1.6124684541389902E-3</c:v>
                </c:pt>
                <c:pt idx="4350">
                  <c:v>1.6749927303940921E-3</c:v>
                </c:pt>
                <c:pt idx="4351">
                  <c:v>8.6685508508306086E-4</c:v>
                </c:pt>
                <c:pt idx="4352">
                  <c:v>1.0841190818964667E-3</c:v>
                </c:pt>
                <c:pt idx="4353">
                  <c:v>2.2134818028530187E-3</c:v>
                </c:pt>
                <c:pt idx="4354">
                  <c:v>1.2374938073565376E-3</c:v>
                </c:pt>
                <c:pt idx="4355">
                  <c:v>1.7345300945119659E-3</c:v>
                </c:pt>
                <c:pt idx="4356">
                  <c:v>8.3547265889420382E-4</c:v>
                </c:pt>
                <c:pt idx="4357">
                  <c:v>2.1634428852054617E-3</c:v>
                </c:pt>
                <c:pt idx="4358">
                  <c:v>1.2755128999709724E-3</c:v>
                </c:pt>
                <c:pt idx="4359">
                  <c:v>8.4817645162206144E-4</c:v>
                </c:pt>
                <c:pt idx="4360">
                  <c:v>1.7266887489646361E-3</c:v>
                </c:pt>
                <c:pt idx="4361">
                  <c:v>8.4817645162206133E-4</c:v>
                </c:pt>
                <c:pt idx="4362">
                  <c:v>1.0186358909163862E-3</c:v>
                </c:pt>
                <c:pt idx="4363">
                  <c:v>1.0287365750783904E-3</c:v>
                </c:pt>
                <c:pt idx="4364">
                  <c:v>1.1571980237962815E-3</c:v>
                </c:pt>
                <c:pt idx="4365">
                  <c:v>2.0617012460067488E-3</c:v>
                </c:pt>
                <c:pt idx="4366">
                  <c:v>1.9884612308425096E-3</c:v>
                </c:pt>
                <c:pt idx="4367">
                  <c:v>7.6648159536282291E-4</c:v>
                </c:pt>
                <c:pt idx="4368">
                  <c:v>2.1594657163665158E-3</c:v>
                </c:pt>
                <c:pt idx="4369">
                  <c:v>8.2739170905937048E-4</c:v>
                </c:pt>
                <c:pt idx="4370">
                  <c:v>1.2152950715816015E-3</c:v>
                </c:pt>
                <c:pt idx="4371">
                  <c:v>1.1775248973927351E-3</c:v>
                </c:pt>
                <c:pt idx="4372">
                  <c:v>9.9560906828572316E-4</c:v>
                </c:pt>
                <c:pt idx="4373">
                  <c:v>1.6921091596348479E-3</c:v>
                </c:pt>
                <c:pt idx="4374">
                  <c:v>6.0510284620854231E-4</c:v>
                </c:pt>
                <c:pt idx="4375">
                  <c:v>1.2742018967773713E-3</c:v>
                </c:pt>
                <c:pt idx="4376">
                  <c:v>2.3041618195022134E-3</c:v>
                </c:pt>
                <c:pt idx="4377">
                  <c:v>5.7484433074211504E-4</c:v>
                </c:pt>
                <c:pt idx="4378">
                  <c:v>1.0411889973857235E-3</c:v>
                </c:pt>
                <c:pt idx="4379">
                  <c:v>1.4505403631457955E-3</c:v>
                </c:pt>
                <c:pt idx="4380">
                  <c:v>1.4478599793009276E-3</c:v>
                </c:pt>
                <c:pt idx="4381">
                  <c:v>1.2506038392925494E-3</c:v>
                </c:pt>
                <c:pt idx="4382">
                  <c:v>1.2414268169373412E-3</c:v>
                </c:pt>
                <c:pt idx="4383">
                  <c:v>9.7728233187988219E-4</c:v>
                </c:pt>
                <c:pt idx="4384">
                  <c:v>1.2715798903901688E-3</c:v>
                </c:pt>
                <c:pt idx="4385">
                  <c:v>1.2361828041629363E-3</c:v>
                </c:pt>
                <c:pt idx="4386">
                  <c:v>8.3708479811782084E-4</c:v>
                </c:pt>
                <c:pt idx="4387">
                  <c:v>1.4558268856246144E-3</c:v>
                </c:pt>
                <c:pt idx="4388">
                  <c:v>1.2532258456797521E-3</c:v>
                </c:pt>
                <c:pt idx="4389">
                  <c:v>2.0026192987886095E-3</c:v>
                </c:pt>
                <c:pt idx="4390">
                  <c:v>2.5146288786086829E-3</c:v>
                </c:pt>
                <c:pt idx="4391">
                  <c:v>9.1641340389186845E-4</c:v>
                </c:pt>
                <c:pt idx="4392">
                  <c:v>1.6873484467765983E-3</c:v>
                </c:pt>
                <c:pt idx="4393">
                  <c:v>1.6321195431811678E-3</c:v>
                </c:pt>
                <c:pt idx="4394">
                  <c:v>1.2152067530653171E-3</c:v>
                </c:pt>
                <c:pt idx="4395">
                  <c:v>2.1799499107217069E-3</c:v>
                </c:pt>
                <c:pt idx="4396">
                  <c:v>1.2256947786141266E-3</c:v>
                </c:pt>
                <c:pt idx="4397">
                  <c:v>8.917599296977269E-4</c:v>
                </c:pt>
                <c:pt idx="4398">
                  <c:v>1.0723200531540561E-3</c:v>
                </c:pt>
                <c:pt idx="4399">
                  <c:v>1.7332875853791718E-3</c:v>
                </c:pt>
                <c:pt idx="4400">
                  <c:v>1.2204507658397218E-3</c:v>
                </c:pt>
                <c:pt idx="4401">
                  <c:v>1.1824316732252866E-3</c:v>
                </c:pt>
                <c:pt idx="4402">
                  <c:v>9.1043856315872643E-4</c:v>
                </c:pt>
                <c:pt idx="4403">
                  <c:v>1.6708986921962891E-3</c:v>
                </c:pt>
                <c:pt idx="4404">
                  <c:v>2.1489776908177063E-3</c:v>
                </c:pt>
                <c:pt idx="4405">
                  <c:v>7.7346191777806321E-4</c:v>
                </c:pt>
                <c:pt idx="4406">
                  <c:v>1.4269848153653877E-3</c:v>
                </c:pt>
                <c:pt idx="4407">
                  <c:v>1.8543856310300482E-3</c:v>
                </c:pt>
                <c:pt idx="4408">
                  <c:v>1.397042241951015E-3</c:v>
                </c:pt>
                <c:pt idx="4409">
                  <c:v>1.5542411212842138E-3</c:v>
                </c:pt>
                <c:pt idx="4410">
                  <c:v>1.8426586792933096E-3</c:v>
                </c:pt>
                <c:pt idx="4411">
                  <c:v>8.1679402543320451E-4</c:v>
                </c:pt>
                <c:pt idx="4412">
                  <c:v>1.2965772695848763E-3</c:v>
                </c:pt>
                <c:pt idx="4413">
                  <c:v>1.0246252439893896E-3</c:v>
                </c:pt>
                <c:pt idx="4414">
                  <c:v>1.2702688871965675E-3</c:v>
                </c:pt>
                <c:pt idx="4415">
                  <c:v>1.2755128999709724E-3</c:v>
                </c:pt>
                <c:pt idx="4416">
                  <c:v>2.3830869666671395E-3</c:v>
                </c:pt>
                <c:pt idx="4417">
                  <c:v>2.1331573339782072E-3</c:v>
                </c:pt>
                <c:pt idx="4418">
                  <c:v>2.0410779956191267E-3</c:v>
                </c:pt>
                <c:pt idx="4419">
                  <c:v>2.4875016885808135E-3</c:v>
                </c:pt>
                <c:pt idx="4420">
                  <c:v>1.438615604256995E-3</c:v>
                </c:pt>
                <c:pt idx="4421">
                  <c:v>2.2646992459197505E-3</c:v>
                </c:pt>
                <c:pt idx="4422">
                  <c:v>8.6685508508306086E-4</c:v>
                </c:pt>
                <c:pt idx="4423">
                  <c:v>9.8777510338992724E-4</c:v>
                </c:pt>
                <c:pt idx="4424">
                  <c:v>2.1188246173648785E-3</c:v>
                </c:pt>
                <c:pt idx="4425">
                  <c:v>1.228316785001329E-3</c:v>
                </c:pt>
                <c:pt idx="4426">
                  <c:v>1.8087667305469227E-3</c:v>
                </c:pt>
                <c:pt idx="4427">
                  <c:v>8.3933261956267951E-4</c:v>
                </c:pt>
                <c:pt idx="4428">
                  <c:v>2.0543205053295656E-3</c:v>
                </c:pt>
                <c:pt idx="4429">
                  <c:v>2.4883204962203747E-3</c:v>
                </c:pt>
                <c:pt idx="4430">
                  <c:v>8.1081918470006216E-4</c:v>
                </c:pt>
                <c:pt idx="4431">
                  <c:v>1.7083635939084047E-3</c:v>
                </c:pt>
                <c:pt idx="4432">
                  <c:v>8.1081918470006216E-4</c:v>
                </c:pt>
                <c:pt idx="4433">
                  <c:v>8.0459297354639576E-4</c:v>
                </c:pt>
                <c:pt idx="4434">
                  <c:v>9.8515309700272476E-4</c:v>
                </c:pt>
                <c:pt idx="4435">
                  <c:v>1.4531607199792693E-3</c:v>
                </c:pt>
                <c:pt idx="4436">
                  <c:v>2.0692384603540163E-3</c:v>
                </c:pt>
                <c:pt idx="4437">
                  <c:v>1.1345821646907212E-3</c:v>
                </c:pt>
                <c:pt idx="4438">
                  <c:v>1.9784504700553953E-3</c:v>
                </c:pt>
                <c:pt idx="4439">
                  <c:v>1.5138964339956437E-3</c:v>
                </c:pt>
                <c:pt idx="4440">
                  <c:v>9.1437157273953004E-4</c:v>
                </c:pt>
                <c:pt idx="4441">
                  <c:v>1.168760782304394E-3</c:v>
                </c:pt>
                <c:pt idx="4442">
                  <c:v>1.4715147646896865E-3</c:v>
                </c:pt>
                <c:pt idx="4443">
                  <c:v>1.1549913664156686E-3</c:v>
                </c:pt>
                <c:pt idx="4444">
                  <c:v>1.7027143933541272E-3</c:v>
                </c:pt>
                <c:pt idx="4445">
                  <c:v>6.0510284620854231E-4</c:v>
                </c:pt>
                <c:pt idx="4446">
                  <c:v>1.2650248744221632E-3</c:v>
                </c:pt>
                <c:pt idx="4447">
                  <c:v>2.2252366723372876E-3</c:v>
                </c:pt>
                <c:pt idx="4448">
                  <c:v>6.353613616749699E-4</c:v>
                </c:pt>
                <c:pt idx="4449">
                  <c:v>1.2479818329053469E-3</c:v>
                </c:pt>
                <c:pt idx="4450">
                  <c:v>1.4453693992837182E-3</c:v>
                </c:pt>
                <c:pt idx="4451">
                  <c:v>1.1601446189340662E-3</c:v>
                </c:pt>
                <c:pt idx="4452">
                  <c:v>5.5467198709782998E-4</c:v>
                </c:pt>
                <c:pt idx="4453">
                  <c:v>7.708442968723478E-4</c:v>
                </c:pt>
                <c:pt idx="4454">
                  <c:v>1.2309387913885315E-3</c:v>
                </c:pt>
                <c:pt idx="4455">
                  <c:v>5.7946717363513932E-4</c:v>
                </c:pt>
                <c:pt idx="4456">
                  <c:v>1.2624028680349605E-3</c:v>
                </c:pt>
                <c:pt idx="4457">
                  <c:v>1.2270057818077277E-3</c:v>
                </c:pt>
                <c:pt idx="4458">
                  <c:v>9.1043856315872643E-4</c:v>
                </c:pt>
                <c:pt idx="4459">
                  <c:v>1.4558268856246144E-3</c:v>
                </c:pt>
                <c:pt idx="4460">
                  <c:v>1.2519148424861507E-3</c:v>
                </c:pt>
                <c:pt idx="4461">
                  <c:v>1.2387504895355712E-3</c:v>
                </c:pt>
                <c:pt idx="4462">
                  <c:v>2.4357037314437571E-3</c:v>
                </c:pt>
                <c:pt idx="4463">
                  <c:v>1.0739682932895105E-3</c:v>
                </c:pt>
                <c:pt idx="4464">
                  <c:v>1.673585021275664E-3</c:v>
                </c:pt>
                <c:pt idx="4465">
                  <c:v>1.6084773264382038E-3</c:v>
                </c:pt>
                <c:pt idx="4466">
                  <c:v>1.2060297307101087E-3</c:v>
                </c:pt>
                <c:pt idx="4467">
                  <c:v>2.1778103570666125E-3</c:v>
                </c:pt>
                <c:pt idx="4468">
                  <c:v>1.2128684650227787E-3</c:v>
                </c:pt>
                <c:pt idx="4469">
                  <c:v>1.8830033665818799E-3</c:v>
                </c:pt>
                <c:pt idx="4470">
                  <c:v>9.3633825434392482E-4</c:v>
                </c:pt>
                <c:pt idx="4471">
                  <c:v>1.2755128999709724E-3</c:v>
                </c:pt>
                <c:pt idx="4472">
                  <c:v>1.694731843764518E-3</c:v>
                </c:pt>
                <c:pt idx="4473">
                  <c:v>9.0421235200505992E-4</c:v>
                </c:pt>
                <c:pt idx="4474">
                  <c:v>7.4734737551281169E-4</c:v>
                </c:pt>
                <c:pt idx="4475">
                  <c:v>1.0484031827115796E-3</c:v>
                </c:pt>
                <c:pt idx="4476">
                  <c:v>1.2418368984518922E-3</c:v>
                </c:pt>
                <c:pt idx="4477">
                  <c:v>1.1909922500160631E-3</c:v>
                </c:pt>
                <c:pt idx="4478">
                  <c:v>1.7122232157652682E-3</c:v>
                </c:pt>
                <c:pt idx="4479">
                  <c:v>1.6284777573191704E-3</c:v>
                </c:pt>
                <c:pt idx="4480">
                  <c:v>5.3449964345354492E-4</c:v>
                </c:pt>
                <c:pt idx="4481">
                  <c:v>1.2388048105501388E-3</c:v>
                </c:pt>
                <c:pt idx="4482">
                  <c:v>1.2676468808093654E-3</c:v>
                </c:pt>
                <c:pt idx="4483">
                  <c:v>1.7385315981535768E-3</c:v>
                </c:pt>
                <c:pt idx="4484">
                  <c:v>1.5648463550034933E-3</c:v>
                </c:pt>
                <c:pt idx="4485">
                  <c:v>1.1054971561384834E-3</c:v>
                </c:pt>
                <c:pt idx="4486">
                  <c:v>1.2338549366847991E-3</c:v>
                </c:pt>
                <c:pt idx="4487">
                  <c:v>1.9159547446428666E-3</c:v>
                </c:pt>
                <c:pt idx="4488">
                  <c:v>1.1912925389574265E-3</c:v>
                </c:pt>
                <c:pt idx="4489">
                  <c:v>1.355929903425826E-3</c:v>
                </c:pt>
                <c:pt idx="4490">
                  <c:v>1.3070117765364973E-3</c:v>
                </c:pt>
                <c:pt idx="4491">
                  <c:v>1.5542411212842138E-3</c:v>
                </c:pt>
                <c:pt idx="4492">
                  <c:v>1.2742018967773715E-3</c:v>
                </c:pt>
                <c:pt idx="4493">
                  <c:v>5.2441347163140238E-4</c:v>
                </c:pt>
                <c:pt idx="4494">
                  <c:v>1.1981637115485012E-3</c:v>
                </c:pt>
                <c:pt idx="4495">
                  <c:v>1.0847724754613889E-3</c:v>
                </c:pt>
                <c:pt idx="4496">
                  <c:v>8.6195303356745756E-4</c:v>
                </c:pt>
                <c:pt idx="4497">
                  <c:v>7.0596456442996783E-4</c:v>
                </c:pt>
                <c:pt idx="4498">
                  <c:v>8.0048164245739525E-4</c:v>
                </c:pt>
                <c:pt idx="4499">
                  <c:v>7.9214055123906274E-4</c:v>
                </c:pt>
                <c:pt idx="4500">
                  <c:v>1.6815039259155679E-3</c:v>
                </c:pt>
                <c:pt idx="4501">
                  <c:v>1.4003445082462361E-3</c:v>
                </c:pt>
                <c:pt idx="4502">
                  <c:v>2.3041618195022134E-3</c:v>
                </c:pt>
                <c:pt idx="4503">
                  <c:v>2.3187153324062538E-3</c:v>
                </c:pt>
                <c:pt idx="4504">
                  <c:v>1.109677320076055E-3</c:v>
                </c:pt>
                <c:pt idx="4505">
                  <c:v>1.2165619155170605E-3</c:v>
                </c:pt>
                <c:pt idx="4506">
                  <c:v>1.8909671082700918E-3</c:v>
                </c:pt>
                <c:pt idx="4507">
                  <c:v>1.2909625301142341E-3</c:v>
                </c:pt>
                <c:pt idx="4508">
                  <c:v>1.2584698584541568E-3</c:v>
                </c:pt>
                <c:pt idx="4509">
                  <c:v>1.7321090599599978E-3</c:v>
                </c:pt>
                <c:pt idx="4510">
                  <c:v>7.1742601739506451E-4</c:v>
                </c:pt>
                <c:pt idx="4511">
                  <c:v>8.6951791669904934E-4</c:v>
                </c:pt>
                <c:pt idx="4512">
                  <c:v>1.0598676308467231E-3</c:v>
                </c:pt>
                <c:pt idx="4513">
                  <c:v>9.4583143332220218E-4</c:v>
                </c:pt>
                <c:pt idx="4514">
                  <c:v>1.325200870801891E-3</c:v>
                </c:pt>
                <c:pt idx="4515">
                  <c:v>2.4620121138320657E-3</c:v>
                </c:pt>
                <c:pt idx="4516">
                  <c:v>2.0845028072481913E-3</c:v>
                </c:pt>
                <c:pt idx="4517">
                  <c:v>1.5861902721469832E-3</c:v>
                </c:pt>
                <c:pt idx="4518">
                  <c:v>1.9884612308425096E-3</c:v>
                </c:pt>
                <c:pt idx="4519">
                  <c:v>1.0579158822794702E-3</c:v>
                </c:pt>
                <c:pt idx="4520">
                  <c:v>1.616343345599811E-3</c:v>
                </c:pt>
                <c:pt idx="4521">
                  <c:v>1.1784986636444832E-3</c:v>
                </c:pt>
                <c:pt idx="4522">
                  <c:v>1.1470345869980542E-3</c:v>
                </c:pt>
                <c:pt idx="4523">
                  <c:v>1.1408083758443876E-3</c:v>
                </c:pt>
                <c:pt idx="4524">
                  <c:v>1.815911664595574E-3</c:v>
                </c:pt>
                <c:pt idx="4525">
                  <c:v>8.8925601351539491E-4</c:v>
                </c:pt>
                <c:pt idx="4526">
                  <c:v>1.0785462643077225E-3</c:v>
                </c:pt>
                <c:pt idx="4527">
                  <c:v>1.5576088863986492E-3</c:v>
                </c:pt>
                <c:pt idx="4528">
                  <c:v>2.1163185084060294E-3</c:v>
                </c:pt>
                <c:pt idx="4529">
                  <c:v>1.3607447325008515E-3</c:v>
                </c:pt>
                <c:pt idx="4530">
                  <c:v>2.3041618195022134E-3</c:v>
                </c:pt>
                <c:pt idx="4531">
                  <c:v>1.7498068853054791E-3</c:v>
                </c:pt>
                <c:pt idx="4532">
                  <c:v>8.6734331358424789E-4</c:v>
                </c:pt>
                <c:pt idx="4533">
                  <c:v>1.4082472612716318E-3</c:v>
                </c:pt>
                <c:pt idx="4534">
                  <c:v>9.278603445171034E-4</c:v>
                </c:pt>
                <c:pt idx="4535">
                  <c:v>2.0147696132308181E-3</c:v>
                </c:pt>
                <c:pt idx="4536">
                  <c:v>2.3789003939131432E-3</c:v>
                </c:pt>
                <c:pt idx="4537">
                  <c:v>2.1802667799852944E-3</c:v>
                </c:pt>
                <c:pt idx="4538">
                  <c:v>2.3793097977329236E-3</c:v>
                </c:pt>
                <c:pt idx="4539">
                  <c:v>1.6809094529834025E-3</c:v>
                </c:pt>
                <c:pt idx="4540">
                  <c:v>1.0038317304637244E-3</c:v>
                </c:pt>
                <c:pt idx="4541">
                  <c:v>1.3595605556247423E-3</c:v>
                </c:pt>
                <c:pt idx="4542">
                  <c:v>6.7600579470596394E-4</c:v>
                </c:pt>
                <c:pt idx="4543">
                  <c:v>1.2610918648413591E-3</c:v>
                </c:pt>
                <c:pt idx="4544">
                  <c:v>1.1497561246042386E-3</c:v>
                </c:pt>
                <c:pt idx="4545">
                  <c:v>1.27289089358377E-3</c:v>
                </c:pt>
                <c:pt idx="4546">
                  <c:v>1.9148190677397178E-3</c:v>
                </c:pt>
                <c:pt idx="4547">
                  <c:v>7.0497359508773139E-4</c:v>
                </c:pt>
                <c:pt idx="4548">
                  <c:v>1.2537322142084865E-3</c:v>
                </c:pt>
                <c:pt idx="4549">
                  <c:v>1.1706867955738544E-3</c:v>
                </c:pt>
                <c:pt idx="4550">
                  <c:v>1.7027143933541272E-3</c:v>
                </c:pt>
                <c:pt idx="4551">
                  <c:v>1.6708986921962887E-3</c:v>
                </c:pt>
                <c:pt idx="4552">
                  <c:v>8.1282862275112869E-4</c:v>
                </c:pt>
                <c:pt idx="4553">
                  <c:v>1.138811924820053E-3</c:v>
                </c:pt>
                <c:pt idx="4554">
                  <c:v>1.3362164801999086E-3</c:v>
                </c:pt>
                <c:pt idx="4555">
                  <c:v>6.745001489480778E-4</c:v>
                </c:pt>
                <c:pt idx="4556">
                  <c:v>2.1905551444409864E-3</c:v>
                </c:pt>
                <c:pt idx="4557">
                  <c:v>1.5690992737369027E-3</c:v>
                </c:pt>
                <c:pt idx="4558">
                  <c:v>8.4902115372191209E-4</c:v>
                </c:pt>
                <c:pt idx="4559">
                  <c:v>6.1132905736220882E-4</c:v>
                </c:pt>
                <c:pt idx="4560">
                  <c:v>1.7540104121152112E-3</c:v>
                </c:pt>
                <c:pt idx="4561">
                  <c:v>5.9501667438639999E-4</c:v>
                </c:pt>
                <c:pt idx="4562">
                  <c:v>1.1889866891932927E-3</c:v>
                </c:pt>
                <c:pt idx="4563">
                  <c:v>1.0411889973857235E-3</c:v>
                </c:pt>
                <c:pt idx="4564">
                  <c:v>1.2742018967773711E-3</c:v>
                </c:pt>
                <c:pt idx="4565">
                  <c:v>7.7656776718496544E-4</c:v>
                </c:pt>
                <c:pt idx="4566">
                  <c:v>1.2545368488733532E-3</c:v>
                </c:pt>
                <c:pt idx="4567">
                  <c:v>1.9621970077123431E-3</c:v>
                </c:pt>
                <c:pt idx="4568">
                  <c:v>7.9674011082925028E-4</c:v>
                </c:pt>
                <c:pt idx="4569">
                  <c:v>2.1857740987548243E-3</c:v>
                </c:pt>
                <c:pt idx="4570">
                  <c:v>1.6977580213775128E-3</c:v>
                </c:pt>
                <c:pt idx="4571">
                  <c:v>1.3913856160262324E-3</c:v>
                </c:pt>
                <c:pt idx="4572">
                  <c:v>1.9071721953150937E-3</c:v>
                </c:pt>
                <c:pt idx="4573">
                  <c:v>2.5277830698028371E-3</c:v>
                </c:pt>
                <c:pt idx="4574">
                  <c:v>1.2650248744221629E-3</c:v>
                </c:pt>
                <c:pt idx="4575">
                  <c:v>1.7304486696789285E-3</c:v>
                </c:pt>
                <c:pt idx="4576">
                  <c:v>6.2527518985282758E-4</c:v>
                </c:pt>
                <c:pt idx="4577">
                  <c:v>1.2545368488733534E-3</c:v>
                </c:pt>
                <c:pt idx="4578">
                  <c:v>9.1536237266403621E-4</c:v>
                </c:pt>
                <c:pt idx="4579">
                  <c:v>9.7234841716048524E-4</c:v>
                </c:pt>
                <c:pt idx="4580">
                  <c:v>1.2506038392925494E-3</c:v>
                </c:pt>
                <c:pt idx="4581">
                  <c:v>1.2428261386472268E-3</c:v>
                </c:pt>
                <c:pt idx="4582">
                  <c:v>1.6621824006198926E-3</c:v>
                </c:pt>
                <c:pt idx="4583">
                  <c:v>1.6212402887143265E-3</c:v>
                </c:pt>
                <c:pt idx="4584">
                  <c:v>1.5966620561613321E-3</c:v>
                </c:pt>
                <c:pt idx="4585">
                  <c:v>1.312353467166233E-3</c:v>
                </c:pt>
                <c:pt idx="4586">
                  <c:v>1.6924703575743082E-3</c:v>
                </c:pt>
                <c:pt idx="4587">
                  <c:v>1.5059099625303136E-3</c:v>
                </c:pt>
                <c:pt idx="4588">
                  <c:v>1.5017561566587987E-3</c:v>
                </c:pt>
                <c:pt idx="4589">
                  <c:v>1.1034511089223886E-3</c:v>
                </c:pt>
                <c:pt idx="4590">
                  <c:v>1.1034511089223886E-3</c:v>
                </c:pt>
                <c:pt idx="4591">
                  <c:v>1.7191438151065246E-3</c:v>
                </c:pt>
                <c:pt idx="4592">
                  <c:v>9.9463547145170581E-4</c:v>
                </c:pt>
                <c:pt idx="4593">
                  <c:v>1.0349627862320568E-3</c:v>
                </c:pt>
                <c:pt idx="4594">
                  <c:v>6.9587839260782519E-4</c:v>
                </c:pt>
                <c:pt idx="4595">
                  <c:v>1.1942307019676976E-3</c:v>
                </c:pt>
                <c:pt idx="4596">
                  <c:v>2.3699327754729848E-3</c:v>
                </c:pt>
                <c:pt idx="4597">
                  <c:v>1.4422551074463718E-3</c:v>
                </c:pt>
                <c:pt idx="4598">
                  <c:v>1.1472002947787191E-3</c:v>
                </c:pt>
                <c:pt idx="4599">
                  <c:v>8.6685508508306086E-4</c:v>
                </c:pt>
                <c:pt idx="4600">
                  <c:v>1.2063627515882048E-3</c:v>
                </c:pt>
                <c:pt idx="4601">
                  <c:v>1.1408083758443876E-3</c:v>
                </c:pt>
                <c:pt idx="4602">
                  <c:v>9.9846354727210112E-4</c:v>
                </c:pt>
                <c:pt idx="4603">
                  <c:v>2.0738975735289113E-3</c:v>
                </c:pt>
                <c:pt idx="4604">
                  <c:v>2.3763514364382684E-3</c:v>
                </c:pt>
                <c:pt idx="4605">
                  <c:v>5.4458581527568766E-4</c:v>
                </c:pt>
                <c:pt idx="4606">
                  <c:v>2.4357037314437571E-3</c:v>
                </c:pt>
                <c:pt idx="4607">
                  <c:v>1.0154116124691524E-3</c:v>
                </c:pt>
                <c:pt idx="4608">
                  <c:v>7.5751933426311015E-4</c:v>
                </c:pt>
                <c:pt idx="4609">
                  <c:v>9.8515309700272476E-4</c:v>
                </c:pt>
                <c:pt idx="4610">
                  <c:v>2.3012034582075586E-3</c:v>
                </c:pt>
                <c:pt idx="4611">
                  <c:v>1.7779941717360401E-3</c:v>
                </c:pt>
                <c:pt idx="4612">
                  <c:v>9.2846801911856069E-4</c:v>
                </c:pt>
                <c:pt idx="4613">
                  <c:v>1.825698090675293E-3</c:v>
                </c:pt>
                <c:pt idx="4614">
                  <c:v>9.5811885998353078E-4</c:v>
                </c:pt>
                <c:pt idx="4615">
                  <c:v>6.6139011701206582E-4</c:v>
                </c:pt>
                <c:pt idx="4616">
                  <c:v>1.4622034553141178E-3</c:v>
                </c:pt>
                <c:pt idx="4617">
                  <c:v>2.5277830698028371E-3</c:v>
                </c:pt>
                <c:pt idx="4618">
                  <c:v>1.1666996349020725E-3</c:v>
                </c:pt>
                <c:pt idx="4619">
                  <c:v>1.7133196270734071E-3</c:v>
                </c:pt>
                <c:pt idx="4620">
                  <c:v>8.4279447898632782E-4</c:v>
                </c:pt>
                <c:pt idx="4621">
                  <c:v>1.5360630359831414E-3</c:v>
                </c:pt>
                <c:pt idx="4622">
                  <c:v>1.2648833314967258E-3</c:v>
                </c:pt>
                <c:pt idx="4623">
                  <c:v>1.3204402826185516E-3</c:v>
                </c:pt>
                <c:pt idx="4624">
                  <c:v>6.9664127483237389E-4</c:v>
                </c:pt>
                <c:pt idx="4625">
                  <c:v>7.7656776718496544E-4</c:v>
                </c:pt>
                <c:pt idx="4626">
                  <c:v>1.2663358776157641E-3</c:v>
                </c:pt>
                <c:pt idx="4627">
                  <c:v>1.5490241443183333E-3</c:v>
                </c:pt>
                <c:pt idx="4628">
                  <c:v>1.8948368117605002E-3</c:v>
                </c:pt>
                <c:pt idx="4629">
                  <c:v>8.3708479811782084E-4</c:v>
                </c:pt>
                <c:pt idx="4630">
                  <c:v>6.2403285009006665E-4</c:v>
                </c:pt>
                <c:pt idx="4631">
                  <c:v>1.8596533454882263E-3</c:v>
                </c:pt>
                <c:pt idx="4632">
                  <c:v>1.7557405619505252E-3</c:v>
                </c:pt>
                <c:pt idx="4633">
                  <c:v>1.6237892461892015E-3</c:v>
                </c:pt>
                <c:pt idx="4634">
                  <c:v>1.018635890916386E-3</c:v>
                </c:pt>
                <c:pt idx="4635">
                  <c:v>1.0158165856541616E-3</c:v>
                </c:pt>
                <c:pt idx="4636">
                  <c:v>1.9608860045187419E-3</c:v>
                </c:pt>
                <c:pt idx="4637">
                  <c:v>8.6734331358424789E-4</c:v>
                </c:pt>
                <c:pt idx="4638">
                  <c:v>2.0936947603957439E-3</c:v>
                </c:pt>
                <c:pt idx="4639">
                  <c:v>2.1311103148793052E-3</c:v>
                </c:pt>
                <c:pt idx="4640">
                  <c:v>8.3173112726605918E-4</c:v>
                </c:pt>
                <c:pt idx="4641">
                  <c:v>5.8493050256425735E-4</c:v>
                </c:pt>
                <c:pt idx="4642">
                  <c:v>1.1929196987740965E-3</c:v>
                </c:pt>
                <c:pt idx="4643">
                  <c:v>1.0713378547747942E-3</c:v>
                </c:pt>
                <c:pt idx="4644">
                  <c:v>1.2532258456797517E-3</c:v>
                </c:pt>
                <c:pt idx="4645">
                  <c:v>1.4751089323984845E-3</c:v>
                </c:pt>
                <c:pt idx="4646">
                  <c:v>1.6269719421912513E-3</c:v>
                </c:pt>
                <c:pt idx="4647">
                  <c:v>1.0244190842791385E-3</c:v>
                </c:pt>
                <c:pt idx="4648">
                  <c:v>9.1868176245657246E-4</c:v>
                </c:pt>
                <c:pt idx="4649">
                  <c:v>1.2427378201309424E-3</c:v>
                </c:pt>
                <c:pt idx="4650">
                  <c:v>1.2283609442594714E-3</c:v>
                </c:pt>
                <c:pt idx="4651">
                  <c:v>1.8832277012892748E-3</c:v>
                </c:pt>
                <c:pt idx="4652">
                  <c:v>1.5436358875649341E-3</c:v>
                </c:pt>
                <c:pt idx="4653">
                  <c:v>1.5138672055059975E-3</c:v>
                </c:pt>
                <c:pt idx="4654">
                  <c:v>1.6708986921962884E-3</c:v>
                </c:pt>
                <c:pt idx="4655">
                  <c:v>1.3123534671662333E-3</c:v>
                </c:pt>
                <c:pt idx="4656">
                  <c:v>1.1283559535370546E-3</c:v>
                </c:pt>
                <c:pt idx="4657">
                  <c:v>1.7202756147813771E-3</c:v>
                </c:pt>
                <c:pt idx="4658">
                  <c:v>1.9127315623190375E-3</c:v>
                </c:pt>
                <c:pt idx="4659">
                  <c:v>1.1034511089223886E-3</c:v>
                </c:pt>
                <c:pt idx="4660">
                  <c:v>1.2597808616477582E-3</c:v>
                </c:pt>
                <c:pt idx="4661">
                  <c:v>1.6039777616489157E-3</c:v>
                </c:pt>
                <c:pt idx="4662">
                  <c:v>1.2652912202824572E-3</c:v>
                </c:pt>
                <c:pt idx="4663">
                  <c:v>1.0287220627385283E-3</c:v>
                </c:pt>
                <c:pt idx="4664">
                  <c:v>1.7981614968276432E-3</c:v>
                </c:pt>
                <c:pt idx="4665">
                  <c:v>1.2102731555370938E-3</c:v>
                </c:pt>
                <c:pt idx="4666">
                  <c:v>1.2453640425819014E-3</c:v>
                </c:pt>
                <c:pt idx="4667">
                  <c:v>1.0847724754613891E-3</c:v>
                </c:pt>
                <c:pt idx="4668">
                  <c:v>8.5809307289898154E-4</c:v>
                </c:pt>
                <c:pt idx="4669">
                  <c:v>8.7308129623672737E-4</c:v>
                </c:pt>
                <c:pt idx="4670">
                  <c:v>1.6689601103764282E-3</c:v>
                </c:pt>
                <c:pt idx="4671">
                  <c:v>1.8451202901585552E-3</c:v>
                </c:pt>
                <c:pt idx="4672">
                  <c:v>8.917599296977269E-4</c:v>
                </c:pt>
                <c:pt idx="4673">
                  <c:v>1.9753070396483548E-3</c:v>
                </c:pt>
                <c:pt idx="4674">
                  <c:v>9.8515309700272476E-4</c:v>
                </c:pt>
                <c:pt idx="4675">
                  <c:v>9.7892688584905814E-4</c:v>
                </c:pt>
                <c:pt idx="4676">
                  <c:v>1.8517067273211775E-3</c:v>
                </c:pt>
                <c:pt idx="4677">
                  <c:v>1.7380540391799964E-3</c:v>
                </c:pt>
                <c:pt idx="4678">
                  <c:v>1.4658368885940771E-3</c:v>
                </c:pt>
                <c:pt idx="4679">
                  <c:v>5.3449964345354492E-4</c:v>
                </c:pt>
                <c:pt idx="4680">
                  <c:v>1.9678452363361158E-3</c:v>
                </c:pt>
                <c:pt idx="4681">
                  <c:v>1.5114062724309173E-3</c:v>
                </c:pt>
                <c:pt idx="4682">
                  <c:v>8.6062887392939435E-4</c:v>
                </c:pt>
                <c:pt idx="4683">
                  <c:v>1.0605294565391589E-3</c:v>
                </c:pt>
                <c:pt idx="4684">
                  <c:v>2.0673863780074353E-3</c:v>
                </c:pt>
                <c:pt idx="4685">
                  <c:v>1.2558478520669544E-3</c:v>
                </c:pt>
                <c:pt idx="4686">
                  <c:v>1.208651737097311E-3</c:v>
                </c:pt>
                <c:pt idx="4687">
                  <c:v>9.3192566247845198E-4</c:v>
                </c:pt>
                <c:pt idx="4688">
                  <c:v>1.7769510293890842E-3</c:v>
                </c:pt>
                <c:pt idx="4689">
                  <c:v>8.5956982902653104E-4</c:v>
                </c:pt>
                <c:pt idx="4690">
                  <c:v>1.1470345869980542E-3</c:v>
                </c:pt>
                <c:pt idx="4691">
                  <c:v>1.2749695033188678E-3</c:v>
                </c:pt>
                <c:pt idx="4692">
                  <c:v>1.2133306748230779E-3</c:v>
                </c:pt>
                <c:pt idx="4693">
                  <c:v>2.2995658429284371E-3</c:v>
                </c:pt>
                <c:pt idx="4694">
                  <c:v>9.537423690298961E-4</c:v>
                </c:pt>
                <c:pt idx="4695">
                  <c:v>1.2344080314637136E-3</c:v>
                </c:pt>
                <c:pt idx="4696">
                  <c:v>1.0212535118221012E-3</c:v>
                </c:pt>
                <c:pt idx="4697">
                  <c:v>1.3046821352163359E-3</c:v>
                </c:pt>
                <c:pt idx="4698">
                  <c:v>2.3041618195022138E-3</c:v>
                </c:pt>
                <c:pt idx="4699">
                  <c:v>1.0225103639247238E-3</c:v>
                </c:pt>
                <c:pt idx="4700">
                  <c:v>1.6188328742125866E-3</c:v>
                </c:pt>
                <c:pt idx="4701">
                  <c:v>1.1396699527820961E-3</c:v>
                </c:pt>
                <c:pt idx="4702">
                  <c:v>1.8645661913255901E-3</c:v>
                </c:pt>
                <c:pt idx="4703">
                  <c:v>9.1666477431239315E-4</c:v>
                </c:pt>
                <c:pt idx="4704">
                  <c:v>1.4430191309953056E-3</c:v>
                </c:pt>
                <c:pt idx="4705">
                  <c:v>9.278603445171034E-4</c:v>
                </c:pt>
                <c:pt idx="4706">
                  <c:v>2.0003485781012048E-3</c:v>
                </c:pt>
                <c:pt idx="4707">
                  <c:v>1.0785462643077225E-3</c:v>
                </c:pt>
                <c:pt idx="4708">
                  <c:v>1.1345821646907212E-3</c:v>
                </c:pt>
                <c:pt idx="4709">
                  <c:v>1.5860568224420524E-3</c:v>
                </c:pt>
                <c:pt idx="4710">
                  <c:v>1.2519148424861507E-3</c:v>
                </c:pt>
                <c:pt idx="4711">
                  <c:v>1.7239248607926862E-3</c:v>
                </c:pt>
                <c:pt idx="4712">
                  <c:v>2.2910076283080591E-3</c:v>
                </c:pt>
                <c:pt idx="4713">
                  <c:v>1.6381966612924348E-3</c:v>
                </c:pt>
                <c:pt idx="4714">
                  <c:v>2.2252366723372876E-3</c:v>
                </c:pt>
                <c:pt idx="4715">
                  <c:v>1.0048143166288864E-3</c:v>
                </c:pt>
                <c:pt idx="4716">
                  <c:v>1.5515707395989612E-3</c:v>
                </c:pt>
                <c:pt idx="4717">
                  <c:v>7.8769206280138203E-4</c:v>
                </c:pt>
                <c:pt idx="4718">
                  <c:v>2.5409372609969914E-3</c:v>
                </c:pt>
                <c:pt idx="4719">
                  <c:v>9.7664633246746595E-4</c:v>
                </c:pt>
                <c:pt idx="4720">
                  <c:v>1.6072672898806116E-3</c:v>
                </c:pt>
                <c:pt idx="4721">
                  <c:v>1.851187665424041E-3</c:v>
                </c:pt>
                <c:pt idx="4722">
                  <c:v>2.2860022479145019E-3</c:v>
                </c:pt>
                <c:pt idx="4723">
                  <c:v>1.3320724171503259E-3</c:v>
                </c:pt>
                <c:pt idx="4724">
                  <c:v>2.0093548290174811E-3</c:v>
                </c:pt>
                <c:pt idx="4725">
                  <c:v>1.5866824677010236E-3</c:v>
                </c:pt>
                <c:pt idx="4726">
                  <c:v>1.9334229678604601E-3</c:v>
                </c:pt>
                <c:pt idx="4727">
                  <c:v>1.259780861647758E-3</c:v>
                </c:pt>
                <c:pt idx="4728">
                  <c:v>1.2506038392925494E-3</c:v>
                </c:pt>
                <c:pt idx="4729">
                  <c:v>1.4726140670023645E-3</c:v>
                </c:pt>
                <c:pt idx="4730">
                  <c:v>1.2728908935837702E-3</c:v>
                </c:pt>
                <c:pt idx="4731">
                  <c:v>9.9137930815639116E-4</c:v>
                </c:pt>
                <c:pt idx="4732">
                  <c:v>7.6648159536282312E-4</c:v>
                </c:pt>
                <c:pt idx="4733">
                  <c:v>1.1086993377605503E-3</c:v>
                </c:pt>
                <c:pt idx="4734">
                  <c:v>1.2624028680349605E-3</c:v>
                </c:pt>
                <c:pt idx="4735">
                  <c:v>2.0051682562634843E-3</c:v>
                </c:pt>
                <c:pt idx="4736">
                  <c:v>1.2886670911651269E-3</c:v>
                </c:pt>
                <c:pt idx="4737">
                  <c:v>8.8378863794025036E-4</c:v>
                </c:pt>
                <c:pt idx="4738">
                  <c:v>1.5729919216946869E-3</c:v>
                </c:pt>
                <c:pt idx="4739">
                  <c:v>1.7346869070890578E-3</c:v>
                </c:pt>
                <c:pt idx="4740">
                  <c:v>8.917599296977269E-4</c:v>
                </c:pt>
                <c:pt idx="4741">
                  <c:v>1.8963818924834289E-3</c:v>
                </c:pt>
                <c:pt idx="4742">
                  <c:v>9.4156961892705919E-4</c:v>
                </c:pt>
                <c:pt idx="4743">
                  <c:v>9.3534340777339268E-4</c:v>
                </c:pt>
                <c:pt idx="4744">
                  <c:v>5.7484433074211482E-4</c:v>
                </c:pt>
                <c:pt idx="4745">
                  <c:v>1.8306109365126572E-3</c:v>
                </c:pt>
                <c:pt idx="4746">
                  <c:v>9.9957413213233809E-4</c:v>
                </c:pt>
                <c:pt idx="4747">
                  <c:v>1.2270057818077277E-3</c:v>
                </c:pt>
                <c:pt idx="4748">
                  <c:v>6.0510284620854252E-4</c:v>
                </c:pt>
                <c:pt idx="4749">
                  <c:v>2.0420818723710732E-3</c:v>
                </c:pt>
                <c:pt idx="4750">
                  <c:v>1.5189434867781851E-3</c:v>
                </c:pt>
                <c:pt idx="4751">
                  <c:v>8.1704539585372867E-4</c:v>
                </c:pt>
                <c:pt idx="4752">
                  <c:v>9.7172269237988688E-4</c:v>
                </c:pt>
                <c:pt idx="4753">
                  <c:v>1.9661300172931469E-3</c:v>
                </c:pt>
                <c:pt idx="4754">
                  <c:v>1.1428091671969263E-3</c:v>
                </c:pt>
                <c:pt idx="4755">
                  <c:v>6.9696805633562427E-4</c:v>
                </c:pt>
                <c:pt idx="4756">
                  <c:v>1.851187665424041E-3</c:v>
                </c:pt>
                <c:pt idx="4757">
                  <c:v>8.5725714176210536E-4</c:v>
                </c:pt>
                <c:pt idx="4758">
                  <c:v>1.312353467166233E-3</c:v>
                </c:pt>
                <c:pt idx="4759">
                  <c:v>7.5639542354068038E-4</c:v>
                </c:pt>
                <c:pt idx="4760">
                  <c:v>2.5540914521911462E-3</c:v>
                </c:pt>
                <c:pt idx="4761">
                  <c:v>2.5409372609969914E-3</c:v>
                </c:pt>
                <c:pt idx="4762">
                  <c:v>1.6317529878774133E-3</c:v>
                </c:pt>
                <c:pt idx="4763">
                  <c:v>2.1594657163665158E-3</c:v>
                </c:pt>
                <c:pt idx="4764">
                  <c:v>2.1463115251723615E-3</c:v>
                </c:pt>
                <c:pt idx="4765">
                  <c:v>2.4132650525458569E-3</c:v>
                </c:pt>
                <c:pt idx="4766">
                  <c:v>1.6321046123888229E-3</c:v>
                </c:pt>
                <c:pt idx="4767">
                  <c:v>1.6906958790631214E-3</c:v>
                </c:pt>
                <c:pt idx="4768">
                  <c:v>9.1043856315872653E-4</c:v>
                </c:pt>
                <c:pt idx="4769">
                  <c:v>1.0978825073974011E-3</c:v>
                </c:pt>
                <c:pt idx="4770">
                  <c:v>2.2292580004343756E-3</c:v>
                </c:pt>
                <c:pt idx="4771">
                  <c:v>1.2388048105501388E-3</c:v>
                </c:pt>
                <c:pt idx="4772">
                  <c:v>1.7239248607926866E-3</c:v>
                </c:pt>
                <c:pt idx="4773">
                  <c:v>1.0690667500270984E-3</c:v>
                </c:pt>
                <c:pt idx="4774">
                  <c:v>1.1722997819576697E-3</c:v>
                </c:pt>
                <c:pt idx="4775">
                  <c:v>1.7313119307408188E-3</c:v>
                </c:pt>
                <c:pt idx="4776">
                  <c:v>9.0768800087281812E-4</c:v>
                </c:pt>
                <c:pt idx="4777">
                  <c:v>1.2781349063581749E-3</c:v>
                </c:pt>
                <c:pt idx="4778">
                  <c:v>1.0909986866150555E-3</c:v>
                </c:pt>
                <c:pt idx="4779">
                  <c:v>1.1470345869980542E-3</c:v>
                </c:pt>
                <c:pt idx="4780">
                  <c:v>1.6390829910384503E-3</c:v>
                </c:pt>
                <c:pt idx="4781">
                  <c:v>1.246670829711746E-3</c:v>
                </c:pt>
                <c:pt idx="4782">
                  <c:v>1.7137290308931873E-3</c:v>
                </c:pt>
                <c:pt idx="4783">
                  <c:v>1.9634054393159344E-3</c:v>
                </c:pt>
                <c:pt idx="4784">
                  <c:v>9.5811885998353078E-4</c:v>
                </c:pt>
                <c:pt idx="4785">
                  <c:v>2.3905437514266967E-3</c:v>
                </c:pt>
                <c:pt idx="4786">
                  <c:v>1.3875664010410669E-3</c:v>
                </c:pt>
                <c:pt idx="4787">
                  <c:v>2.5540914521911462E-3</c:v>
                </c:pt>
                <c:pt idx="4788">
                  <c:v>1.2001869837149515E-3</c:v>
                </c:pt>
                <c:pt idx="4789">
                  <c:v>1.1798096668380843E-3</c:v>
                </c:pt>
                <c:pt idx="4790">
                  <c:v>1.0202565521159222E-3</c:v>
                </c:pt>
                <c:pt idx="4791">
                  <c:v>1.6602934584770091E-3</c:v>
                </c:pt>
                <c:pt idx="4792">
                  <c:v>1.6921091596348481E-3</c:v>
                </c:pt>
                <c:pt idx="4793">
                  <c:v>2.2647917804759429E-3</c:v>
                </c:pt>
                <c:pt idx="4794">
                  <c:v>2.4768964548615336E-3</c:v>
                </c:pt>
                <c:pt idx="4795">
                  <c:v>1.2545368488733532E-3</c:v>
                </c:pt>
                <c:pt idx="4796">
                  <c:v>1.3089015646535222E-3</c:v>
                </c:pt>
                <c:pt idx="4797">
                  <c:v>1.6596064509886506E-3</c:v>
                </c:pt>
                <c:pt idx="4798">
                  <c:v>1.3983747094044475E-3</c:v>
                </c:pt>
                <c:pt idx="4799">
                  <c:v>1.2545368488733534E-3</c:v>
                </c:pt>
                <c:pt idx="4800">
                  <c:v>1.2453598265181449E-3</c:v>
                </c:pt>
                <c:pt idx="4801">
                  <c:v>1.5453153446746192E-3</c:v>
                </c:pt>
                <c:pt idx="4802">
                  <c:v>1.2755128999709724E-3</c:v>
                </c:pt>
                <c:pt idx="4803">
                  <c:v>1.2401158137437399E-3</c:v>
                </c:pt>
                <c:pt idx="4804">
                  <c:v>8.1691245447353534E-4</c:v>
                </c:pt>
                <c:pt idx="4805">
                  <c:v>1.0536456357568133E-3</c:v>
                </c:pt>
                <c:pt idx="4806">
                  <c:v>1.2650248744221627E-3</c:v>
                </c:pt>
                <c:pt idx="4807">
                  <c:v>2.0102661712132343E-3</c:v>
                </c:pt>
                <c:pt idx="4808">
                  <c:v>1.5889226491805147E-3</c:v>
                </c:pt>
                <c:pt idx="4809">
                  <c:v>8.7457500642001301E-4</c:v>
                </c:pt>
                <c:pt idx="4810">
                  <c:v>1.0796551544370993E-3</c:v>
                </c:pt>
                <c:pt idx="4811">
                  <c:v>1.7662393022517711E-3</c:v>
                </c:pt>
                <c:pt idx="4812">
                  <c:v>1.2191397626461209E-3</c:v>
                </c:pt>
                <c:pt idx="4813">
                  <c:v>1.8306109365126572E-3</c:v>
                </c:pt>
                <c:pt idx="4814">
                  <c:v>9.1666477431239304E-4</c:v>
                </c:pt>
                <c:pt idx="4815">
                  <c:v>9.4779583008072559E-4</c:v>
                </c:pt>
                <c:pt idx="4816">
                  <c:v>5.5467198709782987E-4</c:v>
                </c:pt>
                <c:pt idx="4817">
                  <c:v>1.7779941717360401E-3</c:v>
                </c:pt>
                <c:pt idx="4818">
                  <c:v>1.0554683201721687E-3</c:v>
                </c:pt>
                <c:pt idx="4819">
                  <c:v>1.1863646828060906E-3</c:v>
                </c:pt>
                <c:pt idx="4820">
                  <c:v>8.1691245447353556E-4</c:v>
                </c:pt>
                <c:pt idx="4821">
                  <c:v>1.6390829910384503E-3</c:v>
                </c:pt>
                <c:pt idx="4822">
                  <c:v>2.1963062835617764E-3</c:v>
                </c:pt>
                <c:pt idx="4823">
                  <c:v>7.9214055123906274E-4</c:v>
                </c:pt>
                <c:pt idx="4824">
                  <c:v>9.1666899037614984E-4</c:v>
                </c:pt>
                <c:pt idx="4825">
                  <c:v>1.99768241245586E-3</c:v>
                </c:pt>
                <c:pt idx="4826">
                  <c:v>1.2390653354642216E-3</c:v>
                </c:pt>
                <c:pt idx="4827">
                  <c:v>1.2768239031645736E-3</c:v>
                </c:pt>
                <c:pt idx="4828">
                  <c:v>7.2613690807425278E-4</c:v>
                </c:pt>
                <c:pt idx="4829">
                  <c:v>1.0892390936713835E-3</c:v>
                </c:pt>
                <c:pt idx="4830">
                  <c:v>2.5803998345794547E-3</c:v>
                </c:pt>
                <c:pt idx="4831">
                  <c:v>1.122129742383388E-3</c:v>
                </c:pt>
                <c:pt idx="4832">
                  <c:v>1.2230727722269243E-3</c:v>
                </c:pt>
                <c:pt idx="4833">
                  <c:v>1.2755128999709727E-3</c:v>
                </c:pt>
                <c:pt idx="4834">
                  <c:v>8.5440266277572795E-4</c:v>
                </c:pt>
                <c:pt idx="4835">
                  <c:v>2.2342042907774456E-3</c:v>
                </c:pt>
                <c:pt idx="4836">
                  <c:v>1.1102255653334034E-3</c:v>
                </c:pt>
                <c:pt idx="4837">
                  <c:v>2.4556859874229745E-3</c:v>
                </c:pt>
                <c:pt idx="4838">
                  <c:v>1.553559979389492E-3</c:v>
                </c:pt>
                <c:pt idx="4839">
                  <c:v>1.72210217640118E-3</c:v>
                </c:pt>
                <c:pt idx="4840">
                  <c:v>8.8553371854406039E-4</c:v>
                </c:pt>
                <c:pt idx="4841">
                  <c:v>1.0352915910463963E-3</c:v>
                </c:pt>
                <c:pt idx="4842">
                  <c:v>2.1661532101089486E-3</c:v>
                </c:pt>
                <c:pt idx="4843">
                  <c:v>1.241426816937341E-3</c:v>
                </c:pt>
                <c:pt idx="4844">
                  <c:v>1.7027143933541276E-3</c:v>
                </c:pt>
                <c:pt idx="4845">
                  <c:v>7.9363426142234816E-4</c:v>
                </c:pt>
                <c:pt idx="4846">
                  <c:v>2.1161142924613911E-3</c:v>
                </c:pt>
                <c:pt idx="4847">
                  <c:v>2.5277830698028371E-3</c:v>
                </c:pt>
                <c:pt idx="4848">
                  <c:v>9.7829120362781605E-4</c:v>
                </c:pt>
                <c:pt idx="4849">
                  <c:v>1.7672720686579028E-3</c:v>
                </c:pt>
                <c:pt idx="4850">
                  <c:v>8.2949781816106191E-4</c:v>
                </c:pt>
                <c:pt idx="4851">
                  <c:v>8.2327160700739529E-4</c:v>
                </c:pt>
                <c:pt idx="4852">
                  <c:v>1.0038317304637244E-3</c:v>
                </c:pt>
                <c:pt idx="4853">
                  <c:v>1.1784986636444832E-3</c:v>
                </c:pt>
                <c:pt idx="4854">
                  <c:v>2.5146288786086829E-3</c:v>
                </c:pt>
                <c:pt idx="4855">
                  <c:v>1.8760177766984491E-3</c:v>
                </c:pt>
                <c:pt idx="4856">
                  <c:v>7.967401108292505E-4</c:v>
                </c:pt>
                <c:pt idx="4857">
                  <c:v>2.1200031427840529E-3</c:v>
                </c:pt>
                <c:pt idx="4858">
                  <c:v>8.1227109779560391E-4</c:v>
                </c:pt>
                <c:pt idx="4859">
                  <c:v>1.2534466419704634E-3</c:v>
                </c:pt>
                <c:pt idx="4860">
                  <c:v>2.0727187092981249E-3</c:v>
                </c:pt>
                <c:pt idx="4861">
                  <c:v>1.2742018967773713E-3</c:v>
                </c:pt>
                <c:pt idx="4862">
                  <c:v>2.2223708455988249E-3</c:v>
                </c:pt>
                <c:pt idx="4863">
                  <c:v>1.6602934584770089E-3</c:v>
                </c:pt>
                <c:pt idx="4864">
                  <c:v>8.6734331358424811E-4</c:v>
                </c:pt>
                <c:pt idx="4865">
                  <c:v>1.3015677638335138E-3</c:v>
                </c:pt>
                <c:pt idx="4866">
                  <c:v>1.6815039259155686E-3</c:v>
                </c:pt>
                <c:pt idx="4867">
                  <c:v>1.9308390856723353E-3</c:v>
                </c:pt>
                <c:pt idx="4868">
                  <c:v>1.5042778740332167E-3</c:v>
                </c:pt>
                <c:pt idx="4869">
                  <c:v>6.2239725814588294E-4</c:v>
                </c:pt>
                <c:pt idx="4870">
                  <c:v>7.7656776718496544E-4</c:v>
                </c:pt>
                <c:pt idx="4871">
                  <c:v>1.2620372045626788E-3</c:v>
                </c:pt>
                <c:pt idx="4872">
                  <c:v>1.1341359913104765E-3</c:v>
                </c:pt>
                <c:pt idx="4873">
                  <c:v>1.2663358776157641E-3</c:v>
                </c:pt>
                <c:pt idx="4874">
                  <c:v>1.2309387913885315E-3</c:v>
                </c:pt>
                <c:pt idx="4875">
                  <c:v>8.1691245447353578E-4</c:v>
                </c:pt>
                <c:pt idx="4876">
                  <c:v>1.0461084214095455E-3</c:v>
                </c:pt>
                <c:pt idx="4877">
                  <c:v>1.2558478520669544E-3</c:v>
                </c:pt>
                <c:pt idx="4878">
                  <c:v>1.1655519772948886E-3</c:v>
                </c:pt>
                <c:pt idx="4879">
                  <c:v>2.47516630502622E-3</c:v>
                </c:pt>
                <c:pt idx="4880">
                  <c:v>8.8466117824215554E-4</c:v>
                </c:pt>
                <c:pt idx="4881">
                  <c:v>1.1502583571920966E-3</c:v>
                </c:pt>
                <c:pt idx="4882">
                  <c:v>1.6558059191822741E-3</c:v>
                </c:pt>
                <c:pt idx="4883">
                  <c:v>1.2099627402909121E-3</c:v>
                </c:pt>
                <c:pt idx="4884">
                  <c:v>1.8306109365126572E-3</c:v>
                </c:pt>
                <c:pt idx="4885">
                  <c:v>9.1043856315872653E-4</c:v>
                </c:pt>
                <c:pt idx="4886">
                  <c:v>9.0421235200505992E-4</c:v>
                </c:pt>
                <c:pt idx="4887">
                  <c:v>1.0909986866150555E-3</c:v>
                </c:pt>
                <c:pt idx="4888">
                  <c:v>1.6236968810984366E-3</c:v>
                </c:pt>
                <c:pt idx="4889">
                  <c:v>1.2243837754205254E-3</c:v>
                </c:pt>
                <c:pt idx="4890">
                  <c:v>1.1850536796124893E-3</c:v>
                </c:pt>
                <c:pt idx="4891">
                  <c:v>9.2289098546605955E-4</c:v>
                </c:pt>
                <c:pt idx="4892">
                  <c:v>6.9587839260782519E-4</c:v>
                </c:pt>
                <c:pt idx="4893">
                  <c:v>2.0734204781849459E-3</c:v>
                </c:pt>
                <c:pt idx="4894">
                  <c:v>1.2309306529670438E-3</c:v>
                </c:pt>
                <c:pt idx="4895">
                  <c:v>1.2654673490141372E-3</c:v>
                </c:pt>
                <c:pt idx="4896">
                  <c:v>1.5449329766156663E-3</c:v>
                </c:pt>
                <c:pt idx="4897">
                  <c:v>1.5966620561613323E-3</c:v>
                </c:pt>
                <c:pt idx="4898">
                  <c:v>1.7487687615112047E-3</c:v>
                </c:pt>
                <c:pt idx="4899">
                  <c:v>1.1603613583235186E-3</c:v>
                </c:pt>
                <c:pt idx="4900">
                  <c:v>2.593554025773609E-3</c:v>
                </c:pt>
                <c:pt idx="4901">
                  <c:v>1.297191272879878E-3</c:v>
                </c:pt>
                <c:pt idx="4902">
                  <c:v>1.6815039259155686E-3</c:v>
                </c:pt>
                <c:pt idx="4903">
                  <c:v>2.4883204962203747E-3</c:v>
                </c:pt>
                <c:pt idx="4904">
                  <c:v>1.5689403932012968E-3</c:v>
                </c:pt>
                <c:pt idx="4905">
                  <c:v>2.0936947603957439E-3</c:v>
                </c:pt>
                <c:pt idx="4906">
                  <c:v>2.0016154220366634E-3</c:v>
                </c:pt>
                <c:pt idx="4907">
                  <c:v>1.4725136229127994E-3</c:v>
                </c:pt>
                <c:pt idx="4908">
                  <c:v>2.526472066609236E-3</c:v>
                </c:pt>
                <c:pt idx="4909">
                  <c:v>1.6885467966989472E-3</c:v>
                </c:pt>
                <c:pt idx="4910">
                  <c:v>8.4817645162206144E-4</c:v>
                </c:pt>
                <c:pt idx="4911">
                  <c:v>1.2781349063581749E-3</c:v>
                </c:pt>
                <c:pt idx="4912">
                  <c:v>9.9774229274141447E-4</c:v>
                </c:pt>
                <c:pt idx="4913">
                  <c:v>1.2322497945821327E-3</c:v>
                </c:pt>
                <c:pt idx="4914">
                  <c:v>1.7769510293890842E-3</c:v>
                </c:pt>
                <c:pt idx="4915">
                  <c:v>8.8117101703453517E-4</c:v>
                </c:pt>
                <c:pt idx="4916">
                  <c:v>2.005680909391894E-3</c:v>
                </c:pt>
                <c:pt idx="4917">
                  <c:v>2.5277830698028371E-3</c:v>
                </c:pt>
                <c:pt idx="4918">
                  <c:v>8.2949781816106169E-4</c:v>
                </c:pt>
                <c:pt idx="4919">
                  <c:v>1.649455119158906E-3</c:v>
                </c:pt>
                <c:pt idx="4920">
                  <c:v>7.9214055123906263E-4</c:v>
                </c:pt>
                <c:pt idx="4921">
                  <c:v>8.2327160700739518E-4</c:v>
                </c:pt>
                <c:pt idx="4922">
                  <c:v>1.0038317304637244E-3</c:v>
                </c:pt>
                <c:pt idx="4923">
                  <c:v>1.5004893127233401E-3</c:v>
                </c:pt>
                <c:pt idx="4924">
                  <c:v>2.0132324214841607E-3</c:v>
                </c:pt>
                <c:pt idx="4925">
                  <c:v>1.109677320076055E-3</c:v>
                </c:pt>
                <c:pt idx="4926">
                  <c:v>1.9466347688975568E-3</c:v>
                </c:pt>
                <c:pt idx="4927">
                  <c:v>1.4624274510906567E-3</c:v>
                </c:pt>
                <c:pt idx="4928">
                  <c:v>1.1912770650138395E-3</c:v>
                </c:pt>
                <c:pt idx="4929">
                  <c:v>2.5803998345794547E-3</c:v>
                </c:pt>
                <c:pt idx="4930">
                  <c:v>1.2030010215089855E-3</c:v>
                </c:pt>
                <c:pt idx="4931">
                  <c:v>1.2742018967773713E-3</c:v>
                </c:pt>
                <c:pt idx="4932">
                  <c:v>2.2966074816337819E-3</c:v>
                </c:pt>
                <c:pt idx="4933">
                  <c:v>7.0596456442996783E-4</c:v>
                </c:pt>
                <c:pt idx="4934">
                  <c:v>9.3794651633924582E-4</c:v>
                </c:pt>
                <c:pt idx="4935">
                  <c:v>1.3121729975527931E-3</c:v>
                </c:pt>
                <c:pt idx="4936">
                  <c:v>1.6815039259155686E-3</c:v>
                </c:pt>
                <c:pt idx="4937">
                  <c:v>1.6488818610175073E-3</c:v>
                </c:pt>
                <c:pt idx="4938">
                  <c:v>2.2910076283080591E-3</c:v>
                </c:pt>
                <c:pt idx="4939">
                  <c:v>2.3304702018905219E-3</c:v>
                </c:pt>
                <c:pt idx="4940">
                  <c:v>1.5330306538456546E-3</c:v>
                </c:pt>
                <c:pt idx="4941">
                  <c:v>1.2453598265181449E-3</c:v>
                </c:pt>
                <c:pt idx="4942">
                  <c:v>1.2361828041629363E-3</c:v>
                </c:pt>
                <c:pt idx="4943">
                  <c:v>1.3759012403845236E-3</c:v>
                </c:pt>
                <c:pt idx="4944">
                  <c:v>2.3962411578612938E-3</c:v>
                </c:pt>
                <c:pt idx="4945">
                  <c:v>1.2309387913885315E-3</c:v>
                </c:pt>
                <c:pt idx="4946">
                  <c:v>9.2911719661972606E-4</c:v>
                </c:pt>
                <c:pt idx="4947">
                  <c:v>1.3927220952991873E-3</c:v>
                </c:pt>
                <c:pt idx="4948">
                  <c:v>1.246670829711746E-3</c:v>
                </c:pt>
                <c:pt idx="4949">
                  <c:v>1.2897004105434213E-3</c:v>
                </c:pt>
                <c:pt idx="4950">
                  <c:v>2.4620121138320657E-3</c:v>
                </c:pt>
                <c:pt idx="4951">
                  <c:v>1.1077213554450455E-3</c:v>
                </c:pt>
                <c:pt idx="4952">
                  <c:v>1.1502583571920966E-3</c:v>
                </c:pt>
                <c:pt idx="4953">
                  <c:v>1.6558059191822741E-3</c:v>
                </c:pt>
                <c:pt idx="4954">
                  <c:v>1.208651737097311E-3</c:v>
                </c:pt>
                <c:pt idx="4955">
                  <c:v>2.2092166544046706E-3</c:v>
                </c:pt>
                <c:pt idx="4956">
                  <c:v>1.1295837809599538E-3</c:v>
                </c:pt>
                <c:pt idx="4957">
                  <c:v>1.0993252654935262E-3</c:v>
                </c:pt>
                <c:pt idx="4958">
                  <c:v>1.0745782052910614E-3</c:v>
                </c:pt>
                <c:pt idx="4959">
                  <c:v>1.1003307471756244E-3</c:v>
                </c:pt>
                <c:pt idx="4960">
                  <c:v>1.1850536796124893E-3</c:v>
                </c:pt>
                <c:pt idx="4961">
                  <c:v>9.2289098546605966E-4</c:v>
                </c:pt>
                <c:pt idx="4962">
                  <c:v>6.9587839260782519E-4</c:v>
                </c:pt>
                <c:pt idx="4963">
                  <c:v>2.1805300859804194E-3</c:v>
                </c:pt>
                <c:pt idx="4964">
                  <c:v>7.8591434008539623E-4</c:v>
                </c:pt>
                <c:pt idx="4965">
                  <c:v>9.0290556487521568E-4</c:v>
                </c:pt>
                <c:pt idx="4966">
                  <c:v>1.8872490293863626E-3</c:v>
                </c:pt>
                <c:pt idx="4967">
                  <c:v>1.2703619747249232E-3</c:v>
                </c:pt>
                <c:pt idx="4968">
                  <c:v>2.593554025773609E-3</c:v>
                </c:pt>
                <c:pt idx="4969">
                  <c:v>1.7593739952304842E-3</c:v>
                </c:pt>
                <c:pt idx="4970">
                  <c:v>1.1810527638649406E-3</c:v>
                </c:pt>
                <c:pt idx="4971">
                  <c:v>1.3439058623289466E-3</c:v>
                </c:pt>
                <c:pt idx="4972">
                  <c:v>9.8278684651753405E-4</c:v>
                </c:pt>
                <c:pt idx="4973">
                  <c:v>1.2742018967773715E-3</c:v>
                </c:pt>
                <c:pt idx="4974">
                  <c:v>1.2781349063581749E-3</c:v>
                </c:pt>
                <c:pt idx="4975">
                  <c:v>2.4225495402496028E-3</c:v>
                </c:pt>
                <c:pt idx="4976">
                  <c:v>1.2361828041629363E-3</c:v>
                </c:pt>
                <c:pt idx="4977">
                  <c:v>2.0805405692015896E-3</c:v>
                </c:pt>
                <c:pt idx="4978">
                  <c:v>2.466291221142254E-3</c:v>
                </c:pt>
                <c:pt idx="4979">
                  <c:v>1.5339238211396593E-3</c:v>
                </c:pt>
                <c:pt idx="4980">
                  <c:v>2.2910076283080595E-3</c:v>
                </c:pt>
                <c:pt idx="4981">
                  <c:v>8.8553371854406039E-4</c:v>
                </c:pt>
                <c:pt idx="4982">
                  <c:v>1.0290653798927299E-3</c:v>
                </c:pt>
                <c:pt idx="4983">
                  <c:v>2.1503770125275916E-3</c:v>
                </c:pt>
                <c:pt idx="4984">
                  <c:v>1.2322497945821327E-3</c:v>
                </c:pt>
                <c:pt idx="4985">
                  <c:v>1.7133196270734065E-3</c:v>
                </c:pt>
                <c:pt idx="4986">
                  <c:v>7.9749422209082418E-4</c:v>
                </c:pt>
                <c:pt idx="4987">
                  <c:v>2.100338094880035E-3</c:v>
                </c:pt>
                <c:pt idx="4988">
                  <c:v>2.5146288786086829E-3</c:v>
                </c:pt>
                <c:pt idx="4989">
                  <c:v>8.2327160700739529E-4</c:v>
                </c:pt>
                <c:pt idx="4990">
                  <c:v>1.7659610654643017E-3</c:v>
                </c:pt>
                <c:pt idx="4991">
                  <c:v>8.2327160700739518E-4</c:v>
                </c:pt>
                <c:pt idx="4992">
                  <c:v>8.1704539585372878E-4</c:v>
                </c:pt>
                <c:pt idx="4993">
                  <c:v>9.9760551931005778E-4</c:v>
                </c:pt>
                <c:pt idx="4994">
                  <c:v>1.4860241183355842E-3</c:v>
                </c:pt>
                <c:pt idx="4995">
                  <c:v>2.0805820721251467E-3</c:v>
                </c:pt>
                <c:pt idx="4996">
                  <c:v>2.0632923398096318E-3</c:v>
                </c:pt>
                <c:pt idx="4997">
                  <c:v>1.9572400026168363E-3</c:v>
                </c:pt>
                <c:pt idx="4998">
                  <c:v>1.4725136229127994E-3</c:v>
                </c:pt>
                <c:pt idx="4999">
                  <c:v>1.2738576180194448E-3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7E-4A1E-95B1-088EE6377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347200"/>
        <c:axId val="102044032"/>
      </c:scatterChart>
      <c:valAx>
        <c:axId val="91347200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Riesgo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crossAx val="102044032"/>
        <c:crosses val="autoZero"/>
        <c:crossBetween val="midCat"/>
      </c:valAx>
      <c:valAx>
        <c:axId val="102044032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Rentabilidad</a:t>
                </a:r>
              </a:p>
            </c:rich>
          </c:tx>
          <c:overlay val="0"/>
        </c:title>
        <c:numFmt formatCode="0.00%" sourceLinked="1"/>
        <c:majorTickMark val="out"/>
        <c:minorTickMark val="none"/>
        <c:tickLblPos val="nextTo"/>
        <c:crossAx val="913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38099</xdr:colOff>
      <xdr:row>0</xdr:row>
      <xdr:rowOff>76200</xdr:rowOff>
    </xdr:from>
    <xdr:to>
      <xdr:col>14</xdr:col>
      <xdr:colOff>742949</xdr:colOff>
      <xdr:row>40</xdr:row>
      <xdr:rowOff>76200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28</xdr:row>
          <xdr:rowOff>85725</xdr:rowOff>
        </xdr:from>
        <xdr:to>
          <xdr:col>6</xdr:col>
          <xdr:colOff>495300</xdr:colOff>
          <xdr:row>32</xdr:row>
          <xdr:rowOff>123825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 frontera eficiente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238125</xdr:colOff>
          <xdr:row>34</xdr:row>
          <xdr:rowOff>0</xdr:rowOff>
        </xdr:from>
        <xdr:to>
          <xdr:col>6</xdr:col>
          <xdr:colOff>485775</xdr:colOff>
          <xdr:row>37</xdr:row>
          <xdr:rowOff>133350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datos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V6043"/>
  <sheetViews>
    <sheetView tabSelected="1" topLeftCell="A4" workbookViewId="0">
      <selection activeCell="C39" sqref="C39"/>
    </sheetView>
  </sheetViews>
  <sheetFormatPr baseColWidth="10" defaultRowHeight="11.25" x14ac:dyDescent="0.2"/>
  <cols>
    <col min="1" max="1" width="2.28515625" style="1" customWidth="1"/>
    <col min="2" max="2" width="15.140625" style="1" bestFit="1" customWidth="1"/>
    <col min="3" max="7" width="13.5703125" style="1" customWidth="1"/>
    <col min="8" max="15" width="11.42578125" style="1" customWidth="1"/>
    <col min="16" max="20" width="11.42578125" style="1"/>
    <col min="21" max="21" width="13" style="1" customWidth="1"/>
    <col min="22" max="16384" width="11.42578125" style="1"/>
  </cols>
  <sheetData>
    <row r="2" spans="2:7" x14ac:dyDescent="0.2">
      <c r="B2" s="8" t="s">
        <v>11</v>
      </c>
      <c r="C2" s="6" t="s">
        <v>2</v>
      </c>
      <c r="D2" s="6" t="s">
        <v>3</v>
      </c>
      <c r="E2" s="6" t="s">
        <v>4</v>
      </c>
      <c r="F2" s="6" t="s">
        <v>5</v>
      </c>
      <c r="G2" s="6" t="s">
        <v>6</v>
      </c>
    </row>
    <row r="3" spans="2:7" x14ac:dyDescent="0.2">
      <c r="B3" s="7" t="s">
        <v>2</v>
      </c>
      <c r="C3" s="3">
        <f>CORREL(H44:H303,H44:H303)</f>
        <v>1</v>
      </c>
      <c r="D3" s="3"/>
      <c r="E3" s="3"/>
      <c r="F3" s="3"/>
      <c r="G3" s="3"/>
    </row>
    <row r="4" spans="2:7" x14ac:dyDescent="0.2">
      <c r="B4" s="7" t="s">
        <v>3</v>
      </c>
      <c r="C4" s="3">
        <f>CORREL(H44:H303,I44:I303)</f>
        <v>0.46000227924090714</v>
      </c>
      <c r="D4" s="3">
        <f>CORREL(I44:I303,I44:I303)</f>
        <v>1</v>
      </c>
      <c r="E4" s="3"/>
      <c r="F4" s="3"/>
      <c r="G4" s="3"/>
    </row>
    <row r="5" spans="2:7" x14ac:dyDescent="0.2">
      <c r="B5" s="7" t="s">
        <v>4</v>
      </c>
      <c r="C5" s="3">
        <f>CORREL(H44:H303,J44:J303)</f>
        <v>0.33215509953351274</v>
      </c>
      <c r="D5" s="3">
        <f>CORREL(I44:I303,J44:J303)</f>
        <v>0.5023145329844344</v>
      </c>
      <c r="E5" s="3">
        <f>CORREL(J44:J303,J44:J303)</f>
        <v>1</v>
      </c>
      <c r="F5" s="3"/>
      <c r="G5" s="3"/>
    </row>
    <row r="6" spans="2:7" x14ac:dyDescent="0.2">
      <c r="B6" s="7" t="s">
        <v>5</v>
      </c>
      <c r="C6" s="3">
        <f>CORREL(H44:H303,K44:K303)</f>
        <v>0.34121474835555599</v>
      </c>
      <c r="D6" s="3">
        <f>CORREL(I44:I303,K44:K303)</f>
        <v>0.6951865551388583</v>
      </c>
      <c r="E6" s="3">
        <f>CORREL(J44:J303,K44:K303)</f>
        <v>0.36548069261937449</v>
      </c>
      <c r="F6" s="3">
        <f>CORREL(K44:K303,K44:K303)</f>
        <v>0.99999999999999978</v>
      </c>
      <c r="G6" s="3"/>
    </row>
    <row r="7" spans="2:7" x14ac:dyDescent="0.2">
      <c r="B7" s="7" t="s">
        <v>6</v>
      </c>
      <c r="C7" s="3">
        <f>CORREL(H44:H303,L44:L303)</f>
        <v>0.42207792213868928</v>
      </c>
      <c r="D7" s="3">
        <f>CORREL(I44:I303,L44:L303)</f>
        <v>0.32894919601508738</v>
      </c>
      <c r="E7" s="3">
        <f>CORREL(J44:J303,L44:L303)</f>
        <v>0.42787914908129104</v>
      </c>
      <c r="F7" s="3">
        <f>CORREL(K44:K303,L44:L303)</f>
        <v>0.10979890157323882</v>
      </c>
      <c r="G7" s="3">
        <f>CORREL(L44:L303,L44:L303)</f>
        <v>0.99999999999999978</v>
      </c>
    </row>
    <row r="8" spans="2:7" x14ac:dyDescent="0.2">
      <c r="B8" s="2"/>
      <c r="C8" s="2"/>
      <c r="D8" s="2"/>
      <c r="E8" s="2"/>
      <c r="F8" s="2"/>
      <c r="G8" s="2"/>
    </row>
    <row r="9" spans="2:7" x14ac:dyDescent="0.2">
      <c r="B9" s="8" t="s">
        <v>12</v>
      </c>
      <c r="C9" s="6" t="s">
        <v>2</v>
      </c>
      <c r="D9" s="6" t="s">
        <v>3</v>
      </c>
      <c r="E9" s="6" t="s">
        <v>4</v>
      </c>
      <c r="F9" s="6" t="s">
        <v>5</v>
      </c>
      <c r="G9" s="6" t="s">
        <v>6</v>
      </c>
    </row>
    <row r="10" spans="2:7" x14ac:dyDescent="0.2">
      <c r="B10" s="7" t="s">
        <v>2</v>
      </c>
      <c r="C10" s="22">
        <f>VAR(H44:H303)</f>
        <v>2.1424920033489287E-4</v>
      </c>
      <c r="D10" s="5">
        <f>C11</f>
        <v>1.278608968541045E-4</v>
      </c>
      <c r="E10" s="5">
        <f>C12</f>
        <v>5.4102503480298812E-5</v>
      </c>
      <c r="F10" s="5">
        <f>C13</f>
        <v>6.0025844572134229E-5</v>
      </c>
      <c r="G10" s="5">
        <f>C14</f>
        <v>1.0032189517895001E-4</v>
      </c>
    </row>
    <row r="11" spans="2:7" x14ac:dyDescent="0.2">
      <c r="B11" s="7" t="s">
        <v>3</v>
      </c>
      <c r="C11" s="4">
        <f>COVAR(H44:H303,I44:I303)</f>
        <v>1.278608968541045E-4</v>
      </c>
      <c r="D11" s="22">
        <f>VAR(I44:I303)</f>
        <v>3.6339879576280279E-4</v>
      </c>
      <c r="E11" s="5">
        <f>D12</f>
        <v>1.0655757234523784E-4</v>
      </c>
      <c r="F11" s="5">
        <f>D13</f>
        <v>1.5927366965250151E-4</v>
      </c>
      <c r="G11" s="5">
        <f>D14</f>
        <v>1.0182726011966916E-4</v>
      </c>
    </row>
    <row r="12" spans="2:7" x14ac:dyDescent="0.2">
      <c r="B12" s="7" t="s">
        <v>4</v>
      </c>
      <c r="C12" s="4">
        <f>COVAR(H44:H303,J44:J303)</f>
        <v>5.4102503480298812E-5</v>
      </c>
      <c r="D12" s="4">
        <f>COVAR(I44:I303,J44:J303)</f>
        <v>1.0655757234523784E-4</v>
      </c>
      <c r="E12" s="22">
        <f>VAR(J44:J303)</f>
        <v>1.2479030105252661E-4</v>
      </c>
      <c r="F12" s="4">
        <f>E13</f>
        <v>4.9068833707535549E-5</v>
      </c>
      <c r="G12" s="4">
        <f>E14</f>
        <v>7.761667368176876E-5</v>
      </c>
    </row>
    <row r="13" spans="2:7" x14ac:dyDescent="0.2">
      <c r="B13" s="7" t="s">
        <v>5</v>
      </c>
      <c r="C13" s="4">
        <f>COVAR(H44:H303,K44:K303)</f>
        <v>6.0025844572134229E-5</v>
      </c>
      <c r="D13" s="4">
        <f>COVAR(I44:I303,K44:K303)</f>
        <v>1.5927366965250151E-4</v>
      </c>
      <c r="E13" s="4">
        <f>COVAR(J44:J303,K44:K303)</f>
        <v>4.9068833707535549E-5</v>
      </c>
      <c r="F13" s="22">
        <f>VAR(K44:K303)</f>
        <v>1.4556230629823982E-4</v>
      </c>
      <c r="G13" s="4">
        <f>F14</f>
        <v>2.1511264808428025E-5</v>
      </c>
    </row>
    <row r="14" spans="2:7" x14ac:dyDescent="0.2">
      <c r="B14" s="7" t="s">
        <v>6</v>
      </c>
      <c r="C14" s="4">
        <f>COVAR(H44:H303,L44:L303)</f>
        <v>1.0032189517895001E-4</v>
      </c>
      <c r="D14" s="4">
        <f>COVAR(I44:I303,L44:L303)</f>
        <v>1.0182726011966916E-4</v>
      </c>
      <c r="E14" s="4">
        <f>COVAR(J44:J303,L44:L303)</f>
        <v>7.761667368176876E-5</v>
      </c>
      <c r="F14" s="4">
        <f>COVAR(K44:K303,L44:L303)</f>
        <v>2.1511264808428025E-5</v>
      </c>
      <c r="G14" s="22">
        <f>VAR(L44:L303)</f>
        <v>2.6572605625068459E-4</v>
      </c>
    </row>
    <row r="16" spans="2:7" x14ac:dyDescent="0.2">
      <c r="B16" s="8" t="s">
        <v>8</v>
      </c>
      <c r="C16" s="6" t="s">
        <v>2</v>
      </c>
      <c r="D16" s="6" t="s">
        <v>3</v>
      </c>
      <c r="E16" s="6" t="s">
        <v>4</v>
      </c>
      <c r="F16" s="6" t="s">
        <v>5</v>
      </c>
      <c r="G16" s="6" t="s">
        <v>6</v>
      </c>
    </row>
    <row r="17" spans="2:8" x14ac:dyDescent="0.2">
      <c r="B17" s="12" t="s">
        <v>10</v>
      </c>
      <c r="C17" s="11">
        <v>7.0000000000000007E-2</v>
      </c>
      <c r="D17" s="11">
        <v>0.28999999999999998</v>
      </c>
      <c r="E17" s="11">
        <v>0.62</v>
      </c>
      <c r="F17" s="11">
        <v>2.0000000000000129E-2</v>
      </c>
      <c r="G17" s="11">
        <v>0</v>
      </c>
      <c r="H17" s="21"/>
    </row>
    <row r="18" spans="2:8" x14ac:dyDescent="0.2">
      <c r="B18" s="12" t="s">
        <v>0</v>
      </c>
      <c r="C18" s="13">
        <f>LN(C303/C43)/COUNT(H44:H303)</f>
        <v>2.593554025773609E-3</v>
      </c>
      <c r="D18" s="13">
        <f>LN(D303/D43)/COUNT(I44:I303)</f>
        <v>1.2781349063581749E-3</v>
      </c>
      <c r="E18" s="13">
        <f>LN(E303/E43)/COUNT(J44:J303)</f>
        <v>1.1470345869980542E-3</v>
      </c>
      <c r="F18" s="13">
        <f>LN(F303/F43)/COUNT(K44:K303)</f>
        <v>5.2441347163140238E-4</v>
      </c>
      <c r="G18" s="13">
        <f>LN(G303/G43)/COUNT(L44:L303)</f>
        <v>1.5330306538456546E-3</v>
      </c>
      <c r="H18" s="21"/>
    </row>
    <row r="19" spans="2:8" x14ac:dyDescent="0.2">
      <c r="B19" s="12" t="s">
        <v>1</v>
      </c>
      <c r="C19" s="13">
        <f>STDEV(H44:H303)</f>
        <v>1.4637253852239254E-2</v>
      </c>
      <c r="D19" s="13">
        <f t="shared" ref="D19:G19" si="0">STDEV(I44:I303)</f>
        <v>1.906302168500059E-2</v>
      </c>
      <c r="E19" s="13">
        <f t="shared" si="0"/>
        <v>1.1170957929046488E-2</v>
      </c>
      <c r="F19" s="13">
        <f t="shared" si="0"/>
        <v>1.206492048453863E-2</v>
      </c>
      <c r="G19" s="13">
        <f t="shared" si="0"/>
        <v>1.6301105982438266E-2</v>
      </c>
    </row>
    <row r="21" spans="2:8" x14ac:dyDescent="0.2">
      <c r="B21" s="6" t="s">
        <v>2</v>
      </c>
      <c r="C21" s="23">
        <f>C17</f>
        <v>7.0000000000000007E-2</v>
      </c>
    </row>
    <row r="22" spans="2:8" x14ac:dyDescent="0.2">
      <c r="B22" s="6" t="s">
        <v>3</v>
      </c>
      <c r="C22" s="23">
        <f>D17</f>
        <v>0.28999999999999998</v>
      </c>
    </row>
    <row r="23" spans="2:8" x14ac:dyDescent="0.2">
      <c r="B23" s="6" t="s">
        <v>4</v>
      </c>
      <c r="C23" s="23">
        <f>E17</f>
        <v>0.62</v>
      </c>
    </row>
    <row r="24" spans="2:8" x14ac:dyDescent="0.2">
      <c r="B24" s="6" t="s">
        <v>5</v>
      </c>
      <c r="C24" s="23">
        <f>F17</f>
        <v>2.0000000000000129E-2</v>
      </c>
    </row>
    <row r="25" spans="2:8" x14ac:dyDescent="0.2">
      <c r="B25" s="6" t="s">
        <v>6</v>
      </c>
      <c r="C25" s="23">
        <f>G17</f>
        <v>0</v>
      </c>
    </row>
    <row r="27" spans="2:8" x14ac:dyDescent="0.2">
      <c r="C27" s="14">
        <f t="array" ref="C27:G27">MMULT(C17:G17,C10:G14)</f>
        <v>8.6821173160360766E-5</v>
      </c>
      <c r="D27" s="14">
        <v>1.8358708179809765E-4</v>
      </c>
      <c r="E27" s="14">
        <v>1.1304023455045709E-4</v>
      </c>
      <c r="F27" s="14">
        <v>8.3725096343911678E-5</v>
      </c>
      <c r="G27" s="14">
        <v>8.5105001076095761E-5</v>
      </c>
    </row>
    <row r="29" spans="2:8" x14ac:dyDescent="0.2">
      <c r="B29" s="2"/>
      <c r="C29" s="6" t="s">
        <v>7</v>
      </c>
      <c r="D29" s="6" t="s">
        <v>8</v>
      </c>
    </row>
    <row r="30" spans="2:8" x14ac:dyDescent="0.2">
      <c r="B30" s="15" t="s">
        <v>0</v>
      </c>
      <c r="C30" s="16">
        <v>0</v>
      </c>
      <c r="D30" s="24">
        <f>SUMPRODUCT(C17:G17,C18:G18)</f>
        <v>1.2738576180194448E-3</v>
      </c>
    </row>
    <row r="31" spans="2:8" x14ac:dyDescent="0.2">
      <c r="B31" s="15" t="s">
        <v>13</v>
      </c>
      <c r="C31" s="16">
        <v>0</v>
      </c>
      <c r="D31" s="24">
        <f>(MMULT(C27:G27,C21:C25))^(0.5)</f>
        <v>1.1448894409104977E-2</v>
      </c>
    </row>
    <row r="32" spans="2:8" x14ac:dyDescent="0.2">
      <c r="B32" s="15" t="s">
        <v>9</v>
      </c>
      <c r="D32" s="24">
        <f>IF(D30=0,0,SLOPE(C30:D30,C31:D31))</f>
        <v>0.11126468395117545</v>
      </c>
    </row>
    <row r="34" spans="2:22" x14ac:dyDescent="0.2">
      <c r="B34" s="27" t="s">
        <v>14</v>
      </c>
      <c r="C34" s="27"/>
      <c r="P34" s="6" t="s">
        <v>2</v>
      </c>
      <c r="Q34" s="6" t="s">
        <v>3</v>
      </c>
      <c r="R34" s="6" t="s">
        <v>4</v>
      </c>
      <c r="S34" s="6" t="s">
        <v>5</v>
      </c>
      <c r="T34" s="6" t="s">
        <v>6</v>
      </c>
    </row>
    <row r="35" spans="2:22" x14ac:dyDescent="0.2">
      <c r="B35" s="9" t="s">
        <v>15</v>
      </c>
      <c r="C35" s="16">
        <v>0</v>
      </c>
      <c r="P35" s="20">
        <v>0.12</v>
      </c>
      <c r="Q35" s="20">
        <v>0.18</v>
      </c>
      <c r="R35" s="20">
        <v>0.02</v>
      </c>
      <c r="S35" s="20">
        <v>0.02</v>
      </c>
      <c r="T35" s="20">
        <v>0.05</v>
      </c>
      <c r="U35" s="12" t="s">
        <v>26</v>
      </c>
      <c r="V35" s="20">
        <v>5.1856939532221591E-3</v>
      </c>
    </row>
    <row r="36" spans="2:22" x14ac:dyDescent="0.2">
      <c r="B36" s="9" t="s">
        <v>16</v>
      </c>
      <c r="C36" s="16">
        <v>1</v>
      </c>
      <c r="P36" s="20">
        <v>1</v>
      </c>
      <c r="Q36" s="20">
        <v>0</v>
      </c>
      <c r="R36" s="20">
        <v>0</v>
      </c>
      <c r="S36" s="20">
        <v>0</v>
      </c>
      <c r="T36" s="20">
        <v>0</v>
      </c>
      <c r="U36" s="12" t="s">
        <v>27</v>
      </c>
      <c r="V36" s="20">
        <v>2.593554025773609E-3</v>
      </c>
    </row>
    <row r="37" spans="2:22" x14ac:dyDescent="0.2">
      <c r="B37" s="9" t="s">
        <v>17</v>
      </c>
      <c r="C37" s="16">
        <v>0</v>
      </c>
      <c r="P37" s="20">
        <v>0.8</v>
      </c>
      <c r="Q37" s="20">
        <v>0</v>
      </c>
      <c r="R37" s="20">
        <v>0.19999999999999984</v>
      </c>
      <c r="S37" s="20">
        <v>0</v>
      </c>
      <c r="T37" s="20">
        <v>0</v>
      </c>
      <c r="U37" s="12" t="s">
        <v>28</v>
      </c>
      <c r="V37" s="20">
        <v>0.18249581336311319</v>
      </c>
    </row>
    <row r="38" spans="2:22" x14ac:dyDescent="0.2">
      <c r="B38" s="9" t="s">
        <v>18</v>
      </c>
      <c r="C38" s="16">
        <v>1</v>
      </c>
    </row>
    <row r="39" spans="2:22" x14ac:dyDescent="0.2">
      <c r="B39" s="9" t="s">
        <v>24</v>
      </c>
      <c r="C39" s="26">
        <v>5000</v>
      </c>
    </row>
    <row r="41" spans="2:22" x14ac:dyDescent="0.2">
      <c r="C41" s="28" t="s">
        <v>20</v>
      </c>
      <c r="D41" s="28"/>
      <c r="E41" s="28"/>
      <c r="F41" s="28"/>
      <c r="G41" s="28"/>
    </row>
    <row r="42" spans="2:22" x14ac:dyDescent="0.2">
      <c r="B42" s="17" t="s">
        <v>19</v>
      </c>
      <c r="C42" s="18" t="s">
        <v>2</v>
      </c>
      <c r="D42" s="18" t="s">
        <v>3</v>
      </c>
      <c r="E42" s="18" t="s">
        <v>4</v>
      </c>
      <c r="F42" s="18" t="s">
        <v>5</v>
      </c>
      <c r="G42" s="18" t="s">
        <v>6</v>
      </c>
      <c r="H42" s="29" t="s">
        <v>21</v>
      </c>
      <c r="I42" s="29"/>
      <c r="J42" s="29"/>
      <c r="K42" s="29"/>
      <c r="L42" s="29"/>
      <c r="M42" s="30" t="s">
        <v>22</v>
      </c>
      <c r="N42" s="30"/>
      <c r="O42" s="30"/>
      <c r="P42" s="31" t="s">
        <v>25</v>
      </c>
      <c r="Q42" s="31"/>
      <c r="R42" s="31"/>
      <c r="S42" s="31"/>
      <c r="T42" s="31"/>
      <c r="U42" s="31"/>
    </row>
    <row r="43" spans="2:22" x14ac:dyDescent="0.2">
      <c r="B43" s="19">
        <v>37622</v>
      </c>
      <c r="C43" s="10">
        <v>11235</v>
      </c>
      <c r="D43" s="10">
        <v>2838.87</v>
      </c>
      <c r="E43" s="10">
        <v>9298.7800000000007</v>
      </c>
      <c r="F43" s="10">
        <v>3900.6</v>
      </c>
      <c r="G43" s="10">
        <v>987.81</v>
      </c>
      <c r="H43" s="18" t="s">
        <v>2</v>
      </c>
      <c r="I43" s="18" t="s">
        <v>3</v>
      </c>
      <c r="J43" s="18" t="s">
        <v>4</v>
      </c>
      <c r="K43" s="18" t="s">
        <v>5</v>
      </c>
      <c r="L43" s="18" t="s">
        <v>6</v>
      </c>
      <c r="M43" s="18" t="s">
        <v>1</v>
      </c>
      <c r="N43" s="18" t="s">
        <v>0</v>
      </c>
      <c r="O43" s="18" t="s">
        <v>9</v>
      </c>
      <c r="P43" s="6" t="s">
        <v>2</v>
      </c>
      <c r="Q43" s="6" t="s">
        <v>3</v>
      </c>
      <c r="R43" s="6" t="s">
        <v>4</v>
      </c>
      <c r="S43" s="6" t="s">
        <v>5</v>
      </c>
      <c r="T43" s="6" t="s">
        <v>6</v>
      </c>
      <c r="U43" s="6" t="s">
        <v>23</v>
      </c>
    </row>
    <row r="44" spans="2:22" x14ac:dyDescent="0.2">
      <c r="B44" s="19">
        <v>37623</v>
      </c>
      <c r="C44" s="10">
        <v>11291</v>
      </c>
      <c r="D44" s="10">
        <v>2898.68</v>
      </c>
      <c r="E44" s="10">
        <v>9333.64</v>
      </c>
      <c r="F44" s="10">
        <v>3940.4</v>
      </c>
      <c r="G44" s="10">
        <v>995.64</v>
      </c>
      <c r="H44" s="20">
        <f>LN(C44/C43)</f>
        <v>4.9720425610925347E-3</v>
      </c>
      <c r="I44" s="20">
        <f t="shared" ref="I44:L44" si="1">LN(D44/D43)</f>
        <v>2.0849375285220396E-2</v>
      </c>
      <c r="J44" s="20">
        <f t="shared" si="1"/>
        <v>3.7418693518713212E-3</v>
      </c>
      <c r="K44" s="20">
        <f t="shared" si="1"/>
        <v>1.015185354304601E-2</v>
      </c>
      <c r="L44" s="20">
        <f t="shared" si="1"/>
        <v>7.895374902129321E-3</v>
      </c>
      <c r="M44" s="20">
        <v>1.1508939689489975E-2</v>
      </c>
      <c r="N44" s="20">
        <v>8.3617345592206741E-4</v>
      </c>
      <c r="O44" s="20">
        <v>7.2654256472094086E-2</v>
      </c>
      <c r="P44" s="20">
        <v>0.04</v>
      </c>
      <c r="Q44" s="20">
        <v>0.17000000000000015</v>
      </c>
      <c r="R44" s="20"/>
      <c r="S44" s="20">
        <v>0.69</v>
      </c>
      <c r="T44" s="20">
        <v>0.1</v>
      </c>
      <c r="U44" s="25">
        <f>SUM(P44:T44)</f>
        <v>1.0000000000000002</v>
      </c>
    </row>
    <row r="45" spans="2:22" x14ac:dyDescent="0.2">
      <c r="B45" s="19">
        <v>37624</v>
      </c>
      <c r="C45" s="10">
        <v>11632</v>
      </c>
      <c r="D45" s="10">
        <v>3098.89</v>
      </c>
      <c r="E45" s="10">
        <v>9523.25</v>
      </c>
      <c r="F45" s="10">
        <v>4009.5</v>
      </c>
      <c r="G45" s="10">
        <v>1024.47</v>
      </c>
      <c r="H45" s="20">
        <f t="shared" ref="H45:H108" si="2">LN(C45/C44)</f>
        <v>2.9753972592778524E-2</v>
      </c>
      <c r="I45" s="20">
        <f t="shared" ref="I45:I108" si="3">LN(D45/D44)</f>
        <v>6.6788521898339143E-2</v>
      </c>
      <c r="J45" s="20">
        <f t="shared" ref="J45:J108" si="4">LN(E45/E44)</f>
        <v>2.0111098988597569E-2</v>
      </c>
      <c r="K45" s="20">
        <f t="shared" ref="K45:K108" si="5">LN(F45/F44)</f>
        <v>1.7384304265559352E-2</v>
      </c>
      <c r="L45" s="20">
        <f t="shared" ref="L45:L108" si="6">LN(G45/G44)</f>
        <v>2.8544938209150432E-2</v>
      </c>
      <c r="M45" s="20">
        <v>1.2953162917986183E-2</v>
      </c>
      <c r="N45" s="20">
        <v>2.1587394432831478E-3</v>
      </c>
      <c r="O45" s="20">
        <v>0.16665732199551192</v>
      </c>
      <c r="P45" s="20">
        <v>0.59000000000000008</v>
      </c>
      <c r="Q45" s="20"/>
      <c r="R45" s="20"/>
      <c r="S45" s="20"/>
      <c r="T45" s="20">
        <v>0.41</v>
      </c>
      <c r="U45" s="25">
        <f t="shared" ref="U45:U108" si="7">SUM(P45:T45)</f>
        <v>1</v>
      </c>
    </row>
    <row r="46" spans="2:22" x14ac:dyDescent="0.2">
      <c r="B46" s="19">
        <v>37627</v>
      </c>
      <c r="C46" s="10">
        <v>11636</v>
      </c>
      <c r="D46" s="10">
        <v>3101.17</v>
      </c>
      <c r="E46" s="10">
        <v>9605.09</v>
      </c>
      <c r="F46" s="10">
        <v>4004.9</v>
      </c>
      <c r="G46" s="10">
        <v>1034.02</v>
      </c>
      <c r="H46" s="20">
        <f t="shared" si="2"/>
        <v>3.4381984179163752E-4</v>
      </c>
      <c r="I46" s="20">
        <f t="shared" si="3"/>
        <v>7.3547678660414628E-4</v>
      </c>
      <c r="J46" s="20">
        <f t="shared" si="4"/>
        <v>8.5569891975850829E-3</v>
      </c>
      <c r="K46" s="20">
        <f t="shared" si="5"/>
        <v>-1.1479338453629015E-3</v>
      </c>
      <c r="L46" s="20">
        <f t="shared" si="6"/>
        <v>9.2787125677365381E-3</v>
      </c>
      <c r="M46" s="20">
        <v>1.4013216223519354E-2</v>
      </c>
      <c r="N46" s="20">
        <v>2.4093953490554481E-3</v>
      </c>
      <c r="O46" s="20">
        <v>0.17193735618034586</v>
      </c>
      <c r="P46" s="20">
        <v>0.86</v>
      </c>
      <c r="Q46" s="20">
        <v>0.1399999999999999</v>
      </c>
      <c r="R46" s="20"/>
      <c r="S46" s="20"/>
      <c r="T46" s="20"/>
      <c r="U46" s="25">
        <f t="shared" si="7"/>
        <v>0.99999999999999989</v>
      </c>
    </row>
    <row r="47" spans="2:22" x14ac:dyDescent="0.2">
      <c r="B47" s="19">
        <v>37628</v>
      </c>
      <c r="C47" s="10">
        <v>12010</v>
      </c>
      <c r="D47" s="10">
        <v>3156.56</v>
      </c>
      <c r="E47" s="10">
        <v>9710.7900000000009</v>
      </c>
      <c r="F47" s="10">
        <v>4001.4</v>
      </c>
      <c r="G47" s="10">
        <v>1063.18</v>
      </c>
      <c r="H47" s="20">
        <f t="shared" si="2"/>
        <v>3.1635895458936997E-2</v>
      </c>
      <c r="I47" s="20">
        <f t="shared" si="3"/>
        <v>1.770336739909064E-2</v>
      </c>
      <c r="J47" s="20">
        <f t="shared" si="4"/>
        <v>1.0944472120660288E-2</v>
      </c>
      <c r="K47" s="20">
        <f t="shared" si="5"/>
        <v>-8.7431153540489328E-4</v>
      </c>
      <c r="L47" s="20">
        <f t="shared" si="6"/>
        <v>2.7810298844830095E-2</v>
      </c>
      <c r="M47" s="20">
        <v>1.1536040424838453E-2</v>
      </c>
      <c r="N47" s="20">
        <v>1.241655581725951E-3</v>
      </c>
      <c r="O47" s="20">
        <v>0.10763273497659737</v>
      </c>
      <c r="P47" s="20"/>
      <c r="Q47" s="20"/>
      <c r="R47" s="20">
        <v>0.18</v>
      </c>
      <c r="S47" s="20">
        <v>0.22</v>
      </c>
      <c r="T47" s="20">
        <v>0.6</v>
      </c>
      <c r="U47" s="25">
        <f t="shared" si="7"/>
        <v>1</v>
      </c>
    </row>
    <row r="48" spans="2:22" x14ac:dyDescent="0.2">
      <c r="B48" s="19">
        <v>37629</v>
      </c>
      <c r="C48" s="10">
        <v>11875</v>
      </c>
      <c r="D48" s="10">
        <v>3108.02</v>
      </c>
      <c r="E48" s="10">
        <v>9632.36</v>
      </c>
      <c r="F48" s="10">
        <v>3957.4</v>
      </c>
      <c r="G48" s="10">
        <v>1063.48</v>
      </c>
      <c r="H48" s="20">
        <f t="shared" si="2"/>
        <v>-1.1304286171187228E-2</v>
      </c>
      <c r="I48" s="20">
        <f t="shared" si="3"/>
        <v>-1.549695954912913E-2</v>
      </c>
      <c r="J48" s="20">
        <f t="shared" si="4"/>
        <v>-8.1093751337059546E-3</v>
      </c>
      <c r="K48" s="20">
        <f t="shared" si="5"/>
        <v>-1.1057055907976E-2</v>
      </c>
      <c r="L48" s="20">
        <f t="shared" si="6"/>
        <v>2.8213254774149966E-4</v>
      </c>
      <c r="M48" s="20">
        <v>1.4201752820903989E-2</v>
      </c>
      <c r="N48" s="20">
        <v>2.0016154220366634E-3</v>
      </c>
      <c r="O48" s="20">
        <v>0.14094143499599748</v>
      </c>
      <c r="P48" s="20">
        <v>0.55000000000000004</v>
      </c>
      <c r="Q48" s="20">
        <v>0.44999999999999996</v>
      </c>
      <c r="R48" s="20"/>
      <c r="S48" s="20"/>
      <c r="T48" s="20"/>
      <c r="U48" s="25">
        <f t="shared" si="7"/>
        <v>1</v>
      </c>
    </row>
    <row r="49" spans="2:21" x14ac:dyDescent="0.2">
      <c r="B49" s="19">
        <v>37630</v>
      </c>
      <c r="C49" s="10">
        <v>11814</v>
      </c>
      <c r="D49" s="10">
        <v>3000.24</v>
      </c>
      <c r="E49" s="10">
        <v>9626.14</v>
      </c>
      <c r="F49" s="10">
        <v>3924.8</v>
      </c>
      <c r="G49" s="10">
        <v>1056.6099999999999</v>
      </c>
      <c r="H49" s="20">
        <f t="shared" si="2"/>
        <v>-5.1500810356613653E-3</v>
      </c>
      <c r="I49" s="20">
        <f t="shared" si="3"/>
        <v>-3.5293582022851176E-2</v>
      </c>
      <c r="J49" s="20">
        <f t="shared" si="4"/>
        <v>-6.4594856466238676E-4</v>
      </c>
      <c r="K49" s="20">
        <f t="shared" si="5"/>
        <v>-8.2718494541147991E-3</v>
      </c>
      <c r="L49" s="20">
        <f t="shared" si="6"/>
        <v>-6.4808796287084153E-3</v>
      </c>
      <c r="M49" s="20">
        <v>1.0331312767814439E-2</v>
      </c>
      <c r="N49" s="20">
        <v>1.7341466750485793E-3</v>
      </c>
      <c r="O49" s="20">
        <v>0.16785346780430821</v>
      </c>
      <c r="P49" s="20">
        <v>0.38</v>
      </c>
      <c r="Q49" s="20">
        <v>0.05</v>
      </c>
      <c r="R49" s="20">
        <v>0.49</v>
      </c>
      <c r="S49" s="20">
        <v>0</v>
      </c>
      <c r="T49" s="20">
        <v>0.08</v>
      </c>
      <c r="U49" s="25">
        <f t="shared" si="7"/>
        <v>0.99999999999999989</v>
      </c>
    </row>
    <row r="50" spans="2:21" x14ac:dyDescent="0.2">
      <c r="B50" s="19">
        <v>37631</v>
      </c>
      <c r="C50" s="10">
        <v>11925</v>
      </c>
      <c r="D50" s="10">
        <v>3037.8</v>
      </c>
      <c r="E50" s="10">
        <v>9711.76</v>
      </c>
      <c r="F50" s="10">
        <v>3934</v>
      </c>
      <c r="G50" s="10">
        <v>1059.8599999999999</v>
      </c>
      <c r="H50" s="20">
        <f t="shared" si="2"/>
        <v>9.3517678893615085E-3</v>
      </c>
      <c r="I50" s="20">
        <f t="shared" si="3"/>
        <v>1.2441283753501221E-2</v>
      </c>
      <c r="J50" s="20">
        <f t="shared" si="4"/>
        <v>8.8552075962917785E-3</v>
      </c>
      <c r="K50" s="20">
        <f t="shared" si="5"/>
        <v>2.3413254447794646E-3</v>
      </c>
      <c r="L50" s="20">
        <f t="shared" si="6"/>
        <v>3.0711539067371286E-3</v>
      </c>
      <c r="M50" s="20">
        <v>1.3842810103737418E-2</v>
      </c>
      <c r="N50" s="20">
        <v>1.851187665424041E-3</v>
      </c>
      <c r="O50" s="20">
        <v>0.13372918154271574</v>
      </c>
      <c r="P50" s="20">
        <v>0.30000000000000004</v>
      </c>
      <c r="Q50" s="20"/>
      <c r="R50" s="20"/>
      <c r="S50" s="20"/>
      <c r="T50" s="20">
        <v>0.7</v>
      </c>
      <c r="U50" s="25">
        <f t="shared" si="7"/>
        <v>1</v>
      </c>
    </row>
    <row r="51" spans="2:21" x14ac:dyDescent="0.2">
      <c r="B51" s="19">
        <v>37634</v>
      </c>
      <c r="C51" s="10">
        <v>12243</v>
      </c>
      <c r="D51" s="10">
        <v>3039.91</v>
      </c>
      <c r="E51" s="10">
        <v>9752.2999999999993</v>
      </c>
      <c r="F51" s="10">
        <v>3974.1</v>
      </c>
      <c r="G51" s="10">
        <v>1101.24</v>
      </c>
      <c r="H51" s="20">
        <f t="shared" si="2"/>
        <v>2.6317308317373358E-2</v>
      </c>
      <c r="I51" s="20">
        <f t="shared" si="3"/>
        <v>6.9434049494651942E-4</v>
      </c>
      <c r="J51" s="20">
        <f t="shared" si="4"/>
        <v>4.1656323112942949E-3</v>
      </c>
      <c r="K51" s="20">
        <f t="shared" si="5"/>
        <v>1.0141587409321079E-2</v>
      </c>
      <c r="L51" s="20">
        <f t="shared" si="6"/>
        <v>3.8299993707240736E-2</v>
      </c>
      <c r="M51" s="20">
        <v>1.0296130351766712E-2</v>
      </c>
      <c r="N51" s="20">
        <v>6.9252117278039837E-4</v>
      </c>
      <c r="O51" s="20">
        <v>6.7260334622858464E-2</v>
      </c>
      <c r="P51" s="20"/>
      <c r="Q51" s="20"/>
      <c r="R51" s="20">
        <v>0.27</v>
      </c>
      <c r="S51" s="20">
        <v>0.73</v>
      </c>
      <c r="T51" s="20"/>
      <c r="U51" s="25">
        <f t="shared" si="7"/>
        <v>1</v>
      </c>
    </row>
    <row r="52" spans="2:21" x14ac:dyDescent="0.2">
      <c r="B52" s="19">
        <v>37635</v>
      </c>
      <c r="C52" s="10">
        <v>12131</v>
      </c>
      <c r="D52" s="10">
        <v>3063.49</v>
      </c>
      <c r="E52" s="10">
        <v>9812.91</v>
      </c>
      <c r="F52" s="10">
        <v>3948.3</v>
      </c>
      <c r="G52" s="10">
        <v>1082.3699999999999</v>
      </c>
      <c r="H52" s="20">
        <f t="shared" si="2"/>
        <v>-9.190185302996038E-3</v>
      </c>
      <c r="I52" s="20">
        <f t="shared" si="3"/>
        <v>7.7268792212684487E-3</v>
      </c>
      <c r="J52" s="20">
        <f t="shared" si="4"/>
        <v>6.1957110488857908E-3</v>
      </c>
      <c r="K52" s="20">
        <f t="shared" si="5"/>
        <v>-6.5132008499377784E-3</v>
      </c>
      <c r="L52" s="20">
        <f t="shared" si="6"/>
        <v>-1.7283736332697298E-2</v>
      </c>
      <c r="M52" s="20">
        <v>9.638502077334056E-3</v>
      </c>
      <c r="N52" s="20">
        <v>8.1704539585372878E-4</v>
      </c>
      <c r="O52" s="20">
        <v>8.4768918375304023E-2</v>
      </c>
      <c r="P52" s="20"/>
      <c r="Q52" s="20"/>
      <c r="R52" s="20">
        <v>0.47</v>
      </c>
      <c r="S52" s="20">
        <v>0.53000000000000014</v>
      </c>
      <c r="T52" s="20"/>
      <c r="U52" s="25">
        <f t="shared" si="7"/>
        <v>1</v>
      </c>
    </row>
    <row r="53" spans="2:21" x14ac:dyDescent="0.2">
      <c r="B53" s="19">
        <v>37636</v>
      </c>
      <c r="C53" s="10">
        <v>12151</v>
      </c>
      <c r="D53" s="10">
        <v>3107.61</v>
      </c>
      <c r="E53" s="10">
        <v>9807.43</v>
      </c>
      <c r="F53" s="10">
        <v>3945.6</v>
      </c>
      <c r="G53" s="10">
        <v>1096.96</v>
      </c>
      <c r="H53" s="20">
        <f t="shared" si="2"/>
        <v>1.6473111376924233E-3</v>
      </c>
      <c r="I53" s="20">
        <f t="shared" si="3"/>
        <v>1.4299153068318774E-2</v>
      </c>
      <c r="J53" s="20">
        <f t="shared" si="4"/>
        <v>-5.5860399386524809E-4</v>
      </c>
      <c r="K53" s="20">
        <f t="shared" si="5"/>
        <v>-6.8407253836260155E-4</v>
      </c>
      <c r="L53" s="20">
        <f t="shared" si="6"/>
        <v>1.3389636243080717E-2</v>
      </c>
      <c r="M53" s="20">
        <v>1.5740839928933402E-2</v>
      </c>
      <c r="N53" s="20">
        <v>1.5162655103046967E-3</v>
      </c>
      <c r="O53" s="20">
        <v>9.6326848957890315E-2</v>
      </c>
      <c r="P53" s="20">
        <v>0.19</v>
      </c>
      <c r="Q53" s="20">
        <v>0.72</v>
      </c>
      <c r="R53" s="20">
        <v>9.000000000000008E-2</v>
      </c>
      <c r="S53" s="20"/>
      <c r="T53" s="20"/>
      <c r="U53" s="25">
        <f t="shared" si="7"/>
        <v>1</v>
      </c>
    </row>
    <row r="54" spans="2:21" x14ac:dyDescent="0.2">
      <c r="B54" s="19">
        <v>37637</v>
      </c>
      <c r="C54" s="10">
        <v>11973</v>
      </c>
      <c r="D54" s="10">
        <v>3047.24</v>
      </c>
      <c r="E54" s="10">
        <v>9798.16</v>
      </c>
      <c r="F54" s="10">
        <v>3887.8</v>
      </c>
      <c r="G54" s="10">
        <v>1076.18</v>
      </c>
      <c r="H54" s="20">
        <f t="shared" si="2"/>
        <v>-1.4757356191768172E-2</v>
      </c>
      <c r="I54" s="20">
        <f t="shared" si="3"/>
        <v>-1.9617679105277966E-2</v>
      </c>
      <c r="J54" s="20">
        <f t="shared" si="4"/>
        <v>-9.4564873495868332E-4</v>
      </c>
      <c r="K54" s="20">
        <f t="shared" si="5"/>
        <v>-1.4757589042012667E-2</v>
      </c>
      <c r="L54" s="20">
        <f t="shared" si="6"/>
        <v>-1.9124983553006378E-2</v>
      </c>
      <c r="M54" s="20">
        <v>9.6742806607821898E-3</v>
      </c>
      <c r="N54" s="20">
        <v>8.0459297354639576E-4</v>
      </c>
      <c r="O54" s="20">
        <v>8.3168248033993086E-2</v>
      </c>
      <c r="P54" s="20"/>
      <c r="Q54" s="20"/>
      <c r="R54" s="20">
        <v>0.45</v>
      </c>
      <c r="S54" s="20">
        <v>0.55000000000000004</v>
      </c>
      <c r="T54" s="20"/>
      <c r="U54" s="25">
        <f t="shared" si="7"/>
        <v>1</v>
      </c>
    </row>
    <row r="55" spans="2:21" x14ac:dyDescent="0.2">
      <c r="B55" s="19">
        <v>37638</v>
      </c>
      <c r="C55" s="10">
        <v>11952</v>
      </c>
      <c r="D55" s="10">
        <v>3047.11</v>
      </c>
      <c r="E55" s="10">
        <v>9730.5499999999993</v>
      </c>
      <c r="F55" s="10">
        <v>3881.8</v>
      </c>
      <c r="G55" s="10">
        <v>1041.43</v>
      </c>
      <c r="H55" s="20">
        <f t="shared" si="2"/>
        <v>-1.7554863442450464E-3</v>
      </c>
      <c r="I55" s="20">
        <f t="shared" si="3"/>
        <v>-4.2662466061006688E-5</v>
      </c>
      <c r="J55" s="20">
        <f t="shared" si="4"/>
        <v>-6.9241921383165917E-3</v>
      </c>
      <c r="K55" s="20">
        <f t="shared" si="5"/>
        <v>-1.544481361385766E-3</v>
      </c>
      <c r="L55" s="20">
        <f t="shared" si="6"/>
        <v>-3.2822965287737052E-2</v>
      </c>
      <c r="M55" s="20">
        <v>1.3075606813184711E-2</v>
      </c>
      <c r="N55" s="20">
        <v>2.0530039753539398E-3</v>
      </c>
      <c r="O55" s="20">
        <v>0.15701022558156194</v>
      </c>
      <c r="P55" s="20">
        <v>0.56000000000000005</v>
      </c>
      <c r="Q55" s="20">
        <v>0.28999999999999981</v>
      </c>
      <c r="R55" s="20"/>
      <c r="S55" s="20"/>
      <c r="T55" s="20">
        <v>0.15</v>
      </c>
      <c r="U55" s="25">
        <f t="shared" si="7"/>
        <v>0.99999999999999989</v>
      </c>
    </row>
    <row r="56" spans="2:21" x14ac:dyDescent="0.2">
      <c r="B56" s="19">
        <v>37641</v>
      </c>
      <c r="C56" s="10">
        <v>11675</v>
      </c>
      <c r="D56" s="10">
        <v>2927.58</v>
      </c>
      <c r="E56" s="10">
        <v>9551.56</v>
      </c>
      <c r="F56" s="10">
        <v>3820.6</v>
      </c>
      <c r="G56" s="10">
        <v>1041.43</v>
      </c>
      <c r="H56" s="20">
        <f t="shared" si="2"/>
        <v>-2.3448824835500436E-2</v>
      </c>
      <c r="I56" s="20">
        <f t="shared" si="3"/>
        <v>-4.0017457247738843E-2</v>
      </c>
      <c r="J56" s="20">
        <f t="shared" si="4"/>
        <v>-1.8565928870280777E-2</v>
      </c>
      <c r="K56" s="20">
        <f t="shared" si="5"/>
        <v>-1.5891485237075422E-2</v>
      </c>
      <c r="L56" s="20">
        <f t="shared" si="6"/>
        <v>0</v>
      </c>
      <c r="M56" s="20">
        <v>9.5795363962064995E-3</v>
      </c>
      <c r="N56" s="20">
        <v>8.9798614085139351E-4</v>
      </c>
      <c r="O56" s="20">
        <v>9.3740041658696191E-2</v>
      </c>
      <c r="P56" s="20"/>
      <c r="Q56" s="20"/>
      <c r="R56" s="20">
        <v>0.6</v>
      </c>
      <c r="S56" s="20">
        <v>0.4</v>
      </c>
      <c r="T56" s="20"/>
      <c r="U56" s="25">
        <f t="shared" si="7"/>
        <v>1</v>
      </c>
    </row>
    <row r="57" spans="2:21" x14ac:dyDescent="0.2">
      <c r="B57" s="19">
        <v>37642</v>
      </c>
      <c r="C57" s="10">
        <v>11610</v>
      </c>
      <c r="D57" s="10">
        <v>2900.88</v>
      </c>
      <c r="E57" s="10">
        <v>9558.2000000000007</v>
      </c>
      <c r="F57" s="10">
        <v>3778.6</v>
      </c>
      <c r="G57" s="10">
        <v>1022.94</v>
      </c>
      <c r="H57" s="20">
        <f t="shared" si="2"/>
        <v>-5.5830078451609214E-3</v>
      </c>
      <c r="I57" s="20">
        <f t="shared" si="3"/>
        <v>-9.1620039500631464E-3</v>
      </c>
      <c r="J57" s="20">
        <f t="shared" si="4"/>
        <v>6.9493287903391314E-4</v>
      </c>
      <c r="K57" s="20">
        <f t="shared" si="5"/>
        <v>-1.1053907690333846E-2</v>
      </c>
      <c r="L57" s="20">
        <f t="shared" si="6"/>
        <v>-1.7913934483367405E-2</v>
      </c>
      <c r="M57" s="20">
        <v>9.6947853400666216E-3</v>
      </c>
      <c r="N57" s="20">
        <v>7.9836676239272925E-4</v>
      </c>
      <c r="O57" s="20">
        <v>8.2350122709085483E-2</v>
      </c>
      <c r="P57" s="20"/>
      <c r="Q57" s="20"/>
      <c r="R57" s="20">
        <v>0.44</v>
      </c>
      <c r="S57" s="20">
        <v>0.56000000000000005</v>
      </c>
      <c r="T57" s="20"/>
      <c r="U57" s="25">
        <f t="shared" si="7"/>
        <v>1</v>
      </c>
    </row>
    <row r="58" spans="2:21" x14ac:dyDescent="0.2">
      <c r="B58" s="19">
        <v>37643</v>
      </c>
      <c r="C58" s="10">
        <v>11428</v>
      </c>
      <c r="D58" s="10">
        <v>2866.35</v>
      </c>
      <c r="E58" s="10">
        <v>9484.89</v>
      </c>
      <c r="F58" s="10">
        <v>3736.7</v>
      </c>
      <c r="G58" s="10">
        <v>1005.57</v>
      </c>
      <c r="H58" s="20">
        <f t="shared" si="2"/>
        <v>-1.5800311341273465E-2</v>
      </c>
      <c r="I58" s="20">
        <f t="shared" si="3"/>
        <v>-1.1974695863821236E-2</v>
      </c>
      <c r="J58" s="20">
        <f t="shared" si="4"/>
        <v>-7.6994187558271877E-3</v>
      </c>
      <c r="K58" s="20">
        <f t="shared" si="5"/>
        <v>-1.1150701674308814E-2</v>
      </c>
      <c r="L58" s="20">
        <f t="shared" si="6"/>
        <v>-1.7126289309728884E-2</v>
      </c>
      <c r="M58" s="20">
        <v>1.2619070709277829E-2</v>
      </c>
      <c r="N58" s="20">
        <v>1.7816225864633176E-3</v>
      </c>
      <c r="O58" s="20">
        <v>0.14118492775806607</v>
      </c>
      <c r="P58" s="20">
        <v>0.32000000000000017</v>
      </c>
      <c r="Q58" s="20"/>
      <c r="R58" s="20"/>
      <c r="S58" s="20">
        <v>0.09</v>
      </c>
      <c r="T58" s="20">
        <v>0.59</v>
      </c>
      <c r="U58" s="25">
        <f t="shared" si="7"/>
        <v>1</v>
      </c>
    </row>
    <row r="59" spans="2:21" x14ac:dyDescent="0.2">
      <c r="B59" s="19">
        <v>37644</v>
      </c>
      <c r="C59" s="10">
        <v>11148</v>
      </c>
      <c r="D59" s="10">
        <v>2804.13</v>
      </c>
      <c r="E59" s="10">
        <v>9513.58</v>
      </c>
      <c r="F59" s="10">
        <v>3678</v>
      </c>
      <c r="G59" s="10">
        <v>1024.47</v>
      </c>
      <c r="H59" s="20">
        <f t="shared" si="2"/>
        <v>-2.4806374748824876E-2</v>
      </c>
      <c r="I59" s="20">
        <f t="shared" si="3"/>
        <v>-2.1946112936194296E-2</v>
      </c>
      <c r="J59" s="20">
        <f t="shared" si="4"/>
        <v>3.0202455049169598E-3</v>
      </c>
      <c r="K59" s="20">
        <f t="shared" si="5"/>
        <v>-1.5833742800642359E-2</v>
      </c>
      <c r="L59" s="20">
        <f t="shared" si="6"/>
        <v>1.8620860777878737E-2</v>
      </c>
      <c r="M59" s="20">
        <v>1.4297439516260625E-2</v>
      </c>
      <c r="N59" s="20">
        <v>1.7769510293890842E-3</v>
      </c>
      <c r="O59" s="20">
        <v>0.12428456349601195</v>
      </c>
      <c r="P59" s="20">
        <v>0.22999999999999998</v>
      </c>
      <c r="Q59" s="20"/>
      <c r="R59" s="20"/>
      <c r="S59" s="20"/>
      <c r="T59" s="20">
        <v>0.77</v>
      </c>
      <c r="U59" s="25">
        <f t="shared" si="7"/>
        <v>1</v>
      </c>
    </row>
    <row r="60" spans="2:21" x14ac:dyDescent="0.2">
      <c r="B60" s="19">
        <v>37645</v>
      </c>
      <c r="C60" s="10">
        <v>11157</v>
      </c>
      <c r="D60" s="10">
        <v>2813.13</v>
      </c>
      <c r="E60" s="10">
        <v>9558.48</v>
      </c>
      <c r="F60" s="10">
        <v>3622.2</v>
      </c>
      <c r="G60" s="10">
        <v>1027.7</v>
      </c>
      <c r="H60" s="20">
        <f t="shared" si="2"/>
        <v>8.0699399134096742E-4</v>
      </c>
      <c r="I60" s="20">
        <f t="shared" si="3"/>
        <v>3.2044120091257286E-3</v>
      </c>
      <c r="J60" s="20">
        <f t="shared" si="4"/>
        <v>4.7084670404198394E-3</v>
      </c>
      <c r="K60" s="20">
        <f t="shared" si="5"/>
        <v>-1.5287550133831009E-2</v>
      </c>
      <c r="L60" s="20">
        <f t="shared" si="6"/>
        <v>3.1478899576827114E-3</v>
      </c>
      <c r="M60" s="20">
        <v>1.1331139523755324E-2</v>
      </c>
      <c r="N60" s="20">
        <v>1.7343060987354266E-3</v>
      </c>
      <c r="O60" s="20">
        <v>0.15305663610438444</v>
      </c>
      <c r="P60" s="20">
        <v>0.38</v>
      </c>
      <c r="Q60" s="20">
        <v>0</v>
      </c>
      <c r="R60" s="20"/>
      <c r="S60" s="20">
        <v>0.2</v>
      </c>
      <c r="T60" s="20">
        <v>0.42</v>
      </c>
      <c r="U60" s="25">
        <f t="shared" si="7"/>
        <v>1</v>
      </c>
    </row>
    <row r="61" spans="2:21" x14ac:dyDescent="0.2">
      <c r="B61" s="19">
        <v>37648</v>
      </c>
      <c r="C61" s="10">
        <v>10768</v>
      </c>
      <c r="D61" s="10">
        <v>2716.42</v>
      </c>
      <c r="E61" s="10">
        <v>9326.76</v>
      </c>
      <c r="F61" s="10">
        <v>3603.7</v>
      </c>
      <c r="G61" s="10">
        <v>985.08</v>
      </c>
      <c r="H61" s="20">
        <f t="shared" si="2"/>
        <v>-3.5488330708670683E-2</v>
      </c>
      <c r="I61" s="20">
        <f t="shared" si="3"/>
        <v>-3.4982905529981678E-2</v>
      </c>
      <c r="J61" s="20">
        <f t="shared" si="4"/>
        <v>-2.4541030939118486E-2</v>
      </c>
      <c r="K61" s="20">
        <f t="shared" si="5"/>
        <v>-5.1204806104254092E-3</v>
      </c>
      <c r="L61" s="20">
        <f t="shared" si="6"/>
        <v>-4.2355718482852321E-2</v>
      </c>
      <c r="M61" s="20">
        <v>1.7357097322569404E-2</v>
      </c>
      <c r="N61" s="20">
        <v>1.2610918648413593E-3</v>
      </c>
      <c r="O61" s="20">
        <v>7.2655688990207121E-2</v>
      </c>
      <c r="P61" s="20"/>
      <c r="Q61" s="20">
        <v>0.87</v>
      </c>
      <c r="R61" s="20">
        <v>0.13</v>
      </c>
      <c r="S61" s="20"/>
      <c r="T61" s="20"/>
      <c r="U61" s="25">
        <f t="shared" si="7"/>
        <v>1</v>
      </c>
    </row>
    <row r="62" spans="2:21" x14ac:dyDescent="0.2">
      <c r="B62" s="19">
        <v>37649</v>
      </c>
      <c r="C62" s="10">
        <v>10534</v>
      </c>
      <c r="D62" s="10">
        <v>2649.96</v>
      </c>
      <c r="E62" s="10">
        <v>9244.2999999999993</v>
      </c>
      <c r="F62" s="10">
        <v>3480.8</v>
      </c>
      <c r="G62" s="10">
        <v>996.88</v>
      </c>
      <c r="H62" s="20">
        <f t="shared" si="2"/>
        <v>-2.1970651841174429E-2</v>
      </c>
      <c r="I62" s="20">
        <f t="shared" si="3"/>
        <v>-2.4770291371715117E-2</v>
      </c>
      <c r="J62" s="20">
        <f t="shared" si="4"/>
        <v>-8.8805422982452462E-3</v>
      </c>
      <c r="K62" s="20">
        <f t="shared" si="5"/>
        <v>-3.4698943013539575E-2</v>
      </c>
      <c r="L62" s="20">
        <f t="shared" si="6"/>
        <v>1.1907545486436924E-2</v>
      </c>
      <c r="M62" s="20">
        <v>9.5213202492338521E-3</v>
      </c>
      <c r="N62" s="20">
        <v>1.3406907383514222E-3</v>
      </c>
      <c r="O62" s="20">
        <v>0.14080933140121013</v>
      </c>
      <c r="P62" s="20">
        <v>0.15999999999999992</v>
      </c>
      <c r="Q62" s="20">
        <v>0.03</v>
      </c>
      <c r="R62" s="20">
        <v>0.5</v>
      </c>
      <c r="S62" s="20">
        <v>0.16</v>
      </c>
      <c r="T62" s="20">
        <v>0.15</v>
      </c>
      <c r="U62" s="25">
        <f t="shared" si="7"/>
        <v>1</v>
      </c>
    </row>
    <row r="63" spans="2:21" x14ac:dyDescent="0.2">
      <c r="B63" s="19">
        <v>37650</v>
      </c>
      <c r="C63" s="10">
        <v>10514</v>
      </c>
      <c r="D63" s="10">
        <v>2667.69</v>
      </c>
      <c r="E63" s="10">
        <v>9272.2800000000007</v>
      </c>
      <c r="F63" s="10">
        <v>3490</v>
      </c>
      <c r="G63" s="10">
        <v>994.6</v>
      </c>
      <c r="H63" s="20">
        <f t="shared" si="2"/>
        <v>-1.9004186639412653E-3</v>
      </c>
      <c r="I63" s="20">
        <f t="shared" si="3"/>
        <v>6.6683838539396923E-3</v>
      </c>
      <c r="J63" s="20">
        <f t="shared" si="4"/>
        <v>3.0221586595518143E-3</v>
      </c>
      <c r="K63" s="20">
        <f t="shared" si="5"/>
        <v>2.639583790002527E-3</v>
      </c>
      <c r="L63" s="20">
        <f t="shared" si="6"/>
        <v>-2.2897553539738933E-3</v>
      </c>
      <c r="M63" s="20">
        <v>1.016582388646449E-2</v>
      </c>
      <c r="N63" s="20">
        <v>7.8130026815534642E-4</v>
      </c>
      <c r="O63" s="20">
        <v>7.6855577755544829E-2</v>
      </c>
      <c r="P63" s="20"/>
      <c r="Q63" s="20"/>
      <c r="R63" s="20">
        <v>0.04</v>
      </c>
      <c r="S63" s="20">
        <v>0.73</v>
      </c>
      <c r="T63" s="20">
        <v>0.22999999999999998</v>
      </c>
      <c r="U63" s="25">
        <f t="shared" si="7"/>
        <v>1</v>
      </c>
    </row>
    <row r="64" spans="2:21" x14ac:dyDescent="0.2">
      <c r="B64" s="19">
        <v>37651</v>
      </c>
      <c r="C64" s="10">
        <v>10873</v>
      </c>
      <c r="D64" s="10">
        <v>2711.84</v>
      </c>
      <c r="E64" s="10">
        <v>9251.94</v>
      </c>
      <c r="F64" s="10">
        <v>3483.8</v>
      </c>
      <c r="G64" s="10">
        <v>1018.48</v>
      </c>
      <c r="H64" s="20">
        <f t="shared" si="2"/>
        <v>3.3574949618356158E-2</v>
      </c>
      <c r="I64" s="20">
        <f t="shared" si="3"/>
        <v>1.6414441889080072E-2</v>
      </c>
      <c r="J64" s="20">
        <f t="shared" si="4"/>
        <v>-2.1960447645653328E-3</v>
      </c>
      <c r="K64" s="20">
        <f t="shared" si="5"/>
        <v>-1.7780841531115136E-3</v>
      </c>
      <c r="L64" s="20">
        <f t="shared" si="6"/>
        <v>2.3725952472751798E-2</v>
      </c>
      <c r="M64" s="20">
        <v>1.3233550764420348E-2</v>
      </c>
      <c r="N64" s="20">
        <v>1.9890557037746748E-3</v>
      </c>
      <c r="O64" s="20">
        <v>0.15030400677665731</v>
      </c>
      <c r="P64" s="20">
        <v>0.42999999999999994</v>
      </c>
      <c r="Q64" s="20"/>
      <c r="R64" s="20"/>
      <c r="S64" s="20"/>
      <c r="T64" s="20">
        <v>0.56999999999999995</v>
      </c>
      <c r="U64" s="25">
        <f t="shared" si="7"/>
        <v>0.99999999999999989</v>
      </c>
    </row>
    <row r="65" spans="2:21" x14ac:dyDescent="0.2">
      <c r="B65" s="19">
        <v>37652</v>
      </c>
      <c r="C65" s="10">
        <v>10761</v>
      </c>
      <c r="D65" s="10">
        <v>2687.72</v>
      </c>
      <c r="E65" s="10">
        <v>9251.94</v>
      </c>
      <c r="F65" s="10">
        <v>3578.7</v>
      </c>
      <c r="G65" s="10">
        <v>971.6</v>
      </c>
      <c r="H65" s="20">
        <f t="shared" si="2"/>
        <v>-1.0354164797357224E-2</v>
      </c>
      <c r="I65" s="20">
        <f t="shared" si="3"/>
        <v>-8.9341207190949123E-3</v>
      </c>
      <c r="J65" s="20">
        <f t="shared" si="4"/>
        <v>0</v>
      </c>
      <c r="K65" s="20">
        <f t="shared" si="5"/>
        <v>2.6875953912648329E-2</v>
      </c>
      <c r="L65" s="20">
        <f t="shared" si="6"/>
        <v>-4.7122401625372443E-2</v>
      </c>
      <c r="M65" s="20">
        <v>1.007584072238403E-2</v>
      </c>
      <c r="N65" s="20">
        <v>7.7980655797206099E-4</v>
      </c>
      <c r="O65" s="20">
        <v>7.7393696412814281E-2</v>
      </c>
      <c r="P65" s="20"/>
      <c r="Q65" s="20"/>
      <c r="R65" s="20">
        <v>7.0000000000000007E-2</v>
      </c>
      <c r="S65" s="20">
        <v>0.72</v>
      </c>
      <c r="T65" s="20">
        <v>0.20999999999999996</v>
      </c>
      <c r="U65" s="25">
        <f t="shared" si="7"/>
        <v>1</v>
      </c>
    </row>
    <row r="66" spans="2:21" x14ac:dyDescent="0.2">
      <c r="B66" s="19">
        <v>37655</v>
      </c>
      <c r="C66" s="10">
        <v>10943</v>
      </c>
      <c r="D66" s="10">
        <v>2750.4</v>
      </c>
      <c r="E66" s="10">
        <v>9251.94</v>
      </c>
      <c r="F66" s="10">
        <v>3567.4</v>
      </c>
      <c r="G66" s="10">
        <v>987.37</v>
      </c>
      <c r="H66" s="20">
        <f t="shared" si="2"/>
        <v>1.6771495218050728E-2</v>
      </c>
      <c r="I66" s="20">
        <f t="shared" si="3"/>
        <v>2.3053105077935392E-2</v>
      </c>
      <c r="J66" s="20">
        <f t="shared" si="4"/>
        <v>0</v>
      </c>
      <c r="K66" s="20">
        <f t="shared" si="5"/>
        <v>-3.1625668318067189E-3</v>
      </c>
      <c r="L66" s="20">
        <f t="shared" si="6"/>
        <v>1.6100645411600577E-2</v>
      </c>
      <c r="M66" s="20">
        <v>1.3241074744009689E-2</v>
      </c>
      <c r="N66" s="20">
        <v>1.2125847466781146E-3</v>
      </c>
      <c r="O66" s="20">
        <v>9.157751694035958E-2</v>
      </c>
      <c r="P66" s="20"/>
      <c r="Q66" s="20">
        <v>0.5</v>
      </c>
      <c r="R66" s="20">
        <v>0.5</v>
      </c>
      <c r="S66" s="20"/>
      <c r="T66" s="20"/>
      <c r="U66" s="25">
        <f t="shared" si="7"/>
        <v>1</v>
      </c>
    </row>
    <row r="67" spans="2:21" x14ac:dyDescent="0.2">
      <c r="B67" s="19">
        <v>37656</v>
      </c>
      <c r="C67" s="10">
        <v>10879</v>
      </c>
      <c r="D67" s="10">
        <v>2750.04</v>
      </c>
      <c r="E67" s="10">
        <v>9327.32</v>
      </c>
      <c r="F67" s="10">
        <v>3689.4</v>
      </c>
      <c r="G67" s="10">
        <v>972.93</v>
      </c>
      <c r="H67" s="20">
        <f t="shared" si="2"/>
        <v>-5.8656569973603396E-3</v>
      </c>
      <c r="I67" s="20">
        <f t="shared" si="3"/>
        <v>-1.3089861920656878E-4</v>
      </c>
      <c r="J67" s="20">
        <f t="shared" si="4"/>
        <v>8.1144688877175398E-3</v>
      </c>
      <c r="K67" s="20">
        <f t="shared" si="5"/>
        <v>3.3626804063275992E-2</v>
      </c>
      <c r="L67" s="20">
        <f t="shared" si="6"/>
        <v>-1.4732705387638108E-2</v>
      </c>
      <c r="M67" s="20">
        <v>1.3823512354188865E-2</v>
      </c>
      <c r="N67" s="20">
        <v>2.2515450547255958E-3</v>
      </c>
      <c r="O67" s="20">
        <v>0.16287792834672168</v>
      </c>
      <c r="P67" s="20">
        <v>0.74</v>
      </c>
      <c r="Q67" s="20">
        <v>0.2599999999999999</v>
      </c>
      <c r="R67" s="20"/>
      <c r="S67" s="20"/>
      <c r="T67" s="20"/>
      <c r="U67" s="25">
        <f t="shared" si="7"/>
        <v>0.99999999999999989</v>
      </c>
    </row>
    <row r="68" spans="2:21" x14ac:dyDescent="0.2">
      <c r="B68" s="19">
        <v>37657</v>
      </c>
      <c r="C68" s="10">
        <v>10581</v>
      </c>
      <c r="D68" s="10">
        <v>2626.85</v>
      </c>
      <c r="E68" s="10">
        <v>9214.64</v>
      </c>
      <c r="F68" s="10">
        <v>3590.1</v>
      </c>
      <c r="G68" s="10">
        <v>980.75</v>
      </c>
      <c r="H68" s="20">
        <f t="shared" si="2"/>
        <v>-2.7774385516920963E-2</v>
      </c>
      <c r="I68" s="20">
        <f t="shared" si="3"/>
        <v>-4.583004730694256E-2</v>
      </c>
      <c r="J68" s="20">
        <f t="shared" si="4"/>
        <v>-1.2154204531926879E-2</v>
      </c>
      <c r="K68" s="20">
        <f t="shared" si="5"/>
        <v>-2.7283785939898737E-2</v>
      </c>
      <c r="L68" s="20">
        <f t="shared" si="6"/>
        <v>8.0054479376819674E-3</v>
      </c>
      <c r="M68" s="20">
        <v>1.0233535765077201E-2</v>
      </c>
      <c r="N68" s="20">
        <v>9.7031097148963413E-4</v>
      </c>
      <c r="O68" s="20">
        <v>9.481678608100455E-2</v>
      </c>
      <c r="P68" s="20"/>
      <c r="Q68" s="20">
        <v>0.13</v>
      </c>
      <c r="R68" s="20">
        <v>0.17</v>
      </c>
      <c r="S68" s="20">
        <v>0.46</v>
      </c>
      <c r="T68" s="20">
        <v>0.24</v>
      </c>
      <c r="U68" s="25">
        <f t="shared" si="7"/>
        <v>1</v>
      </c>
    </row>
    <row r="69" spans="2:21" x14ac:dyDescent="0.2">
      <c r="B69" s="19">
        <v>37658</v>
      </c>
      <c r="C69" s="10">
        <v>10587</v>
      </c>
      <c r="D69" s="10">
        <v>2714.12</v>
      </c>
      <c r="E69" s="10">
        <v>9178.26</v>
      </c>
      <c r="F69" s="10">
        <v>3678.7</v>
      </c>
      <c r="G69" s="10">
        <v>966.05</v>
      </c>
      <c r="H69" s="20">
        <f t="shared" si="2"/>
        <v>5.6689343921815063E-4</v>
      </c>
      <c r="I69" s="20">
        <f t="shared" si="3"/>
        <v>3.2682365895461626E-2</v>
      </c>
      <c r="J69" s="20">
        <f t="shared" si="4"/>
        <v>-3.9558794363568758E-3</v>
      </c>
      <c r="K69" s="20">
        <f t="shared" si="5"/>
        <v>2.4379371634511326E-2</v>
      </c>
      <c r="L69" s="20">
        <f t="shared" si="6"/>
        <v>-1.5101992382269523E-2</v>
      </c>
      <c r="M69" s="20">
        <v>1.7357097322569404E-2</v>
      </c>
      <c r="N69" s="20">
        <v>1.2610918648413593E-3</v>
      </c>
      <c r="O69" s="20">
        <v>7.2655688990207121E-2</v>
      </c>
      <c r="P69" s="20"/>
      <c r="Q69" s="20">
        <v>0.87</v>
      </c>
      <c r="R69" s="20">
        <v>0.13000000000000012</v>
      </c>
      <c r="S69" s="20"/>
      <c r="T69" s="20"/>
      <c r="U69" s="25">
        <f t="shared" si="7"/>
        <v>1</v>
      </c>
    </row>
    <row r="70" spans="2:21" x14ac:dyDescent="0.2">
      <c r="B70" s="19">
        <v>37659</v>
      </c>
      <c r="C70" s="10">
        <v>10567</v>
      </c>
      <c r="D70" s="10">
        <v>2649.02</v>
      </c>
      <c r="E70" s="10">
        <v>9099.41</v>
      </c>
      <c r="F70" s="10">
        <v>3597</v>
      </c>
      <c r="G70" s="10">
        <v>980.5</v>
      </c>
      <c r="H70" s="20">
        <f t="shared" si="2"/>
        <v>-1.8908959023489463E-3</v>
      </c>
      <c r="I70" s="20">
        <f t="shared" si="3"/>
        <v>-2.4278015335453897E-2</v>
      </c>
      <c r="J70" s="20">
        <f t="shared" si="4"/>
        <v>-8.6280679272132347E-3</v>
      </c>
      <c r="K70" s="20">
        <f t="shared" si="5"/>
        <v>-2.2459264186467636E-2</v>
      </c>
      <c r="L70" s="20">
        <f t="shared" si="6"/>
        <v>1.4847052929008417E-2</v>
      </c>
      <c r="M70" s="20">
        <v>1.3025664141353187E-2</v>
      </c>
      <c r="N70" s="20">
        <v>2.0738975735289118E-3</v>
      </c>
      <c r="O70" s="20">
        <v>0.1592162634490791</v>
      </c>
      <c r="P70" s="20">
        <v>0.51000000000000012</v>
      </c>
      <c r="Q70" s="20"/>
      <c r="R70" s="20"/>
      <c r="S70" s="20"/>
      <c r="T70" s="20">
        <v>0.49</v>
      </c>
      <c r="U70" s="25">
        <f t="shared" si="7"/>
        <v>1</v>
      </c>
    </row>
    <row r="71" spans="2:21" x14ac:dyDescent="0.2">
      <c r="B71" s="19">
        <v>37662</v>
      </c>
      <c r="C71" s="10">
        <v>10388</v>
      </c>
      <c r="D71" s="10">
        <v>2573.2600000000002</v>
      </c>
      <c r="E71" s="10">
        <v>9135.1</v>
      </c>
      <c r="F71" s="10">
        <v>3599.2</v>
      </c>
      <c r="G71" s="10">
        <v>961.69</v>
      </c>
      <c r="H71" s="20">
        <f t="shared" si="2"/>
        <v>-1.7084643658391682E-2</v>
      </c>
      <c r="I71" s="20">
        <f t="shared" si="3"/>
        <v>-2.9016182727116601E-2</v>
      </c>
      <c r="J71" s="20">
        <f t="shared" si="4"/>
        <v>3.9145604214726216E-3</v>
      </c>
      <c r="K71" s="20">
        <f t="shared" si="5"/>
        <v>6.1143383133857967E-4</v>
      </c>
      <c r="L71" s="20">
        <f t="shared" si="6"/>
        <v>-1.9370492225120491E-2</v>
      </c>
      <c r="M71" s="20">
        <v>1.0146327337031236E-2</v>
      </c>
      <c r="N71" s="20">
        <v>1.5823511874338129E-3</v>
      </c>
      <c r="O71" s="20">
        <v>0.1559530985816589</v>
      </c>
      <c r="P71" s="20">
        <v>0.30000000000000004</v>
      </c>
      <c r="Q71" s="20"/>
      <c r="R71" s="20">
        <v>0.2</v>
      </c>
      <c r="S71" s="20">
        <v>0.19</v>
      </c>
      <c r="T71" s="20">
        <v>0.31</v>
      </c>
      <c r="U71" s="25">
        <f t="shared" si="7"/>
        <v>1</v>
      </c>
    </row>
    <row r="72" spans="2:21" x14ac:dyDescent="0.2">
      <c r="B72" s="19">
        <v>37663</v>
      </c>
      <c r="C72" s="10">
        <v>10491</v>
      </c>
      <c r="D72" s="10">
        <v>2593.15</v>
      </c>
      <c r="E72" s="10">
        <v>9237.19</v>
      </c>
      <c r="F72" s="10">
        <v>3579.1</v>
      </c>
      <c r="G72" s="10">
        <v>975.52</v>
      </c>
      <c r="H72" s="20">
        <f t="shared" si="2"/>
        <v>9.8664529488464488E-3</v>
      </c>
      <c r="I72" s="20">
        <f t="shared" si="3"/>
        <v>7.6997753826522509E-3</v>
      </c>
      <c r="J72" s="20">
        <f t="shared" si="4"/>
        <v>1.1113590170328357E-2</v>
      </c>
      <c r="K72" s="20">
        <f t="shared" si="5"/>
        <v>-5.6002263856956358E-3</v>
      </c>
      <c r="L72" s="20">
        <f t="shared" si="6"/>
        <v>1.4278508748225519E-2</v>
      </c>
      <c r="M72" s="20">
        <v>1.1234592652910184E-2</v>
      </c>
      <c r="N72" s="20">
        <v>6.1518901803068516E-4</v>
      </c>
      <c r="O72" s="20">
        <v>5.4758462281347411E-2</v>
      </c>
      <c r="P72" s="20"/>
      <c r="Q72" s="20"/>
      <c r="R72" s="20"/>
      <c r="S72" s="20">
        <v>0.91</v>
      </c>
      <c r="T72" s="20">
        <v>9.000000000000008E-2</v>
      </c>
      <c r="U72" s="25">
        <f t="shared" si="7"/>
        <v>1</v>
      </c>
    </row>
    <row r="73" spans="2:21" x14ac:dyDescent="0.2">
      <c r="B73" s="19">
        <v>37664</v>
      </c>
      <c r="C73" s="10">
        <v>10512</v>
      </c>
      <c r="D73" s="10">
        <v>2621.45</v>
      </c>
      <c r="E73" s="10">
        <v>9169.86</v>
      </c>
      <c r="F73" s="10">
        <v>3669.2</v>
      </c>
      <c r="G73" s="10">
        <v>967.89</v>
      </c>
      <c r="H73" s="20">
        <f t="shared" si="2"/>
        <v>1.9997149929061628E-3</v>
      </c>
      <c r="I73" s="20">
        <f t="shared" si="3"/>
        <v>1.0854246862934501E-2</v>
      </c>
      <c r="J73" s="20">
        <f t="shared" si="4"/>
        <v>-7.3157078716236217E-3</v>
      </c>
      <c r="K73" s="20">
        <f t="shared" si="5"/>
        <v>2.4862282494233636E-2</v>
      </c>
      <c r="L73" s="20">
        <f t="shared" si="6"/>
        <v>-7.8522177036660611E-3</v>
      </c>
      <c r="M73" s="20">
        <v>1.1460338621273391E-2</v>
      </c>
      <c r="N73" s="20">
        <v>9.3768165063879848E-4</v>
      </c>
      <c r="O73" s="20">
        <v>8.1819715946107888E-2</v>
      </c>
      <c r="P73" s="20"/>
      <c r="Q73" s="20">
        <v>0.28000000000000003</v>
      </c>
      <c r="R73" s="20">
        <v>0.26</v>
      </c>
      <c r="S73" s="20">
        <v>0.42</v>
      </c>
      <c r="T73" s="20">
        <v>4.0000000000000147E-2</v>
      </c>
      <c r="U73" s="25">
        <f t="shared" si="7"/>
        <v>1</v>
      </c>
    </row>
    <row r="74" spans="2:21" x14ac:dyDescent="0.2">
      <c r="B74" s="19">
        <v>37665</v>
      </c>
      <c r="C74" s="10">
        <v>10509</v>
      </c>
      <c r="D74" s="10">
        <v>2566.9499999999998</v>
      </c>
      <c r="E74" s="10">
        <v>9273.3799999999992</v>
      </c>
      <c r="F74" s="10">
        <v>3616.1</v>
      </c>
      <c r="G74" s="10">
        <v>959.56</v>
      </c>
      <c r="H74" s="20">
        <f t="shared" si="2"/>
        <v>-2.8542885879519853E-4</v>
      </c>
      <c r="I74" s="20">
        <f t="shared" si="3"/>
        <v>-2.1009176089343433E-2</v>
      </c>
      <c r="J74" s="20">
        <f t="shared" si="4"/>
        <v>1.1225911189095094E-2</v>
      </c>
      <c r="K74" s="20">
        <f t="shared" si="5"/>
        <v>-1.4577557638565466E-2</v>
      </c>
      <c r="L74" s="20">
        <f t="shared" si="6"/>
        <v>-8.643598394118563E-3</v>
      </c>
      <c r="M74" s="20">
        <v>1.6259946209723045E-2</v>
      </c>
      <c r="N74" s="20">
        <v>1.321618808037726E-3</v>
      </c>
      <c r="O74" s="20">
        <v>8.128063838534906E-2</v>
      </c>
      <c r="P74" s="20">
        <v>0.05</v>
      </c>
      <c r="Q74" s="20">
        <v>0.78</v>
      </c>
      <c r="R74" s="20">
        <v>0.16999999999999993</v>
      </c>
      <c r="S74" s="20"/>
      <c r="T74" s="20"/>
      <c r="U74" s="25">
        <f t="shared" si="7"/>
        <v>1</v>
      </c>
    </row>
    <row r="75" spans="2:21" x14ac:dyDescent="0.2">
      <c r="B75" s="19">
        <v>37666</v>
      </c>
      <c r="C75" s="10">
        <v>10103</v>
      </c>
      <c r="D75" s="10">
        <v>2558.25</v>
      </c>
      <c r="E75" s="10">
        <v>9201.11</v>
      </c>
      <c r="F75" s="10">
        <v>3610.8</v>
      </c>
      <c r="G75" s="10">
        <v>958.2</v>
      </c>
      <c r="H75" s="20">
        <f t="shared" si="2"/>
        <v>-3.939962343786424E-2</v>
      </c>
      <c r="I75" s="20">
        <f t="shared" si="3"/>
        <v>-3.3949927247055689E-3</v>
      </c>
      <c r="J75" s="20">
        <f t="shared" si="4"/>
        <v>-7.8238012143320105E-3</v>
      </c>
      <c r="K75" s="20">
        <f t="shared" si="5"/>
        <v>-1.4667425729350727E-3</v>
      </c>
      <c r="L75" s="20">
        <f t="shared" si="6"/>
        <v>-1.4183216126995764E-3</v>
      </c>
      <c r="M75" s="20">
        <v>9.9448918586649213E-3</v>
      </c>
      <c r="N75" s="20">
        <v>8.6357968513093631E-4</v>
      </c>
      <c r="O75" s="20">
        <v>8.6836508370727497E-2</v>
      </c>
      <c r="P75" s="20"/>
      <c r="Q75" s="20">
        <v>7.0000000000000007E-2</v>
      </c>
      <c r="R75" s="20">
        <v>0.46</v>
      </c>
      <c r="S75" s="20">
        <v>0.47</v>
      </c>
      <c r="T75" s="20"/>
      <c r="U75" s="25">
        <f t="shared" si="7"/>
        <v>1</v>
      </c>
    </row>
    <row r="76" spans="2:21" x14ac:dyDescent="0.2">
      <c r="B76" s="19">
        <v>37669</v>
      </c>
      <c r="C76" s="10">
        <v>10089</v>
      </c>
      <c r="D76" s="10">
        <v>2683.48</v>
      </c>
      <c r="E76" s="10">
        <v>9311.65</v>
      </c>
      <c r="F76" s="10">
        <v>3611.9</v>
      </c>
      <c r="G76" s="10">
        <v>958.2</v>
      </c>
      <c r="H76" s="20">
        <f t="shared" si="2"/>
        <v>-1.3866880193529223E-3</v>
      </c>
      <c r="I76" s="20">
        <f t="shared" si="3"/>
        <v>4.7791028669012532E-2</v>
      </c>
      <c r="J76" s="20">
        <f t="shared" si="4"/>
        <v>1.1942175421041394E-2</v>
      </c>
      <c r="K76" s="20">
        <f t="shared" si="5"/>
        <v>3.0459523682409539E-4</v>
      </c>
      <c r="L76" s="20">
        <f t="shared" si="6"/>
        <v>0</v>
      </c>
      <c r="M76" s="20">
        <v>1.2414094350028014E-2</v>
      </c>
      <c r="N76" s="20">
        <v>1.969336753790582E-3</v>
      </c>
      <c r="O76" s="20">
        <v>0.15863716661587465</v>
      </c>
      <c r="P76" s="20">
        <v>0.45</v>
      </c>
      <c r="Q76" s="20">
        <v>0.1</v>
      </c>
      <c r="R76" s="20">
        <v>4.0000000000000036E-2</v>
      </c>
      <c r="S76" s="20"/>
      <c r="T76" s="20">
        <v>0.41</v>
      </c>
      <c r="U76" s="25">
        <f t="shared" si="7"/>
        <v>1</v>
      </c>
    </row>
    <row r="77" spans="2:21" x14ac:dyDescent="0.2">
      <c r="B77" s="19">
        <v>37670</v>
      </c>
      <c r="C77" s="10">
        <v>10192</v>
      </c>
      <c r="D77" s="10">
        <v>2707.57</v>
      </c>
      <c r="E77" s="10">
        <v>9367.94</v>
      </c>
      <c r="F77" s="10">
        <v>3692.4</v>
      </c>
      <c r="G77" s="10">
        <v>990.21</v>
      </c>
      <c r="H77" s="20">
        <f t="shared" si="2"/>
        <v>1.0157377403565373E-2</v>
      </c>
      <c r="I77" s="20">
        <f t="shared" si="3"/>
        <v>8.9370940140131496E-3</v>
      </c>
      <c r="J77" s="20">
        <f t="shared" si="4"/>
        <v>6.026917120607103E-3</v>
      </c>
      <c r="K77" s="20">
        <f t="shared" si="5"/>
        <v>2.2042703455172417E-2</v>
      </c>
      <c r="L77" s="20">
        <f t="shared" si="6"/>
        <v>3.2860517397211714E-2</v>
      </c>
      <c r="M77" s="20">
        <v>9.9903983160641897E-3</v>
      </c>
      <c r="N77" s="20">
        <v>1.0100579416173908E-3</v>
      </c>
      <c r="O77" s="20">
        <v>0.10110286994195768</v>
      </c>
      <c r="P77" s="20"/>
      <c r="Q77" s="20"/>
      <c r="R77" s="20">
        <v>0.78</v>
      </c>
      <c r="S77" s="20">
        <v>0.21999999999999997</v>
      </c>
      <c r="T77" s="20"/>
      <c r="U77" s="25">
        <f t="shared" si="7"/>
        <v>1</v>
      </c>
    </row>
    <row r="78" spans="2:21" x14ac:dyDescent="0.2">
      <c r="B78" s="19">
        <v>37671</v>
      </c>
      <c r="C78" s="10">
        <v>10434</v>
      </c>
      <c r="D78" s="10">
        <v>2734.81</v>
      </c>
      <c r="E78" s="10">
        <v>9461.1299999999992</v>
      </c>
      <c r="F78" s="10">
        <v>3729.5</v>
      </c>
      <c r="G78" s="10">
        <v>1011.69</v>
      </c>
      <c r="H78" s="20">
        <f t="shared" si="2"/>
        <v>2.3466605770393396E-2</v>
      </c>
      <c r="I78" s="20">
        <f t="shared" si="3"/>
        <v>1.0010409957584083E-2</v>
      </c>
      <c r="J78" s="20">
        <f t="shared" si="4"/>
        <v>9.898604754622323E-3</v>
      </c>
      <c r="K78" s="20">
        <f t="shared" si="5"/>
        <v>9.9975232792213591E-3</v>
      </c>
      <c r="L78" s="20">
        <f t="shared" si="6"/>
        <v>2.1460436963691622E-2</v>
      </c>
      <c r="M78" s="20">
        <v>1.0737484730818526E-2</v>
      </c>
      <c r="N78" s="20">
        <v>6.8579222078568277E-4</v>
      </c>
      <c r="O78" s="20">
        <v>6.3868982166497043E-2</v>
      </c>
      <c r="P78" s="20"/>
      <c r="Q78" s="20"/>
      <c r="R78" s="20"/>
      <c r="S78" s="20">
        <v>0.84</v>
      </c>
      <c r="T78" s="20">
        <v>0.16000000000000003</v>
      </c>
      <c r="U78" s="25">
        <f t="shared" si="7"/>
        <v>1</v>
      </c>
    </row>
    <row r="79" spans="2:21" x14ac:dyDescent="0.2">
      <c r="B79" s="19">
        <v>37672</v>
      </c>
      <c r="C79" s="10">
        <v>10259</v>
      </c>
      <c r="D79" s="10">
        <v>2631.48</v>
      </c>
      <c r="E79" s="10">
        <v>9415.2099999999991</v>
      </c>
      <c r="F79" s="10">
        <v>3658.3</v>
      </c>
      <c r="G79" s="10">
        <v>1010.5</v>
      </c>
      <c r="H79" s="20">
        <f t="shared" si="2"/>
        <v>-1.691433549462525E-2</v>
      </c>
      <c r="I79" s="20">
        <f t="shared" si="3"/>
        <v>-3.8515538070529633E-2</v>
      </c>
      <c r="J79" s="20">
        <f t="shared" si="4"/>
        <v>-4.8653595542101696E-3</v>
      </c>
      <c r="K79" s="20">
        <f t="shared" si="5"/>
        <v>-1.9275617778778564E-2</v>
      </c>
      <c r="L79" s="20">
        <f t="shared" si="6"/>
        <v>-1.176941966249433E-3</v>
      </c>
      <c r="M79" s="20">
        <v>1.3501322527238957E-2</v>
      </c>
      <c r="N79" s="20">
        <v>2.402659818826577E-3</v>
      </c>
      <c r="O79" s="20">
        <v>0.17795736780446536</v>
      </c>
      <c r="P79" s="20">
        <v>0.82</v>
      </c>
      <c r="Q79" s="20"/>
      <c r="R79" s="20"/>
      <c r="S79" s="20"/>
      <c r="T79" s="20">
        <v>0.18</v>
      </c>
      <c r="U79" s="25">
        <f t="shared" si="7"/>
        <v>1</v>
      </c>
    </row>
    <row r="80" spans="2:21" x14ac:dyDescent="0.2">
      <c r="B80" s="19">
        <v>37673</v>
      </c>
      <c r="C80" s="10">
        <v>10222</v>
      </c>
      <c r="D80" s="10">
        <v>2591.6799999999998</v>
      </c>
      <c r="E80" s="10">
        <v>9361.0499999999993</v>
      </c>
      <c r="F80" s="10">
        <v>3687.2</v>
      </c>
      <c r="G80" s="10">
        <v>1002.14</v>
      </c>
      <c r="H80" s="20">
        <f t="shared" si="2"/>
        <v>-3.6131087594878822E-3</v>
      </c>
      <c r="I80" s="20">
        <f t="shared" si="3"/>
        <v>-1.5240111476319897E-2</v>
      </c>
      <c r="J80" s="20">
        <f t="shared" si="4"/>
        <v>-5.7690030080483371E-3</v>
      </c>
      <c r="K80" s="20">
        <f t="shared" si="5"/>
        <v>7.8688037898592272E-3</v>
      </c>
      <c r="L80" s="20">
        <f t="shared" si="6"/>
        <v>-8.3075443999915417E-3</v>
      </c>
      <c r="M80" s="20">
        <v>1.3241074744009689E-2</v>
      </c>
      <c r="N80" s="20">
        <v>1.2125847466781146E-3</v>
      </c>
      <c r="O80" s="20">
        <v>9.157751694035958E-2</v>
      </c>
      <c r="P80" s="20"/>
      <c r="Q80" s="20">
        <v>0.5</v>
      </c>
      <c r="R80" s="20">
        <v>0.5</v>
      </c>
      <c r="S80" s="20"/>
      <c r="T80" s="20"/>
      <c r="U80" s="25">
        <f t="shared" si="7"/>
        <v>1</v>
      </c>
    </row>
    <row r="81" spans="2:21" x14ac:dyDescent="0.2">
      <c r="B81" s="19">
        <v>37676</v>
      </c>
      <c r="C81" s="10">
        <v>10334</v>
      </c>
      <c r="D81" s="10">
        <v>2648.49</v>
      </c>
      <c r="E81" s="10">
        <v>9302.73</v>
      </c>
      <c r="F81" s="10">
        <v>3727.1</v>
      </c>
      <c r="G81" s="10">
        <v>1009.14</v>
      </c>
      <c r="H81" s="20">
        <f t="shared" si="2"/>
        <v>1.0897169518905044E-2</v>
      </c>
      <c r="I81" s="20">
        <f t="shared" si="3"/>
        <v>2.1683352194721301E-2</v>
      </c>
      <c r="J81" s="20">
        <f t="shared" si="4"/>
        <v>-6.2495582156228274E-3</v>
      </c>
      <c r="K81" s="20">
        <f t="shared" si="5"/>
        <v>1.0763088944562382E-2</v>
      </c>
      <c r="L81" s="20">
        <f t="shared" si="6"/>
        <v>6.960769523712225E-3</v>
      </c>
      <c r="M81" s="20">
        <v>1.1963392149990027E-2</v>
      </c>
      <c r="N81" s="20">
        <v>1.3054114034459015E-3</v>
      </c>
      <c r="O81" s="20">
        <v>0.10911716234654981</v>
      </c>
      <c r="P81" s="20"/>
      <c r="Q81" s="20"/>
      <c r="R81" s="20">
        <v>0.25</v>
      </c>
      <c r="S81" s="20">
        <v>0.13</v>
      </c>
      <c r="T81" s="20">
        <v>0.61999999999999988</v>
      </c>
      <c r="U81" s="25">
        <f t="shared" si="7"/>
        <v>0.99999999999999989</v>
      </c>
    </row>
    <row r="82" spans="2:21" x14ac:dyDescent="0.2">
      <c r="B82" s="19">
        <v>37677</v>
      </c>
      <c r="C82" s="10">
        <v>10231</v>
      </c>
      <c r="D82" s="10">
        <v>2563.37</v>
      </c>
      <c r="E82" s="10">
        <v>9140.06</v>
      </c>
      <c r="F82" s="10">
        <v>3701.8</v>
      </c>
      <c r="G82" s="10">
        <v>981.52</v>
      </c>
      <c r="H82" s="20">
        <f t="shared" si="2"/>
        <v>-1.0017102968189919E-2</v>
      </c>
      <c r="I82" s="20">
        <f t="shared" si="3"/>
        <v>-3.2666867234784458E-2</v>
      </c>
      <c r="J82" s="20">
        <f t="shared" si="4"/>
        <v>-1.7640955473474818E-2</v>
      </c>
      <c r="K82" s="20">
        <f t="shared" si="5"/>
        <v>-6.81126352824448E-3</v>
      </c>
      <c r="L82" s="20">
        <f t="shared" si="6"/>
        <v>-2.7751371484469059E-2</v>
      </c>
      <c r="M82" s="20">
        <v>1.350132252723896E-2</v>
      </c>
      <c r="N82" s="20">
        <v>2.4026598188265774E-3</v>
      </c>
      <c r="O82" s="20">
        <v>0.17795736780446536</v>
      </c>
      <c r="P82" s="20">
        <v>0.82000000000000006</v>
      </c>
      <c r="Q82" s="20"/>
      <c r="R82" s="20"/>
      <c r="S82" s="20"/>
      <c r="T82" s="20">
        <v>0.18</v>
      </c>
      <c r="U82" s="25">
        <f t="shared" si="7"/>
        <v>1</v>
      </c>
    </row>
    <row r="83" spans="2:21" x14ac:dyDescent="0.2">
      <c r="B83" s="19">
        <v>37678</v>
      </c>
      <c r="C83" s="10">
        <v>10192</v>
      </c>
      <c r="D83" s="10">
        <v>2488.92</v>
      </c>
      <c r="E83" s="10">
        <v>9156.7999999999993</v>
      </c>
      <c r="F83" s="10">
        <v>3621.5</v>
      </c>
      <c r="G83" s="10">
        <v>992.91</v>
      </c>
      <c r="H83" s="20">
        <f t="shared" si="2"/>
        <v>-3.8192280669953841E-3</v>
      </c>
      <c r="I83" s="20">
        <f t="shared" si="3"/>
        <v>-2.9473917591774403E-2</v>
      </c>
      <c r="J83" s="20">
        <f t="shared" si="4"/>
        <v>1.8298226767662791E-3</v>
      </c>
      <c r="K83" s="20">
        <f t="shared" si="5"/>
        <v>-2.1930883187235607E-2</v>
      </c>
      <c r="L83" s="20">
        <f t="shared" si="6"/>
        <v>1.153763501360836E-2</v>
      </c>
      <c r="M83" s="20">
        <v>1.3118693968074727E-2</v>
      </c>
      <c r="N83" s="20">
        <v>1.2362970171395106E-3</v>
      </c>
      <c r="O83" s="20">
        <v>9.4239336640379548E-2</v>
      </c>
      <c r="P83" s="20"/>
      <c r="Q83" s="20">
        <v>0.49</v>
      </c>
      <c r="R83" s="20">
        <v>0.21</v>
      </c>
      <c r="S83" s="20">
        <v>0.09</v>
      </c>
      <c r="T83" s="20">
        <v>0.20999999999999996</v>
      </c>
      <c r="U83" s="25">
        <f t="shared" si="7"/>
        <v>0.99999999999999989</v>
      </c>
    </row>
    <row r="84" spans="2:21" x14ac:dyDescent="0.2">
      <c r="B84" s="19">
        <v>37679</v>
      </c>
      <c r="C84" s="10">
        <v>10006</v>
      </c>
      <c r="D84" s="10">
        <v>2453.34</v>
      </c>
      <c r="E84" s="10">
        <v>9072.8700000000008</v>
      </c>
      <c r="F84" s="10">
        <v>3593.3</v>
      </c>
      <c r="G84" s="10">
        <v>982.51</v>
      </c>
      <c r="H84" s="20">
        <f t="shared" si="2"/>
        <v>-1.8418185763794198E-2</v>
      </c>
      <c r="I84" s="20">
        <f t="shared" si="3"/>
        <v>-1.439851998636295E-2</v>
      </c>
      <c r="J84" s="20">
        <f t="shared" si="4"/>
        <v>-9.2081308144651604E-3</v>
      </c>
      <c r="K84" s="20">
        <f t="shared" si="5"/>
        <v>-7.817304321376525E-3</v>
      </c>
      <c r="L84" s="20">
        <f t="shared" si="6"/>
        <v>-1.0529503687867833E-2</v>
      </c>
      <c r="M84" s="20">
        <v>1.2819549273338381E-2</v>
      </c>
      <c r="N84" s="20">
        <v>1.8006179197463253E-3</v>
      </c>
      <c r="O84" s="20">
        <v>0.14045875415379722</v>
      </c>
      <c r="P84" s="20">
        <v>0.31</v>
      </c>
      <c r="Q84" s="20">
        <v>0.24</v>
      </c>
      <c r="R84" s="20"/>
      <c r="S84" s="20"/>
      <c r="T84" s="20">
        <v>0.45</v>
      </c>
      <c r="U84" s="25">
        <f t="shared" si="7"/>
        <v>1</v>
      </c>
    </row>
    <row r="85" spans="2:21" x14ac:dyDescent="0.2">
      <c r="B85" s="19">
        <v>37680</v>
      </c>
      <c r="C85" s="10">
        <v>10153</v>
      </c>
      <c r="D85" s="10">
        <v>2508.89</v>
      </c>
      <c r="E85" s="10">
        <v>9146.6299999999992</v>
      </c>
      <c r="F85" s="10">
        <v>3569.9</v>
      </c>
      <c r="G85" s="10">
        <v>998.26</v>
      </c>
      <c r="H85" s="20">
        <f t="shared" si="2"/>
        <v>1.4584315253072381E-2</v>
      </c>
      <c r="I85" s="20">
        <f t="shared" si="3"/>
        <v>2.239006279470725E-2</v>
      </c>
      <c r="J85" s="20">
        <f t="shared" si="4"/>
        <v>8.096863576948405E-3</v>
      </c>
      <c r="K85" s="20">
        <f t="shared" si="5"/>
        <v>-6.5334161371223666E-3</v>
      </c>
      <c r="L85" s="20">
        <f t="shared" si="6"/>
        <v>1.5903241615166368E-2</v>
      </c>
      <c r="M85" s="20">
        <v>1.5904108076560286E-2</v>
      </c>
      <c r="N85" s="20">
        <v>1.5754515887227726E-3</v>
      </c>
      <c r="O85" s="20">
        <v>9.9059411639983566E-2</v>
      </c>
      <c r="P85" s="20">
        <v>3.9999999999999925E-2</v>
      </c>
      <c r="Q85" s="20"/>
      <c r="R85" s="20"/>
      <c r="S85" s="20"/>
      <c r="T85" s="20">
        <v>0.96</v>
      </c>
      <c r="U85" s="25">
        <f t="shared" si="7"/>
        <v>0.99999999999999989</v>
      </c>
    </row>
    <row r="86" spans="2:21" x14ac:dyDescent="0.2">
      <c r="B86" s="19">
        <v>37683</v>
      </c>
      <c r="C86" s="10">
        <v>10153</v>
      </c>
      <c r="D86" s="10">
        <v>2553.7399999999998</v>
      </c>
      <c r="E86" s="10">
        <v>9141.4599999999991</v>
      </c>
      <c r="F86" s="10">
        <v>3655.6</v>
      </c>
      <c r="G86" s="10">
        <v>1015.87</v>
      </c>
      <c r="H86" s="20">
        <f t="shared" si="2"/>
        <v>0</v>
      </c>
      <c r="I86" s="20">
        <f t="shared" si="3"/>
        <v>1.7718527076949833E-2</v>
      </c>
      <c r="J86" s="20">
        <f t="shared" si="4"/>
        <v>-5.6539530784518316E-4</v>
      </c>
      <c r="K86" s="20">
        <f t="shared" si="5"/>
        <v>2.3722654221164676E-2</v>
      </c>
      <c r="L86" s="20">
        <f t="shared" si="6"/>
        <v>1.7486903772035177E-2</v>
      </c>
      <c r="M86" s="20">
        <v>1.0912978398749273E-2</v>
      </c>
      <c r="N86" s="20">
        <v>6.2403285009006665E-4</v>
      </c>
      <c r="O86" s="20">
        <v>5.7182634042562255E-2</v>
      </c>
      <c r="P86" s="20"/>
      <c r="Q86" s="20"/>
      <c r="R86" s="20">
        <v>0.16</v>
      </c>
      <c r="S86" s="20">
        <v>0.84</v>
      </c>
      <c r="T86" s="20"/>
      <c r="U86" s="25">
        <f t="shared" si="7"/>
        <v>1</v>
      </c>
    </row>
    <row r="87" spans="2:21" x14ac:dyDescent="0.2">
      <c r="B87" s="19">
        <v>37684</v>
      </c>
      <c r="C87" s="10">
        <v>10153</v>
      </c>
      <c r="D87" s="10">
        <v>2541.81</v>
      </c>
      <c r="E87" s="10">
        <v>9218.3700000000008</v>
      </c>
      <c r="F87" s="10">
        <v>3684.7</v>
      </c>
      <c r="G87" s="10">
        <v>991.6</v>
      </c>
      <c r="H87" s="20">
        <f t="shared" si="2"/>
        <v>0</v>
      </c>
      <c r="I87" s="20">
        <f t="shared" si="3"/>
        <v>-4.6825256540065094E-3</v>
      </c>
      <c r="J87" s="20">
        <f t="shared" si="4"/>
        <v>8.378122224190012E-3</v>
      </c>
      <c r="K87" s="20">
        <f t="shared" si="5"/>
        <v>7.9288727851376233E-3</v>
      </c>
      <c r="L87" s="20">
        <f t="shared" si="6"/>
        <v>-2.4180867034834064E-2</v>
      </c>
      <c r="M87" s="20">
        <v>1.441711545283081E-2</v>
      </c>
      <c r="N87" s="20">
        <v>2.5409372609969914E-3</v>
      </c>
      <c r="O87" s="20">
        <v>0.17624449698764649</v>
      </c>
      <c r="P87" s="20">
        <v>0.96</v>
      </c>
      <c r="Q87" s="20">
        <v>4.0000000000000036E-2</v>
      </c>
      <c r="R87" s="20"/>
      <c r="S87" s="20"/>
      <c r="T87" s="20"/>
      <c r="U87" s="25">
        <f t="shared" si="7"/>
        <v>1</v>
      </c>
    </row>
    <row r="88" spans="2:21" x14ac:dyDescent="0.2">
      <c r="B88" s="19">
        <v>37685</v>
      </c>
      <c r="C88" s="10">
        <v>10263</v>
      </c>
      <c r="D88" s="10">
        <v>2495.46</v>
      </c>
      <c r="E88" s="10">
        <v>9105.3700000000008</v>
      </c>
      <c r="F88" s="10">
        <v>3625.3</v>
      </c>
      <c r="G88" s="10">
        <v>981.67</v>
      </c>
      <c r="H88" s="20">
        <f t="shared" si="2"/>
        <v>1.0775966344491739E-2</v>
      </c>
      <c r="I88" s="20">
        <f t="shared" si="3"/>
        <v>-1.8403344730808156E-2</v>
      </c>
      <c r="J88" s="20">
        <f t="shared" si="4"/>
        <v>-1.2333882984988003E-2</v>
      </c>
      <c r="K88" s="20">
        <f t="shared" si="5"/>
        <v>-1.6252067698024914E-2</v>
      </c>
      <c r="L88" s="20">
        <f t="shared" si="6"/>
        <v>-1.0064597163484616E-2</v>
      </c>
      <c r="M88" s="20">
        <v>1.1967207614074821E-2</v>
      </c>
      <c r="N88" s="20">
        <v>1.7271954117291034E-3</v>
      </c>
      <c r="O88" s="20">
        <v>0.14432735416888079</v>
      </c>
      <c r="P88" s="20">
        <v>0.45</v>
      </c>
      <c r="Q88" s="20">
        <v>0.2400000000000001</v>
      </c>
      <c r="R88" s="20"/>
      <c r="S88" s="20">
        <v>0.22</v>
      </c>
      <c r="T88" s="20">
        <v>0.09</v>
      </c>
      <c r="U88" s="25">
        <f t="shared" si="7"/>
        <v>1.0000000000000002</v>
      </c>
    </row>
    <row r="89" spans="2:21" x14ac:dyDescent="0.2">
      <c r="B89" s="19">
        <v>37686</v>
      </c>
      <c r="C89" s="10">
        <v>10311</v>
      </c>
      <c r="D89" s="10">
        <v>2500.64</v>
      </c>
      <c r="E89" s="10">
        <v>9097.4500000000007</v>
      </c>
      <c r="F89" s="10">
        <v>3563.5</v>
      </c>
      <c r="G89" s="10">
        <v>982.04</v>
      </c>
      <c r="H89" s="20">
        <f t="shared" si="2"/>
        <v>4.6660918722292799E-3</v>
      </c>
      <c r="I89" s="20">
        <f t="shared" si="3"/>
        <v>2.0736181646164556E-3</v>
      </c>
      <c r="J89" s="20">
        <f t="shared" si="4"/>
        <v>-8.7019489285486992E-4</v>
      </c>
      <c r="K89" s="20">
        <f t="shared" si="5"/>
        <v>-1.7193835543233744E-2</v>
      </c>
      <c r="L89" s="20">
        <f t="shared" si="6"/>
        <v>3.7683772489669945E-4</v>
      </c>
      <c r="M89" s="20">
        <v>1.6114488837884348E-2</v>
      </c>
      <c r="N89" s="20">
        <v>1.633298068600342E-3</v>
      </c>
      <c r="O89" s="20">
        <v>0.10135587203737674</v>
      </c>
      <c r="P89" s="20">
        <v>0.27</v>
      </c>
      <c r="Q89" s="20">
        <v>0.73</v>
      </c>
      <c r="R89" s="20"/>
      <c r="S89" s="20"/>
      <c r="T89" s="20"/>
      <c r="U89" s="25">
        <f t="shared" si="7"/>
        <v>1</v>
      </c>
    </row>
    <row r="90" spans="2:21" x14ac:dyDescent="0.2">
      <c r="B90" s="19">
        <v>37687</v>
      </c>
      <c r="C90" s="10">
        <v>10608</v>
      </c>
      <c r="D90" s="10">
        <v>2433.7199999999998</v>
      </c>
      <c r="E90" s="10">
        <v>8917.1200000000008</v>
      </c>
      <c r="F90" s="10">
        <v>3555.4</v>
      </c>
      <c r="G90" s="10">
        <v>967.93</v>
      </c>
      <c r="H90" s="20">
        <f t="shared" si="2"/>
        <v>2.8397146907700076E-2</v>
      </c>
      <c r="I90" s="20">
        <f t="shared" si="3"/>
        <v>-2.7125748139842375E-2</v>
      </c>
      <c r="J90" s="20">
        <f t="shared" si="4"/>
        <v>-2.0021129970650645E-2</v>
      </c>
      <c r="K90" s="20">
        <f t="shared" si="5"/>
        <v>-2.2756334533403475E-3</v>
      </c>
      <c r="L90" s="20">
        <f t="shared" si="6"/>
        <v>-1.4472270110244398E-2</v>
      </c>
      <c r="M90" s="20">
        <v>1.3474696834592237E-2</v>
      </c>
      <c r="N90" s="20">
        <v>1.9254243014589978E-3</v>
      </c>
      <c r="O90" s="20">
        <v>0.14289184573830627</v>
      </c>
      <c r="P90" s="20">
        <v>0.37</v>
      </c>
      <c r="Q90" s="20"/>
      <c r="R90" s="20"/>
      <c r="S90" s="20"/>
      <c r="T90" s="20">
        <v>0.63</v>
      </c>
      <c r="U90" s="25">
        <f t="shared" si="7"/>
        <v>1</v>
      </c>
    </row>
    <row r="91" spans="2:21" x14ac:dyDescent="0.2">
      <c r="B91" s="19">
        <v>37690</v>
      </c>
      <c r="C91" s="10">
        <v>10695</v>
      </c>
      <c r="D91" s="10">
        <v>2437.3200000000002</v>
      </c>
      <c r="E91" s="10">
        <v>8894.0400000000009</v>
      </c>
      <c r="F91" s="10">
        <v>3491.6</v>
      </c>
      <c r="G91" s="10">
        <v>977.95</v>
      </c>
      <c r="H91" s="20">
        <f t="shared" si="2"/>
        <v>8.1679090908622284E-3</v>
      </c>
      <c r="I91" s="20">
        <f t="shared" si="3"/>
        <v>1.4781240373536065E-3</v>
      </c>
      <c r="J91" s="20">
        <f t="shared" si="4"/>
        <v>-2.5916350106567924E-3</v>
      </c>
      <c r="K91" s="20">
        <f t="shared" si="5"/>
        <v>-1.8107490627390442E-2</v>
      </c>
      <c r="L91" s="20">
        <f t="shared" si="6"/>
        <v>1.0298773371323641E-2</v>
      </c>
      <c r="M91" s="20">
        <v>1.4442119867290836E-2</v>
      </c>
      <c r="N91" s="20">
        <v>1.7557405619505252E-3</v>
      </c>
      <c r="O91" s="20">
        <v>0.12157083434316353</v>
      </c>
      <c r="P91" s="20">
        <v>0.21000000000000008</v>
      </c>
      <c r="Q91" s="20"/>
      <c r="R91" s="20"/>
      <c r="S91" s="20"/>
      <c r="T91" s="20">
        <v>0.79</v>
      </c>
      <c r="U91" s="25">
        <f t="shared" si="7"/>
        <v>1</v>
      </c>
    </row>
    <row r="92" spans="2:21" x14ac:dyDescent="0.2">
      <c r="B92" s="19">
        <v>37691</v>
      </c>
      <c r="C92" s="10">
        <v>10314</v>
      </c>
      <c r="D92" s="10">
        <v>2324.0100000000002</v>
      </c>
      <c r="E92" s="10">
        <v>8776.99</v>
      </c>
      <c r="F92" s="10">
        <v>3436</v>
      </c>
      <c r="G92" s="10">
        <v>966.74</v>
      </c>
      <c r="H92" s="20">
        <f t="shared" si="2"/>
        <v>-3.6274146905601788E-2</v>
      </c>
      <c r="I92" s="20">
        <f t="shared" si="3"/>
        <v>-4.760493310286068E-2</v>
      </c>
      <c r="J92" s="20">
        <f t="shared" si="4"/>
        <v>-1.324786522450762E-2</v>
      </c>
      <c r="K92" s="20">
        <f t="shared" si="5"/>
        <v>-1.6052079757048678E-2</v>
      </c>
      <c r="L92" s="20">
        <f t="shared" si="6"/>
        <v>-1.1528957485486796E-2</v>
      </c>
      <c r="M92" s="20">
        <v>9.9456205049447115E-3</v>
      </c>
      <c r="N92" s="20">
        <v>1.2630753283569525E-3</v>
      </c>
      <c r="O92" s="20">
        <v>0.12699814232093246</v>
      </c>
      <c r="P92" s="20">
        <v>0.24</v>
      </c>
      <c r="Q92" s="20"/>
      <c r="R92" s="20"/>
      <c r="S92" s="20">
        <v>0.52</v>
      </c>
      <c r="T92" s="20">
        <v>0.24</v>
      </c>
      <c r="U92" s="25">
        <f t="shared" si="7"/>
        <v>1</v>
      </c>
    </row>
    <row r="93" spans="2:21" x14ac:dyDescent="0.2">
      <c r="B93" s="19">
        <v>37692</v>
      </c>
      <c r="C93" s="10">
        <v>10343</v>
      </c>
      <c r="D93" s="10">
        <v>2300.11</v>
      </c>
      <c r="E93" s="10">
        <v>8825.44</v>
      </c>
      <c r="F93" s="10">
        <v>3452.7</v>
      </c>
      <c r="G93" s="10">
        <v>954.66</v>
      </c>
      <c r="H93" s="20">
        <f t="shared" si="2"/>
        <v>2.8077667668993844E-3</v>
      </c>
      <c r="I93" s="20">
        <f t="shared" si="3"/>
        <v>-1.0337194027967303E-2</v>
      </c>
      <c r="J93" s="20">
        <f t="shared" si="4"/>
        <v>5.5049356655435828E-3</v>
      </c>
      <c r="K93" s="20">
        <f t="shared" si="5"/>
        <v>4.8485295384090906E-3</v>
      </c>
      <c r="L93" s="20">
        <f t="shared" si="6"/>
        <v>-1.2574330350219936E-2</v>
      </c>
      <c r="M93" s="20">
        <v>1.0776284349146828E-2</v>
      </c>
      <c r="N93" s="20">
        <v>1.0488944063828138E-3</v>
      </c>
      <c r="O93" s="20">
        <v>9.7333586642584832E-2</v>
      </c>
      <c r="P93" s="20"/>
      <c r="Q93" s="20"/>
      <c r="R93" s="20"/>
      <c r="S93" s="20">
        <v>0.48</v>
      </c>
      <c r="T93" s="20">
        <v>0.52000000000000013</v>
      </c>
      <c r="U93" s="25">
        <f t="shared" si="7"/>
        <v>1</v>
      </c>
    </row>
    <row r="94" spans="2:21" x14ac:dyDescent="0.2">
      <c r="B94" s="19">
        <v>37693</v>
      </c>
      <c r="C94" s="10">
        <v>10606</v>
      </c>
      <c r="D94" s="10">
        <v>2203.9699999999998</v>
      </c>
      <c r="E94" s="10">
        <v>8857.31</v>
      </c>
      <c r="F94" s="10">
        <v>3287</v>
      </c>
      <c r="G94" s="10">
        <v>990.36</v>
      </c>
      <c r="H94" s="20">
        <f t="shared" si="2"/>
        <v>2.510991631927164E-2</v>
      </c>
      <c r="I94" s="20">
        <f t="shared" si="3"/>
        <v>-4.2696668295645689E-2</v>
      </c>
      <c r="J94" s="20">
        <f t="shared" si="4"/>
        <v>3.6046468460511224E-3</v>
      </c>
      <c r="K94" s="20">
        <f t="shared" si="5"/>
        <v>-4.918123897833563E-2</v>
      </c>
      <c r="L94" s="20">
        <f t="shared" si="6"/>
        <v>3.6713257244773138E-2</v>
      </c>
      <c r="M94" s="20">
        <v>1.6100360939876667E-2</v>
      </c>
      <c r="N94" s="20">
        <v>1.5542411212842138E-3</v>
      </c>
      <c r="O94" s="20">
        <v>9.6534551435722024E-2</v>
      </c>
      <c r="P94" s="20">
        <v>2.0000000000000018E-2</v>
      </c>
      <c r="Q94" s="20"/>
      <c r="R94" s="20"/>
      <c r="S94" s="20"/>
      <c r="T94" s="20">
        <v>0.98</v>
      </c>
      <c r="U94" s="25">
        <f t="shared" si="7"/>
        <v>1</v>
      </c>
    </row>
    <row r="95" spans="2:21" x14ac:dyDescent="0.2">
      <c r="B95" s="19">
        <v>37694</v>
      </c>
      <c r="C95" s="10">
        <v>10792</v>
      </c>
      <c r="D95" s="10">
        <v>2356.36</v>
      </c>
      <c r="E95" s="10">
        <v>8976.76</v>
      </c>
      <c r="F95" s="10">
        <v>3486.9</v>
      </c>
      <c r="G95" s="10">
        <v>1034.43</v>
      </c>
      <c r="H95" s="20">
        <f t="shared" si="2"/>
        <v>1.7385240190516404E-2</v>
      </c>
      <c r="I95" s="20">
        <f t="shared" si="3"/>
        <v>6.6857775891851975E-2</v>
      </c>
      <c r="J95" s="20">
        <f t="shared" si="4"/>
        <v>1.3395908648282284E-2</v>
      </c>
      <c r="K95" s="20">
        <f t="shared" si="5"/>
        <v>5.9037794653552536E-2</v>
      </c>
      <c r="L95" s="20">
        <f t="shared" si="6"/>
        <v>4.3537315964681134E-2</v>
      </c>
      <c r="M95" s="20">
        <v>9.7135700668702692E-3</v>
      </c>
      <c r="N95" s="20">
        <v>1.0904959457740063E-3</v>
      </c>
      <c r="O95" s="20">
        <v>0.11226520612573974</v>
      </c>
      <c r="P95" s="20"/>
      <c r="Q95" s="20"/>
      <c r="R95" s="20">
        <v>0.65</v>
      </c>
      <c r="S95" s="20">
        <v>0.19</v>
      </c>
      <c r="T95" s="20">
        <v>0.16000000000000003</v>
      </c>
      <c r="U95" s="25">
        <f t="shared" si="7"/>
        <v>1</v>
      </c>
    </row>
    <row r="96" spans="2:21" x14ac:dyDescent="0.2">
      <c r="B96" s="19">
        <v>37697</v>
      </c>
      <c r="C96" s="10">
        <v>10783</v>
      </c>
      <c r="D96" s="10">
        <v>2398.11</v>
      </c>
      <c r="E96" s="10">
        <v>8901.2199999999993</v>
      </c>
      <c r="F96" s="10">
        <v>3601.8</v>
      </c>
      <c r="G96" s="10">
        <v>1021.97</v>
      </c>
      <c r="H96" s="20">
        <f t="shared" si="2"/>
        <v>-8.3429900551945646E-4</v>
      </c>
      <c r="I96" s="20">
        <f t="shared" si="3"/>
        <v>1.7562871638251563E-2</v>
      </c>
      <c r="J96" s="20">
        <f t="shared" si="4"/>
        <v>-8.4506694323882373E-3</v>
      </c>
      <c r="K96" s="20">
        <f t="shared" si="5"/>
        <v>3.2420631168080416E-2</v>
      </c>
      <c r="L96" s="20">
        <f t="shared" si="6"/>
        <v>-1.2118413231904015E-2</v>
      </c>
      <c r="M96" s="20">
        <v>1.774207684011481E-2</v>
      </c>
      <c r="N96" s="20">
        <v>1.2650248744221629E-3</v>
      </c>
      <c r="O96" s="20">
        <v>7.1300833934049013E-2</v>
      </c>
      <c r="P96" s="20"/>
      <c r="Q96" s="20">
        <v>0.9</v>
      </c>
      <c r="R96" s="20">
        <v>9.9999999999999978E-2</v>
      </c>
      <c r="S96" s="20"/>
      <c r="T96" s="20"/>
      <c r="U96" s="25">
        <f t="shared" si="7"/>
        <v>1</v>
      </c>
    </row>
    <row r="97" spans="2:21" x14ac:dyDescent="0.2">
      <c r="B97" s="19">
        <v>37698</v>
      </c>
      <c r="C97" s="10">
        <v>10891</v>
      </c>
      <c r="D97" s="10">
        <v>2490.7800000000002</v>
      </c>
      <c r="E97" s="10">
        <v>9003.9599999999991</v>
      </c>
      <c r="F97" s="10">
        <v>3722.3</v>
      </c>
      <c r="G97" s="10">
        <v>1075.3</v>
      </c>
      <c r="H97" s="20">
        <f t="shared" si="2"/>
        <v>9.9659401936140653E-3</v>
      </c>
      <c r="I97" s="20">
        <f t="shared" si="3"/>
        <v>3.7914987322295764E-2</v>
      </c>
      <c r="J97" s="20">
        <f t="shared" si="4"/>
        <v>1.1476134569245055E-2</v>
      </c>
      <c r="K97" s="20">
        <f t="shared" si="5"/>
        <v>3.2908036295165692E-2</v>
      </c>
      <c r="L97" s="20">
        <f t="shared" si="6"/>
        <v>5.0867555271110303E-2</v>
      </c>
      <c r="M97" s="20">
        <v>1.8928536094734424E-2</v>
      </c>
      <c r="N97" s="20">
        <v>1.2768239031645738E-3</v>
      </c>
      <c r="O97" s="20">
        <v>6.745497363210054E-2</v>
      </c>
      <c r="P97" s="20"/>
      <c r="Q97" s="20">
        <v>0.99</v>
      </c>
      <c r="R97" s="20">
        <v>1.0000000000000009E-2</v>
      </c>
      <c r="S97" s="20"/>
      <c r="T97" s="20"/>
      <c r="U97" s="25">
        <f t="shared" si="7"/>
        <v>1</v>
      </c>
    </row>
    <row r="98" spans="2:21" x14ac:dyDescent="0.2">
      <c r="B98" s="19">
        <v>37699</v>
      </c>
      <c r="C98" s="10">
        <v>11143</v>
      </c>
      <c r="D98" s="10">
        <v>2576.96</v>
      </c>
      <c r="E98" s="10">
        <v>8973.19</v>
      </c>
      <c r="F98" s="10">
        <v>3747.3</v>
      </c>
      <c r="G98" s="10">
        <v>1078.19</v>
      </c>
      <c r="H98" s="20">
        <f t="shared" si="2"/>
        <v>2.2874737971367399E-2</v>
      </c>
      <c r="I98" s="20">
        <f t="shared" si="3"/>
        <v>3.4014495189859488E-2</v>
      </c>
      <c r="J98" s="20">
        <f t="shared" si="4"/>
        <v>-3.4232378378471176E-3</v>
      </c>
      <c r="K98" s="20">
        <f t="shared" si="5"/>
        <v>6.6938238589550978E-3</v>
      </c>
      <c r="L98" s="20">
        <f t="shared" si="6"/>
        <v>2.6840168609563197E-3</v>
      </c>
      <c r="M98" s="20">
        <v>1.4013216223519356E-2</v>
      </c>
      <c r="N98" s="20">
        <v>2.4093953490554485E-3</v>
      </c>
      <c r="O98" s="20">
        <v>0.17193735618034586</v>
      </c>
      <c r="P98" s="20">
        <v>0.86</v>
      </c>
      <c r="Q98" s="20">
        <v>0.14000000000000012</v>
      </c>
      <c r="R98" s="20"/>
      <c r="S98" s="20"/>
      <c r="T98" s="20"/>
      <c r="U98" s="25">
        <f t="shared" si="7"/>
        <v>1</v>
      </c>
    </row>
    <row r="99" spans="2:21" x14ac:dyDescent="0.2">
      <c r="B99" s="19">
        <v>37700</v>
      </c>
      <c r="C99" s="10">
        <v>10993</v>
      </c>
      <c r="D99" s="10">
        <v>2607.7600000000002</v>
      </c>
      <c r="E99" s="10">
        <v>9243.9</v>
      </c>
      <c r="F99" s="10">
        <v>3765.4</v>
      </c>
      <c r="G99" s="10">
        <v>1064.32</v>
      </c>
      <c r="H99" s="20">
        <f t="shared" si="2"/>
        <v>-1.3552791468190172E-2</v>
      </c>
      <c r="I99" s="20">
        <f t="shared" si="3"/>
        <v>1.1881205664968433E-2</v>
      </c>
      <c r="J99" s="20">
        <f t="shared" si="4"/>
        <v>2.9722631799083472E-2</v>
      </c>
      <c r="K99" s="20">
        <f t="shared" si="5"/>
        <v>4.8185166506382413E-3</v>
      </c>
      <c r="L99" s="20">
        <f t="shared" si="6"/>
        <v>-1.2947611692928686E-2</v>
      </c>
      <c r="M99" s="20">
        <v>1.3866891629986427E-2</v>
      </c>
      <c r="N99" s="20">
        <v>2.1594657163665158E-3</v>
      </c>
      <c r="O99" s="20">
        <v>0.1557281742720758</v>
      </c>
      <c r="P99" s="20">
        <v>0.67</v>
      </c>
      <c r="Q99" s="20">
        <v>0.32999999999999996</v>
      </c>
      <c r="R99" s="20"/>
      <c r="S99" s="20"/>
      <c r="T99" s="20"/>
      <c r="U99" s="25">
        <f t="shared" si="7"/>
        <v>1</v>
      </c>
    </row>
    <row r="100" spans="2:21" x14ac:dyDescent="0.2">
      <c r="B100" s="19">
        <v>37701</v>
      </c>
      <c r="C100" s="10">
        <v>11176</v>
      </c>
      <c r="D100" s="10">
        <v>2607.6999999999998</v>
      </c>
      <c r="E100" s="10">
        <v>9220.9500000000007</v>
      </c>
      <c r="F100" s="10">
        <v>3765.7</v>
      </c>
      <c r="G100" s="10">
        <v>1096.3</v>
      </c>
      <c r="H100" s="20">
        <f t="shared" si="2"/>
        <v>1.6509915357933964E-2</v>
      </c>
      <c r="I100" s="20">
        <f t="shared" si="3"/>
        <v>-2.3008516987185301E-5</v>
      </c>
      <c r="J100" s="20">
        <f t="shared" si="4"/>
        <v>-2.4858053889169874E-3</v>
      </c>
      <c r="K100" s="20">
        <f t="shared" si="5"/>
        <v>7.9669636615833562E-5</v>
      </c>
      <c r="L100" s="20">
        <f t="shared" si="6"/>
        <v>2.9604776115986293E-2</v>
      </c>
      <c r="M100" s="20">
        <v>1.4850768084664567E-2</v>
      </c>
      <c r="N100" s="20">
        <v>1.2335607977757338E-3</v>
      </c>
      <c r="O100" s="20">
        <v>8.3063770893409397E-2</v>
      </c>
      <c r="P100" s="20"/>
      <c r="Q100" s="20">
        <v>0.66</v>
      </c>
      <c r="R100" s="20">
        <v>0.33999999999999997</v>
      </c>
      <c r="S100" s="20"/>
      <c r="T100" s="20"/>
      <c r="U100" s="25">
        <f t="shared" si="7"/>
        <v>1</v>
      </c>
    </row>
    <row r="101" spans="2:21" x14ac:dyDescent="0.2">
      <c r="B101" s="19">
        <v>37704</v>
      </c>
      <c r="C101" s="10">
        <v>11362</v>
      </c>
      <c r="D101" s="10">
        <v>2712.62</v>
      </c>
      <c r="E101" s="10">
        <v>9214.65</v>
      </c>
      <c r="F101" s="10">
        <v>3861.1</v>
      </c>
      <c r="G101" s="10">
        <v>1064.6500000000001</v>
      </c>
      <c r="H101" s="20">
        <f t="shared" si="2"/>
        <v>1.6505832180274401E-2</v>
      </c>
      <c r="I101" s="20">
        <f t="shared" si="3"/>
        <v>3.9446350746346302E-2</v>
      </c>
      <c r="J101" s="20">
        <f t="shared" si="4"/>
        <v>-6.8346028827248172E-4</v>
      </c>
      <c r="K101" s="20">
        <f t="shared" si="5"/>
        <v>2.5018350027509323E-2</v>
      </c>
      <c r="L101" s="20">
        <f t="shared" si="6"/>
        <v>-2.9294767048086583E-2</v>
      </c>
      <c r="M101" s="20">
        <v>1.350132252723896E-2</v>
      </c>
      <c r="N101" s="20">
        <v>2.4026598188265774E-3</v>
      </c>
      <c r="O101" s="20">
        <v>0.17795736780446536</v>
      </c>
      <c r="P101" s="20">
        <v>0.82000000000000006</v>
      </c>
      <c r="Q101" s="20"/>
      <c r="R101" s="20"/>
      <c r="S101" s="20"/>
      <c r="T101" s="20">
        <v>0.18</v>
      </c>
      <c r="U101" s="25">
        <f t="shared" si="7"/>
        <v>1</v>
      </c>
    </row>
    <row r="102" spans="2:21" x14ac:dyDescent="0.2">
      <c r="B102" s="19">
        <v>37705</v>
      </c>
      <c r="C102" s="10">
        <v>11047</v>
      </c>
      <c r="D102" s="10">
        <v>2541.79</v>
      </c>
      <c r="E102" s="10">
        <v>9012.0400000000009</v>
      </c>
      <c r="F102" s="10">
        <v>3743.3</v>
      </c>
      <c r="G102" s="10">
        <v>1051.71</v>
      </c>
      <c r="H102" s="20">
        <f t="shared" si="2"/>
        <v>-2.8115556244797137E-2</v>
      </c>
      <c r="I102" s="20">
        <f t="shared" si="3"/>
        <v>-6.5046400281120978E-2</v>
      </c>
      <c r="J102" s="20">
        <f t="shared" si="4"/>
        <v>-2.2233147762094351E-2</v>
      </c>
      <c r="K102" s="20">
        <f t="shared" si="5"/>
        <v>-3.0984541649505828E-2</v>
      </c>
      <c r="L102" s="20">
        <f t="shared" si="6"/>
        <v>-1.222869573668234E-2</v>
      </c>
      <c r="M102" s="20">
        <v>1.2440916838572031E-2</v>
      </c>
      <c r="N102" s="20">
        <v>1.9593387310908425E-3</v>
      </c>
      <c r="O102" s="20">
        <v>0.15749150617389188</v>
      </c>
      <c r="P102" s="20">
        <v>0.55000000000000004</v>
      </c>
      <c r="Q102" s="20">
        <v>0.27</v>
      </c>
      <c r="R102" s="20">
        <v>0.15</v>
      </c>
      <c r="S102" s="20">
        <v>3.0000000000000027E-2</v>
      </c>
      <c r="T102" s="20"/>
      <c r="U102" s="25">
        <f t="shared" si="7"/>
        <v>1</v>
      </c>
    </row>
    <row r="103" spans="2:21" x14ac:dyDescent="0.2">
      <c r="B103" s="19">
        <v>37706</v>
      </c>
      <c r="C103" s="10">
        <v>11248</v>
      </c>
      <c r="D103" s="10">
        <v>2634.89</v>
      </c>
      <c r="E103" s="10">
        <v>9096.08</v>
      </c>
      <c r="F103" s="10">
        <v>3762</v>
      </c>
      <c r="G103" s="10">
        <v>1065.78</v>
      </c>
      <c r="H103" s="20">
        <f t="shared" si="2"/>
        <v>1.8031437178171135E-2</v>
      </c>
      <c r="I103" s="20">
        <f t="shared" si="3"/>
        <v>3.5972878153148417E-2</v>
      </c>
      <c r="J103" s="20">
        <f t="shared" si="4"/>
        <v>9.282090397759438E-3</v>
      </c>
      <c r="K103" s="20">
        <f t="shared" si="5"/>
        <v>4.9831555557450467E-3</v>
      </c>
      <c r="L103" s="20">
        <f t="shared" si="6"/>
        <v>1.3289514544123996E-2</v>
      </c>
      <c r="M103" s="20">
        <v>1.2721974752147121E-2</v>
      </c>
      <c r="N103" s="20">
        <v>1.8795430669112515E-3</v>
      </c>
      <c r="O103" s="20">
        <v>0.14773988343232924</v>
      </c>
      <c r="P103" s="20">
        <v>0.37</v>
      </c>
      <c r="Q103" s="20">
        <v>0.18000000000000005</v>
      </c>
      <c r="R103" s="20"/>
      <c r="S103" s="20"/>
      <c r="T103" s="20">
        <v>0.45</v>
      </c>
      <c r="U103" s="25">
        <f t="shared" si="7"/>
        <v>1</v>
      </c>
    </row>
    <row r="104" spans="2:21" x14ac:dyDescent="0.2">
      <c r="B104" s="19">
        <v>37707</v>
      </c>
      <c r="C104" s="10">
        <v>11204</v>
      </c>
      <c r="D104" s="10">
        <v>2583.27</v>
      </c>
      <c r="E104" s="10">
        <v>9027.99</v>
      </c>
      <c r="F104" s="10">
        <v>3793.1</v>
      </c>
      <c r="G104" s="10">
        <v>1055.7</v>
      </c>
      <c r="H104" s="20">
        <f t="shared" si="2"/>
        <v>-3.9194776704470297E-3</v>
      </c>
      <c r="I104" s="20">
        <f t="shared" si="3"/>
        <v>-1.978539712380956E-2</v>
      </c>
      <c r="J104" s="20">
        <f t="shared" si="4"/>
        <v>-7.5138001946828681E-3</v>
      </c>
      <c r="K104" s="20">
        <f t="shared" si="5"/>
        <v>8.2328958357812104E-3</v>
      </c>
      <c r="L104" s="20">
        <f t="shared" si="6"/>
        <v>-9.502871444200256E-3</v>
      </c>
      <c r="M104" s="20">
        <v>1.0200049368475052E-2</v>
      </c>
      <c r="N104" s="20">
        <v>8.3708479811782084E-4</v>
      </c>
      <c r="O104" s="20">
        <v>8.2066739863531496E-2</v>
      </c>
      <c r="P104" s="20"/>
      <c r="Q104" s="20"/>
      <c r="R104" s="20"/>
      <c r="S104" s="20">
        <v>0.69</v>
      </c>
      <c r="T104" s="20">
        <v>0.31000000000000016</v>
      </c>
      <c r="U104" s="25">
        <f t="shared" si="7"/>
        <v>1</v>
      </c>
    </row>
    <row r="105" spans="2:21" x14ac:dyDescent="0.2">
      <c r="B105" s="19">
        <v>37708</v>
      </c>
      <c r="C105" s="10">
        <v>11273</v>
      </c>
      <c r="D105" s="10">
        <v>2580.96</v>
      </c>
      <c r="E105" s="10">
        <v>8864.1200000000008</v>
      </c>
      <c r="F105" s="10">
        <v>3729.1</v>
      </c>
      <c r="G105" s="10">
        <v>1052.25</v>
      </c>
      <c r="H105" s="20">
        <f t="shared" si="2"/>
        <v>6.1396286645322221E-3</v>
      </c>
      <c r="I105" s="20">
        <f t="shared" si="3"/>
        <v>-8.9461552024783383E-4</v>
      </c>
      <c r="J105" s="20">
        <f t="shared" si="4"/>
        <v>-1.8318083470204999E-2</v>
      </c>
      <c r="K105" s="20">
        <f t="shared" si="5"/>
        <v>-1.7016709036525086E-2</v>
      </c>
      <c r="L105" s="20">
        <f t="shared" si="6"/>
        <v>-3.2733253449691376E-3</v>
      </c>
      <c r="M105" s="20">
        <v>1.0912978398749273E-2</v>
      </c>
      <c r="N105" s="20">
        <v>6.2403285009006665E-4</v>
      </c>
      <c r="O105" s="20">
        <v>5.7182634042562255E-2</v>
      </c>
      <c r="P105" s="20"/>
      <c r="Q105" s="20"/>
      <c r="R105" s="20">
        <v>0.16</v>
      </c>
      <c r="S105" s="20">
        <v>0.84</v>
      </c>
      <c r="T105" s="20"/>
      <c r="U105" s="25">
        <f t="shared" si="7"/>
        <v>1</v>
      </c>
    </row>
    <row r="106" spans="2:21" x14ac:dyDescent="0.2">
      <c r="B106" s="19">
        <v>37711</v>
      </c>
      <c r="C106" s="10">
        <v>11387</v>
      </c>
      <c r="D106" s="10">
        <v>2511.9899999999998</v>
      </c>
      <c r="E106" s="10">
        <v>8755.81</v>
      </c>
      <c r="F106" s="10">
        <v>3708.5</v>
      </c>
      <c r="G106" s="10">
        <v>1028.43</v>
      </c>
      <c r="H106" s="20">
        <f t="shared" si="2"/>
        <v>1.0061867766073778E-2</v>
      </c>
      <c r="I106" s="20">
        <f t="shared" si="3"/>
        <v>-2.7086155041031946E-2</v>
      </c>
      <c r="J106" s="20">
        <f t="shared" si="4"/>
        <v>-1.2294187800369222E-2</v>
      </c>
      <c r="K106" s="20">
        <f t="shared" si="5"/>
        <v>-5.5394354836191097E-3</v>
      </c>
      <c r="L106" s="20">
        <f t="shared" si="6"/>
        <v>-2.2897361155838254E-2</v>
      </c>
      <c r="M106" s="20">
        <v>1.3784746290399724E-2</v>
      </c>
      <c r="N106" s="20">
        <v>1.8617928991433205E-3</v>
      </c>
      <c r="O106" s="20">
        <v>0.13506181832595288</v>
      </c>
      <c r="P106" s="20">
        <v>0.31000000000000005</v>
      </c>
      <c r="Q106" s="20"/>
      <c r="R106" s="20"/>
      <c r="S106" s="20"/>
      <c r="T106" s="20">
        <v>0.69</v>
      </c>
      <c r="U106" s="25">
        <f t="shared" si="7"/>
        <v>1</v>
      </c>
    </row>
    <row r="107" spans="2:21" x14ac:dyDescent="0.2">
      <c r="B107" s="19">
        <v>37712</v>
      </c>
      <c r="C107" s="10">
        <v>11283</v>
      </c>
      <c r="D107" s="10">
        <v>2426.2399999999998</v>
      </c>
      <c r="E107" s="10">
        <v>8608.7900000000009</v>
      </c>
      <c r="F107" s="10">
        <v>3613.3</v>
      </c>
      <c r="G107" s="10">
        <v>1025.02</v>
      </c>
      <c r="H107" s="20">
        <f t="shared" si="2"/>
        <v>-9.1751856721589333E-3</v>
      </c>
      <c r="I107" s="20">
        <f t="shared" si="3"/>
        <v>-3.4732533800530409E-2</v>
      </c>
      <c r="J107" s="20">
        <f t="shared" si="4"/>
        <v>-1.6933705717770146E-2</v>
      </c>
      <c r="K107" s="20">
        <f t="shared" si="5"/>
        <v>-2.6005999985887599E-2</v>
      </c>
      <c r="L107" s="20">
        <f t="shared" si="6"/>
        <v>-3.321242917571673E-3</v>
      </c>
      <c r="M107" s="20">
        <v>1.3270102272778601E-2</v>
      </c>
      <c r="N107" s="20">
        <v>1.3111348737585189E-3</v>
      </c>
      <c r="O107" s="20">
        <v>9.880367511922597E-2</v>
      </c>
      <c r="P107" s="20"/>
      <c r="Q107" s="20"/>
      <c r="R107" s="20"/>
      <c r="S107" s="20">
        <v>0.22</v>
      </c>
      <c r="T107" s="20">
        <v>0.77999999999999992</v>
      </c>
      <c r="U107" s="25">
        <f t="shared" si="7"/>
        <v>0.99999999999999989</v>
      </c>
    </row>
    <row r="108" spans="2:21" x14ac:dyDescent="0.2">
      <c r="B108" s="19">
        <v>37713</v>
      </c>
      <c r="C108" s="10">
        <v>11615</v>
      </c>
      <c r="D108" s="10">
        <v>2462.21</v>
      </c>
      <c r="E108" s="10">
        <v>8586.69</v>
      </c>
      <c r="F108" s="10">
        <v>3684.8</v>
      </c>
      <c r="G108" s="10">
        <v>1047.3900000000001</v>
      </c>
      <c r="H108" s="20">
        <f t="shared" si="2"/>
        <v>2.9000198066063351E-2</v>
      </c>
      <c r="I108" s="20">
        <f t="shared" si="3"/>
        <v>1.4716586725848458E-2</v>
      </c>
      <c r="J108" s="20">
        <f t="shared" si="4"/>
        <v>-2.5704443456338595E-3</v>
      </c>
      <c r="K108" s="20">
        <f t="shared" si="5"/>
        <v>1.959476787569548E-2</v>
      </c>
      <c r="L108" s="20">
        <f t="shared" si="6"/>
        <v>2.1589230771709388E-2</v>
      </c>
      <c r="M108" s="20">
        <v>1.2972249134427268E-2</v>
      </c>
      <c r="N108" s="20">
        <v>2.1163185084060298E-3</v>
      </c>
      <c r="O108" s="20">
        <v>0.16314198767502058</v>
      </c>
      <c r="P108" s="20">
        <v>0.55000000000000004</v>
      </c>
      <c r="Q108" s="20"/>
      <c r="R108" s="20"/>
      <c r="S108" s="20"/>
      <c r="T108" s="20">
        <v>0.45</v>
      </c>
      <c r="U108" s="25">
        <f t="shared" si="7"/>
        <v>1</v>
      </c>
    </row>
    <row r="109" spans="2:21" x14ac:dyDescent="0.2">
      <c r="B109" s="19">
        <v>37714</v>
      </c>
      <c r="C109" s="10">
        <v>11877</v>
      </c>
      <c r="D109" s="10">
        <v>2582.9499999999998</v>
      </c>
      <c r="E109" s="10">
        <v>8769.41</v>
      </c>
      <c r="F109" s="10">
        <v>3753.4</v>
      </c>
      <c r="G109" s="10">
        <v>1070.51</v>
      </c>
      <c r="H109" s="20">
        <f t="shared" ref="H109:H172" si="8">LN(C109/C108)</f>
        <v>2.2306390569730754E-2</v>
      </c>
      <c r="I109" s="20">
        <f t="shared" ref="I109:I172" si="9">LN(D109/D108)</f>
        <v>4.7872835958290672E-2</v>
      </c>
      <c r="J109" s="20">
        <f t="shared" ref="J109:J172" si="10">LN(E109/E108)</f>
        <v>2.1056199364929109E-2</v>
      </c>
      <c r="K109" s="20">
        <f t="shared" ref="K109:K172" si="11">LN(F109/F108)</f>
        <v>1.8445845790751432E-2</v>
      </c>
      <c r="L109" s="20">
        <f t="shared" ref="L109:L172" si="12">LN(G109/G108)</f>
        <v>2.1833815066365621E-2</v>
      </c>
      <c r="M109" s="20">
        <v>1.3516466208713159E-2</v>
      </c>
      <c r="N109" s="20">
        <v>1.9744882320087941E-3</v>
      </c>
      <c r="O109" s="20">
        <v>0.14608021072371519</v>
      </c>
      <c r="P109" s="20">
        <v>0.51</v>
      </c>
      <c r="Q109" s="20">
        <v>0.39</v>
      </c>
      <c r="R109" s="20"/>
      <c r="S109" s="20"/>
      <c r="T109" s="20">
        <v>0.1</v>
      </c>
      <c r="U109" s="25">
        <f t="shared" ref="U109:U172" si="13">SUM(P109:T109)</f>
        <v>1</v>
      </c>
    </row>
    <row r="110" spans="2:21" x14ac:dyDescent="0.2">
      <c r="B110" s="19">
        <v>37715</v>
      </c>
      <c r="C110" s="10">
        <v>12014</v>
      </c>
      <c r="D110" s="10">
        <v>2573.16</v>
      </c>
      <c r="E110" s="10">
        <v>8669.73</v>
      </c>
      <c r="F110" s="10">
        <v>3771.1</v>
      </c>
      <c r="G110" s="10">
        <v>1067.51</v>
      </c>
      <c r="H110" s="20">
        <f t="shared" si="8"/>
        <v>1.1468879635866533E-2</v>
      </c>
      <c r="I110" s="20">
        <f t="shared" si="9"/>
        <v>-3.7974410029146827E-3</v>
      </c>
      <c r="J110" s="20">
        <f t="shared" si="10"/>
        <v>-1.1431880881564452E-2</v>
      </c>
      <c r="K110" s="20">
        <f t="shared" si="11"/>
        <v>4.7046402145275064E-3</v>
      </c>
      <c r="L110" s="20">
        <f t="shared" si="12"/>
        <v>-2.8063366749433169E-3</v>
      </c>
      <c r="M110" s="20">
        <v>1.0355187992500054E-2</v>
      </c>
      <c r="N110" s="20">
        <v>7.6648159536282269E-4</v>
      </c>
      <c r="O110" s="20">
        <v>7.4019090326313902E-2</v>
      </c>
      <c r="P110" s="20"/>
      <c r="Q110" s="20"/>
      <c r="R110" s="20"/>
      <c r="S110" s="20">
        <v>0.76</v>
      </c>
      <c r="T110" s="20">
        <v>0.23999999999999988</v>
      </c>
      <c r="U110" s="25">
        <f t="shared" si="13"/>
        <v>0.99999999999999989</v>
      </c>
    </row>
    <row r="111" spans="2:21" x14ac:dyDescent="0.2">
      <c r="B111" s="19">
        <v>37718</v>
      </c>
      <c r="C111" s="10">
        <v>12154</v>
      </c>
      <c r="D111" s="10">
        <v>2654.76</v>
      </c>
      <c r="E111" s="10">
        <v>8838.83</v>
      </c>
      <c r="F111" s="10">
        <v>3814.4</v>
      </c>
      <c r="G111" s="10">
        <v>1089.93</v>
      </c>
      <c r="H111" s="20">
        <f t="shared" si="8"/>
        <v>1.1585697285193737E-2</v>
      </c>
      <c r="I111" s="20">
        <f t="shared" si="9"/>
        <v>3.121953954075608E-2</v>
      </c>
      <c r="J111" s="20">
        <f t="shared" si="10"/>
        <v>1.9316866509931897E-2</v>
      </c>
      <c r="K111" s="20">
        <f t="shared" si="11"/>
        <v>1.1416642359276169E-2</v>
      </c>
      <c r="L111" s="20">
        <f t="shared" si="12"/>
        <v>2.0784640237096922E-2</v>
      </c>
      <c r="M111" s="20">
        <v>1.1055889753564871E-2</v>
      </c>
      <c r="N111" s="20">
        <v>1.1512319540261139E-3</v>
      </c>
      <c r="O111" s="20">
        <v>0.10412838583659985</v>
      </c>
      <c r="P111" s="20"/>
      <c r="Q111" s="20">
        <v>0.26</v>
      </c>
      <c r="R111" s="20">
        <v>0.53</v>
      </c>
      <c r="S111" s="20">
        <v>0.11</v>
      </c>
      <c r="T111" s="20">
        <v>9.9999999999999978E-2</v>
      </c>
      <c r="U111" s="25">
        <f t="shared" si="13"/>
        <v>1</v>
      </c>
    </row>
    <row r="112" spans="2:21" x14ac:dyDescent="0.2">
      <c r="B112" s="19">
        <v>37719</v>
      </c>
      <c r="C112" s="10">
        <v>12124</v>
      </c>
      <c r="D112" s="10">
        <v>2798.74</v>
      </c>
      <c r="E112" s="10">
        <v>8885.6200000000008</v>
      </c>
      <c r="F112" s="10">
        <v>3935.8</v>
      </c>
      <c r="G112" s="10">
        <v>1051.75</v>
      </c>
      <c r="H112" s="20">
        <f t="shared" si="8"/>
        <v>-2.471374517606797E-3</v>
      </c>
      <c r="I112" s="20">
        <f t="shared" si="9"/>
        <v>5.2815060773014393E-2</v>
      </c>
      <c r="J112" s="20">
        <f t="shared" si="10"/>
        <v>5.2797247520962537E-3</v>
      </c>
      <c r="K112" s="20">
        <f t="shared" si="11"/>
        <v>3.1330786442013522E-2</v>
      </c>
      <c r="L112" s="20">
        <f t="shared" si="12"/>
        <v>-3.5658030506868693E-2</v>
      </c>
      <c r="M112" s="20">
        <v>1.1827437033241114E-2</v>
      </c>
      <c r="N112" s="20">
        <v>1.1800146400706662E-3</v>
      </c>
      <c r="O112" s="20">
        <v>9.976925996344134E-2</v>
      </c>
      <c r="P112" s="20"/>
      <c r="Q112" s="20"/>
      <c r="R112" s="20"/>
      <c r="S112" s="20">
        <v>0.35</v>
      </c>
      <c r="T112" s="20">
        <v>0.64999999999999991</v>
      </c>
      <c r="U112" s="25">
        <f t="shared" si="13"/>
        <v>0.99999999999999989</v>
      </c>
    </row>
    <row r="113" spans="2:21" x14ac:dyDescent="0.2">
      <c r="B113" s="19">
        <v>37720</v>
      </c>
      <c r="C113" s="10">
        <v>11784</v>
      </c>
      <c r="D113" s="10">
        <v>2756.62</v>
      </c>
      <c r="E113" s="10">
        <v>8755.15</v>
      </c>
      <c r="F113" s="10">
        <v>3868.8</v>
      </c>
      <c r="G113" s="10">
        <v>1048.92</v>
      </c>
      <c r="H113" s="20">
        <f t="shared" si="8"/>
        <v>-2.8444280035227556E-2</v>
      </c>
      <c r="I113" s="20">
        <f t="shared" si="9"/>
        <v>-1.5164024334373269E-2</v>
      </c>
      <c r="J113" s="20">
        <f t="shared" si="10"/>
        <v>-1.4792141043183589E-2</v>
      </c>
      <c r="K113" s="20">
        <f t="shared" si="11"/>
        <v>-1.7169783452515849E-2</v>
      </c>
      <c r="L113" s="20">
        <f t="shared" si="12"/>
        <v>-2.6943800902333561E-3</v>
      </c>
      <c r="M113" s="20">
        <v>1.0589308974980189E-2</v>
      </c>
      <c r="N113" s="20">
        <v>8.5288065080847035E-4</v>
      </c>
      <c r="O113" s="20">
        <v>8.0541672060340089E-2</v>
      </c>
      <c r="P113" s="20">
        <v>0.10999999999999999</v>
      </c>
      <c r="Q113" s="20"/>
      <c r="R113" s="20"/>
      <c r="S113" s="20">
        <v>0.79</v>
      </c>
      <c r="T113" s="20">
        <v>0.1</v>
      </c>
      <c r="U113" s="25">
        <f t="shared" si="13"/>
        <v>1</v>
      </c>
    </row>
    <row r="114" spans="2:21" x14ac:dyDescent="0.2">
      <c r="B114" s="19">
        <v>37721</v>
      </c>
      <c r="C114" s="10">
        <v>11784</v>
      </c>
      <c r="D114" s="10">
        <v>2730.97</v>
      </c>
      <c r="E114" s="10">
        <v>8597.86</v>
      </c>
      <c r="F114" s="10">
        <v>3861.4</v>
      </c>
      <c r="G114" s="10">
        <v>1024.74</v>
      </c>
      <c r="H114" s="20">
        <f t="shared" si="8"/>
        <v>0</v>
      </c>
      <c r="I114" s="20">
        <f t="shared" si="9"/>
        <v>-9.3484341223512533E-3</v>
      </c>
      <c r="J114" s="20">
        <f t="shared" si="10"/>
        <v>-1.8128763572820325E-2</v>
      </c>
      <c r="K114" s="20">
        <f t="shared" si="11"/>
        <v>-1.9145694187572054E-3</v>
      </c>
      <c r="L114" s="20">
        <f t="shared" si="12"/>
        <v>-2.33221415212417E-2</v>
      </c>
      <c r="M114" s="20">
        <v>1.2903399175077015E-2</v>
      </c>
      <c r="N114" s="20">
        <v>2.2231896532383861E-3</v>
      </c>
      <c r="O114" s="20">
        <v>0.17229488316012798</v>
      </c>
      <c r="P114" s="20">
        <v>0.67</v>
      </c>
      <c r="Q114" s="20">
        <v>8.0000000000000071E-2</v>
      </c>
      <c r="R114" s="20"/>
      <c r="S114" s="20"/>
      <c r="T114" s="20">
        <v>0.25</v>
      </c>
      <c r="U114" s="25">
        <f t="shared" si="13"/>
        <v>1</v>
      </c>
    </row>
    <row r="115" spans="2:21" x14ac:dyDescent="0.2">
      <c r="B115" s="19">
        <v>37722</v>
      </c>
      <c r="C115" s="10">
        <v>11614</v>
      </c>
      <c r="D115" s="10">
        <v>2700.61</v>
      </c>
      <c r="E115" s="10">
        <v>8627.57</v>
      </c>
      <c r="F115" s="10">
        <v>3803.3</v>
      </c>
      <c r="G115" s="10">
        <v>1046.45</v>
      </c>
      <c r="H115" s="20">
        <f t="shared" si="8"/>
        <v>-1.4531412210470978E-2</v>
      </c>
      <c r="I115" s="20">
        <f t="shared" si="9"/>
        <v>-1.117918402525768E-2</v>
      </c>
      <c r="J115" s="20">
        <f t="shared" si="10"/>
        <v>3.4495544623255399E-3</v>
      </c>
      <c r="K115" s="20">
        <f t="shared" si="11"/>
        <v>-1.5160701094003909E-2</v>
      </c>
      <c r="L115" s="20">
        <f t="shared" si="12"/>
        <v>2.0964561576831728E-2</v>
      </c>
      <c r="M115" s="20">
        <v>1.375221941163177E-2</v>
      </c>
      <c r="N115" s="20">
        <v>1.4070887646952619E-3</v>
      </c>
      <c r="O115" s="20">
        <v>0.10231721314052999</v>
      </c>
      <c r="P115" s="20">
        <v>0.01</v>
      </c>
      <c r="Q115" s="20">
        <v>0.1399999999999999</v>
      </c>
      <c r="R115" s="20"/>
      <c r="S115" s="20">
        <v>0.1</v>
      </c>
      <c r="T115" s="20">
        <v>0.75</v>
      </c>
      <c r="U115" s="25">
        <f t="shared" si="13"/>
        <v>0.99999999999999989</v>
      </c>
    </row>
    <row r="116" spans="2:21" x14ac:dyDescent="0.2">
      <c r="B116" s="19">
        <v>37725</v>
      </c>
      <c r="C116" s="10">
        <v>11726</v>
      </c>
      <c r="D116" s="10">
        <v>2741.66</v>
      </c>
      <c r="E116" s="10">
        <v>8598.08</v>
      </c>
      <c r="F116" s="10">
        <v>3808.1</v>
      </c>
      <c r="G116" s="10">
        <v>1028</v>
      </c>
      <c r="H116" s="20">
        <f t="shared" si="8"/>
        <v>9.5973315921651647E-3</v>
      </c>
      <c r="I116" s="20">
        <f t="shared" si="9"/>
        <v>1.5085902950636606E-2</v>
      </c>
      <c r="J116" s="20">
        <f t="shared" si="10"/>
        <v>-3.4239670271506446E-3</v>
      </c>
      <c r="K116" s="20">
        <f t="shared" si="11"/>
        <v>1.2612661629440955E-3</v>
      </c>
      <c r="L116" s="20">
        <f t="shared" si="12"/>
        <v>-1.778831642087645E-2</v>
      </c>
      <c r="M116" s="20">
        <v>1.3323680807700692E-2</v>
      </c>
      <c r="N116" s="20">
        <v>1.9071721953150937E-3</v>
      </c>
      <c r="O116" s="20">
        <v>0.14314154045275573</v>
      </c>
      <c r="P116" s="20">
        <v>0.36</v>
      </c>
      <c r="Q116" s="20">
        <v>2.9999999999999916E-2</v>
      </c>
      <c r="R116" s="20"/>
      <c r="S116" s="20"/>
      <c r="T116" s="20">
        <v>0.61</v>
      </c>
      <c r="U116" s="25">
        <f t="shared" si="13"/>
        <v>0.99999999999999989</v>
      </c>
    </row>
    <row r="117" spans="2:21" x14ac:dyDescent="0.2">
      <c r="B117" s="19">
        <v>37726</v>
      </c>
      <c r="C117" s="10">
        <v>11865</v>
      </c>
      <c r="D117" s="10">
        <v>2792.06</v>
      </c>
      <c r="E117" s="10">
        <v>8600.5</v>
      </c>
      <c r="F117" s="10">
        <v>3849.4</v>
      </c>
      <c r="G117" s="10">
        <v>1044.33</v>
      </c>
      <c r="H117" s="20">
        <f t="shared" si="8"/>
        <v>1.1784291345703628E-2</v>
      </c>
      <c r="I117" s="20">
        <f t="shared" si="9"/>
        <v>1.8216098271139364E-2</v>
      </c>
      <c r="J117" s="20">
        <f t="shared" si="10"/>
        <v>2.8141858408899605E-4</v>
      </c>
      <c r="K117" s="20">
        <f t="shared" si="11"/>
        <v>1.0786914910366926E-2</v>
      </c>
      <c r="L117" s="20">
        <f t="shared" si="12"/>
        <v>1.5760364434959744E-2</v>
      </c>
      <c r="M117" s="20">
        <v>1.4111664700453743E-2</v>
      </c>
      <c r="N117" s="20">
        <v>2.4488579226379114E-3</v>
      </c>
      <c r="O117" s="20">
        <v>0.17353430474855114</v>
      </c>
      <c r="P117" s="20">
        <v>0.89</v>
      </c>
      <c r="Q117" s="20">
        <v>0.1100000000000001</v>
      </c>
      <c r="R117" s="20"/>
      <c r="S117" s="20"/>
      <c r="T117" s="20"/>
      <c r="U117" s="25">
        <f t="shared" si="13"/>
        <v>1</v>
      </c>
    </row>
    <row r="118" spans="2:21" x14ac:dyDescent="0.2">
      <c r="B118" s="19">
        <v>37727</v>
      </c>
      <c r="C118" s="10">
        <v>12120</v>
      </c>
      <c r="D118" s="10">
        <v>2843.33</v>
      </c>
      <c r="E118" s="10">
        <v>8653.59</v>
      </c>
      <c r="F118" s="10">
        <v>3916.8</v>
      </c>
      <c r="G118" s="10">
        <v>1070.6400000000001</v>
      </c>
      <c r="H118" s="20">
        <f t="shared" si="8"/>
        <v>2.1264090753441569E-2</v>
      </c>
      <c r="I118" s="20">
        <f t="shared" si="9"/>
        <v>1.8196225861281615E-2</v>
      </c>
      <c r="J118" s="20">
        <f t="shared" si="10"/>
        <v>6.1539226405408444E-3</v>
      </c>
      <c r="K118" s="20">
        <f t="shared" si="11"/>
        <v>1.7357701896928712E-2</v>
      </c>
      <c r="L118" s="20">
        <f t="shared" si="12"/>
        <v>2.4881069038049104E-2</v>
      </c>
      <c r="M118" s="20">
        <v>1.774207684011481E-2</v>
      </c>
      <c r="N118" s="20">
        <v>1.2650248744221629E-3</v>
      </c>
      <c r="O118" s="20">
        <v>7.1300833934049013E-2</v>
      </c>
      <c r="P118" s="20"/>
      <c r="Q118" s="20">
        <v>0.9</v>
      </c>
      <c r="R118" s="20">
        <v>9.9999999999999978E-2</v>
      </c>
      <c r="S118" s="20"/>
      <c r="T118" s="20"/>
      <c r="U118" s="25">
        <f t="shared" si="13"/>
        <v>1</v>
      </c>
    </row>
    <row r="119" spans="2:21" x14ac:dyDescent="0.2">
      <c r="B119" s="19">
        <v>37728</v>
      </c>
      <c r="C119" s="10">
        <v>12052</v>
      </c>
      <c r="D119" s="10">
        <v>2820.35</v>
      </c>
      <c r="E119" s="10">
        <v>8600.0499999999993</v>
      </c>
      <c r="F119" s="10">
        <v>3854.9</v>
      </c>
      <c r="G119" s="10">
        <v>1051.3599999999999</v>
      </c>
      <c r="H119" s="20">
        <f t="shared" si="8"/>
        <v>-5.6263593731135592E-3</v>
      </c>
      <c r="I119" s="20">
        <f t="shared" si="9"/>
        <v>-8.1149097780889041E-3</v>
      </c>
      <c r="J119" s="20">
        <f t="shared" si="10"/>
        <v>-6.2062465488001263E-3</v>
      </c>
      <c r="K119" s="20">
        <f t="shared" si="11"/>
        <v>-1.5929927554203124E-2</v>
      </c>
      <c r="L119" s="20">
        <f t="shared" si="12"/>
        <v>-1.8172036338561525E-2</v>
      </c>
      <c r="M119" s="20">
        <v>1.0693950652381785E-2</v>
      </c>
      <c r="N119" s="20">
        <v>1.6991520304182267E-3</v>
      </c>
      <c r="O119" s="20">
        <v>0.15888908464710255</v>
      </c>
      <c r="P119" s="20">
        <v>0.48</v>
      </c>
      <c r="Q119" s="20"/>
      <c r="R119" s="20"/>
      <c r="S119" s="20">
        <v>0.34</v>
      </c>
      <c r="T119" s="20">
        <v>0.18</v>
      </c>
      <c r="U119" s="25">
        <f t="shared" si="13"/>
        <v>1</v>
      </c>
    </row>
    <row r="120" spans="2:21" x14ac:dyDescent="0.2">
      <c r="B120" s="19">
        <v>37729</v>
      </c>
      <c r="C120" s="10">
        <v>12052</v>
      </c>
      <c r="D120" s="10">
        <v>2820.35</v>
      </c>
      <c r="E120" s="10">
        <v>8600.0499999999993</v>
      </c>
      <c r="F120" s="10">
        <v>3854.9</v>
      </c>
      <c r="G120" s="10">
        <v>1051.3599999999999</v>
      </c>
      <c r="H120" s="20">
        <f t="shared" si="8"/>
        <v>0</v>
      </c>
      <c r="I120" s="20">
        <f t="shared" si="9"/>
        <v>0</v>
      </c>
      <c r="J120" s="20">
        <f t="shared" si="10"/>
        <v>0</v>
      </c>
      <c r="K120" s="20">
        <f t="shared" si="11"/>
        <v>0</v>
      </c>
      <c r="L120" s="20">
        <f t="shared" si="12"/>
        <v>0</v>
      </c>
      <c r="M120" s="20">
        <v>1.1234592652910182E-2</v>
      </c>
      <c r="N120" s="20">
        <v>6.1518901803068505E-4</v>
      </c>
      <c r="O120" s="20">
        <v>5.4758462281347418E-2</v>
      </c>
      <c r="P120" s="20"/>
      <c r="Q120" s="20"/>
      <c r="R120" s="20"/>
      <c r="S120" s="20">
        <v>0.91</v>
      </c>
      <c r="T120" s="20">
        <v>8.9999999999999969E-2</v>
      </c>
      <c r="U120" s="25">
        <f t="shared" si="13"/>
        <v>1</v>
      </c>
    </row>
    <row r="121" spans="2:21" x14ac:dyDescent="0.2">
      <c r="B121" s="19">
        <v>37732</v>
      </c>
      <c r="C121" s="10">
        <v>12052</v>
      </c>
      <c r="D121" s="10">
        <v>2820.35</v>
      </c>
      <c r="E121" s="10">
        <v>8600.0499999999993</v>
      </c>
      <c r="F121" s="10">
        <v>3854.9</v>
      </c>
      <c r="G121" s="10">
        <v>1083.75</v>
      </c>
      <c r="H121" s="20">
        <f t="shared" si="8"/>
        <v>0</v>
      </c>
      <c r="I121" s="20">
        <f t="shared" si="9"/>
        <v>0</v>
      </c>
      <c r="J121" s="20">
        <f t="shared" si="10"/>
        <v>0</v>
      </c>
      <c r="K121" s="20">
        <f t="shared" si="11"/>
        <v>0</v>
      </c>
      <c r="L121" s="20">
        <f t="shared" si="12"/>
        <v>3.0342684945193994E-2</v>
      </c>
      <c r="M121" s="20">
        <v>1.6728668547775244E-2</v>
      </c>
      <c r="N121" s="20">
        <v>1.2545368488733534E-3</v>
      </c>
      <c r="O121" s="20">
        <v>7.4993227661277029E-2</v>
      </c>
      <c r="P121" s="20"/>
      <c r="Q121" s="20">
        <v>0.82</v>
      </c>
      <c r="R121" s="20">
        <v>0.18000000000000016</v>
      </c>
      <c r="S121" s="20"/>
      <c r="T121" s="20"/>
      <c r="U121" s="25">
        <f t="shared" si="13"/>
        <v>1</v>
      </c>
    </row>
    <row r="122" spans="2:21" x14ac:dyDescent="0.2">
      <c r="B122" s="19">
        <v>37733</v>
      </c>
      <c r="C122" s="10">
        <v>12393</v>
      </c>
      <c r="D122" s="10">
        <v>2898.36</v>
      </c>
      <c r="E122" s="10">
        <v>8531.11</v>
      </c>
      <c r="F122" s="10">
        <v>3889.2</v>
      </c>
      <c r="G122" s="10">
        <v>1073.8800000000001</v>
      </c>
      <c r="H122" s="20">
        <f t="shared" si="8"/>
        <v>2.7901175814682325E-2</v>
      </c>
      <c r="I122" s="20">
        <f t="shared" si="9"/>
        <v>2.7284069062103018E-2</v>
      </c>
      <c r="J122" s="20">
        <f t="shared" si="10"/>
        <v>-8.0485352018761086E-3</v>
      </c>
      <c r="K122" s="20">
        <f t="shared" si="11"/>
        <v>8.858414611752824E-3</v>
      </c>
      <c r="L122" s="20">
        <f t="shared" si="12"/>
        <v>-9.1489911119843233E-3</v>
      </c>
      <c r="M122" s="20">
        <v>1.0284648998742509E-2</v>
      </c>
      <c r="N122" s="20">
        <v>9.5381588152414079E-4</v>
      </c>
      <c r="O122" s="20">
        <v>9.2741704810807124E-2</v>
      </c>
      <c r="P122" s="20"/>
      <c r="Q122" s="20">
        <v>0.14000000000000001</v>
      </c>
      <c r="R122" s="20">
        <v>0.18</v>
      </c>
      <c r="S122" s="20">
        <v>0.47</v>
      </c>
      <c r="T122" s="20">
        <v>0.20999999999999996</v>
      </c>
      <c r="U122" s="25">
        <f t="shared" si="13"/>
        <v>1</v>
      </c>
    </row>
    <row r="123" spans="2:21" x14ac:dyDescent="0.2">
      <c r="B123" s="19">
        <v>37734</v>
      </c>
      <c r="C123" s="10">
        <v>12455</v>
      </c>
      <c r="D123" s="10">
        <v>2968.8</v>
      </c>
      <c r="E123" s="10">
        <v>8641.4</v>
      </c>
      <c r="F123" s="10">
        <v>3917.7</v>
      </c>
      <c r="G123" s="10">
        <v>1105.45</v>
      </c>
      <c r="H123" s="20">
        <f t="shared" si="8"/>
        <v>4.9903516314064623E-3</v>
      </c>
      <c r="I123" s="20">
        <f t="shared" si="9"/>
        <v>2.401277097838846E-2</v>
      </c>
      <c r="J123" s="20">
        <f t="shared" si="10"/>
        <v>1.2845124732245207E-2</v>
      </c>
      <c r="K123" s="20">
        <f t="shared" si="11"/>
        <v>7.3012659589692863E-3</v>
      </c>
      <c r="L123" s="20">
        <f t="shared" si="12"/>
        <v>2.8974233888461248E-2</v>
      </c>
      <c r="M123" s="20">
        <v>9.7806068461881151E-3</v>
      </c>
      <c r="N123" s="20">
        <v>9.7234841716048524E-4</v>
      </c>
      <c r="O123" s="20">
        <v>9.9415959812293994E-2</v>
      </c>
      <c r="P123" s="20"/>
      <c r="Q123" s="20">
        <v>0.08</v>
      </c>
      <c r="R123" s="20">
        <v>0.25</v>
      </c>
      <c r="S123" s="20">
        <v>0.44</v>
      </c>
      <c r="T123" s="20">
        <v>0.23000000000000009</v>
      </c>
      <c r="U123" s="25">
        <f t="shared" si="13"/>
        <v>1</v>
      </c>
    </row>
    <row r="124" spans="2:21" x14ac:dyDescent="0.2">
      <c r="B124" s="19">
        <v>37735</v>
      </c>
      <c r="C124" s="10">
        <v>12370</v>
      </c>
      <c r="D124" s="10">
        <v>2967.62</v>
      </c>
      <c r="E124" s="10">
        <v>8482.6</v>
      </c>
      <c r="F124" s="10">
        <v>3966.5</v>
      </c>
      <c r="G124" s="10">
        <v>1100.8399999999999</v>
      </c>
      <c r="H124" s="20">
        <f t="shared" si="8"/>
        <v>-6.8479623097472556E-3</v>
      </c>
      <c r="I124" s="20">
        <f t="shared" si="9"/>
        <v>-3.9754600097067366E-4</v>
      </c>
      <c r="J124" s="20">
        <f t="shared" si="10"/>
        <v>-1.8547600142353567E-2</v>
      </c>
      <c r="K124" s="20">
        <f t="shared" si="11"/>
        <v>1.2379346847586502E-2</v>
      </c>
      <c r="L124" s="20">
        <f t="shared" si="12"/>
        <v>-4.1789671430275555E-3</v>
      </c>
      <c r="M124" s="20">
        <v>1.6482271217304095E-2</v>
      </c>
      <c r="N124" s="20">
        <v>1.2519148424861507E-3</v>
      </c>
      <c r="O124" s="20">
        <v>7.5955238570022704E-2</v>
      </c>
      <c r="P124" s="20"/>
      <c r="Q124" s="20">
        <v>0.8</v>
      </c>
      <c r="R124" s="20">
        <v>0.20000000000000007</v>
      </c>
      <c r="S124" s="20"/>
      <c r="T124" s="20"/>
      <c r="U124" s="25">
        <f t="shared" si="13"/>
        <v>1</v>
      </c>
    </row>
    <row r="125" spans="2:21" x14ac:dyDescent="0.2">
      <c r="B125" s="19">
        <v>37736</v>
      </c>
      <c r="C125" s="10">
        <v>12124</v>
      </c>
      <c r="D125" s="10">
        <v>2892.46</v>
      </c>
      <c r="E125" s="10">
        <v>8351.59</v>
      </c>
      <c r="F125" s="10">
        <v>3899</v>
      </c>
      <c r="G125" s="10">
        <v>1100.6500000000001</v>
      </c>
      <c r="H125" s="20">
        <f t="shared" si="8"/>
        <v>-2.0087227208839792E-2</v>
      </c>
      <c r="I125" s="20">
        <f t="shared" si="9"/>
        <v>-2.5652933640966696E-2</v>
      </c>
      <c r="J125" s="20">
        <f t="shared" si="10"/>
        <v>-1.5565066687051571E-2</v>
      </c>
      <c r="K125" s="20">
        <f t="shared" si="11"/>
        <v>-1.7163983759460308E-2</v>
      </c>
      <c r="L125" s="20">
        <f t="shared" si="12"/>
        <v>-1.7261036886073014E-4</v>
      </c>
      <c r="M125" s="20">
        <v>1.3299665165112332E-2</v>
      </c>
      <c r="N125" s="20">
        <v>1.2428261386472268E-3</v>
      </c>
      <c r="O125" s="20">
        <v>9.3447926937845552E-2</v>
      </c>
      <c r="P125" s="20">
        <v>0.02</v>
      </c>
      <c r="Q125" s="20">
        <v>0.51</v>
      </c>
      <c r="R125" s="20">
        <v>0.46999999999999986</v>
      </c>
      <c r="S125" s="20"/>
      <c r="T125" s="20"/>
      <c r="U125" s="25">
        <f t="shared" si="13"/>
        <v>0.99999999999999989</v>
      </c>
    </row>
    <row r="126" spans="2:21" x14ac:dyDescent="0.2">
      <c r="B126" s="19">
        <v>37739</v>
      </c>
      <c r="C126" s="10">
        <v>12128</v>
      </c>
      <c r="D126" s="10">
        <v>2834.46</v>
      </c>
      <c r="E126" s="10">
        <v>8354.66</v>
      </c>
      <c r="F126" s="10">
        <v>3870.2</v>
      </c>
      <c r="G126" s="10">
        <v>1086.58</v>
      </c>
      <c r="H126" s="20">
        <f t="shared" si="8"/>
        <v>3.2986970445916716E-4</v>
      </c>
      <c r="I126" s="20">
        <f t="shared" si="9"/>
        <v>-2.0255908275967734E-2</v>
      </c>
      <c r="J126" s="20">
        <f t="shared" si="10"/>
        <v>3.6752712721963579E-4</v>
      </c>
      <c r="K126" s="20">
        <f t="shared" si="11"/>
        <v>-7.4139247075503938E-3</v>
      </c>
      <c r="L126" s="20">
        <f t="shared" si="12"/>
        <v>-1.286576544849112E-2</v>
      </c>
      <c r="M126" s="20">
        <v>9.4907493748314972E-3</v>
      </c>
      <c r="N126" s="20">
        <v>1.6775127071583492E-3</v>
      </c>
      <c r="O126" s="20">
        <v>0.1767523976143488</v>
      </c>
      <c r="P126" s="20">
        <v>0.53</v>
      </c>
      <c r="Q126" s="20">
        <v>0.04</v>
      </c>
      <c r="R126" s="20">
        <v>0.05</v>
      </c>
      <c r="S126" s="20">
        <v>0.02</v>
      </c>
      <c r="T126" s="20">
        <v>0.12</v>
      </c>
      <c r="U126" s="25">
        <f t="shared" si="13"/>
        <v>0.76000000000000012</v>
      </c>
    </row>
    <row r="127" spans="2:21" x14ac:dyDescent="0.2">
      <c r="B127" s="19">
        <v>37740</v>
      </c>
      <c r="C127" s="10">
        <v>12470</v>
      </c>
      <c r="D127" s="10">
        <v>2958.12</v>
      </c>
      <c r="E127" s="10">
        <v>8577.73</v>
      </c>
      <c r="F127" s="10">
        <v>3940.3</v>
      </c>
      <c r="G127" s="10">
        <v>1113.05</v>
      </c>
      <c r="H127" s="20">
        <f t="shared" si="8"/>
        <v>2.7808930791929309E-2</v>
      </c>
      <c r="I127" s="20">
        <f t="shared" si="9"/>
        <v>4.2702488570723583E-2</v>
      </c>
      <c r="J127" s="20">
        <f t="shared" si="10"/>
        <v>2.6349842706579175E-2</v>
      </c>
      <c r="K127" s="20">
        <f t="shared" si="11"/>
        <v>1.7950677250247387E-2</v>
      </c>
      <c r="L127" s="20">
        <f t="shared" si="12"/>
        <v>2.4068845985488748E-2</v>
      </c>
      <c r="M127" s="20">
        <v>1.4818894355887471E-2</v>
      </c>
      <c r="N127" s="20">
        <v>1.6237892461892012E-3</v>
      </c>
      <c r="O127" s="20">
        <v>0.10957560039181183</v>
      </c>
      <c r="P127" s="20">
        <v>0.1</v>
      </c>
      <c r="Q127" s="20">
        <v>6.0000000000000053E-2</v>
      </c>
      <c r="R127" s="20"/>
      <c r="S127" s="20"/>
      <c r="T127" s="20">
        <v>0.84</v>
      </c>
      <c r="U127" s="25">
        <f t="shared" si="13"/>
        <v>1</v>
      </c>
    </row>
    <row r="128" spans="2:21" x14ac:dyDescent="0.2">
      <c r="B128" s="19">
        <v>37741</v>
      </c>
      <c r="C128" s="10">
        <v>12713</v>
      </c>
      <c r="D128" s="10">
        <v>2914.47</v>
      </c>
      <c r="E128" s="10">
        <v>8758.24</v>
      </c>
      <c r="F128" s="10">
        <v>3927.8</v>
      </c>
      <c r="G128" s="10">
        <v>1111.54</v>
      </c>
      <c r="H128" s="20">
        <f t="shared" si="8"/>
        <v>1.9299332276040387E-2</v>
      </c>
      <c r="I128" s="20">
        <f t="shared" si="9"/>
        <v>-1.4865946327361355E-2</v>
      </c>
      <c r="J128" s="20">
        <f t="shared" si="10"/>
        <v>2.0825661789709425E-2</v>
      </c>
      <c r="K128" s="20">
        <f t="shared" si="11"/>
        <v>-3.1773898441715682E-3</v>
      </c>
      <c r="L128" s="20">
        <f t="shared" si="12"/>
        <v>-1.3575537352094511E-3</v>
      </c>
      <c r="M128" s="20">
        <v>1.5712515718385011E-2</v>
      </c>
      <c r="N128" s="20">
        <v>1.5966620561613321E-3</v>
      </c>
      <c r="O128" s="20">
        <v>0.10161721297711089</v>
      </c>
      <c r="P128" s="20">
        <v>6.0000000000000053E-2</v>
      </c>
      <c r="Q128" s="20"/>
      <c r="R128" s="20"/>
      <c r="S128" s="20"/>
      <c r="T128" s="20">
        <v>0.94</v>
      </c>
      <c r="U128" s="25">
        <f t="shared" si="13"/>
        <v>1</v>
      </c>
    </row>
    <row r="129" spans="2:21" x14ac:dyDescent="0.2">
      <c r="B129" s="19">
        <v>37742</v>
      </c>
      <c r="C129" s="10">
        <v>12713</v>
      </c>
      <c r="D129" s="10">
        <v>2914.47</v>
      </c>
      <c r="E129" s="10">
        <v>8758.24</v>
      </c>
      <c r="F129" s="10">
        <v>3926</v>
      </c>
      <c r="G129" s="10">
        <v>1104.3800000000001</v>
      </c>
      <c r="H129" s="20">
        <f t="shared" si="8"/>
        <v>0</v>
      </c>
      <c r="I129" s="20">
        <f t="shared" si="9"/>
        <v>0</v>
      </c>
      <c r="J129" s="20">
        <f t="shared" si="10"/>
        <v>0</v>
      </c>
      <c r="K129" s="20">
        <f t="shared" si="11"/>
        <v>-4.5837684471632437E-4</v>
      </c>
      <c r="L129" s="20">
        <f t="shared" si="12"/>
        <v>-6.4623496497651124E-3</v>
      </c>
      <c r="M129" s="20">
        <v>1.8162832231029692E-2</v>
      </c>
      <c r="N129" s="20">
        <v>1.312353467166233E-3</v>
      </c>
      <c r="O129" s="20">
        <v>7.2254891223637804E-2</v>
      </c>
      <c r="P129" s="20">
        <v>0.03</v>
      </c>
      <c r="Q129" s="20">
        <v>0.93</v>
      </c>
      <c r="R129" s="20">
        <v>3.9999999999999813E-2</v>
      </c>
      <c r="S129" s="20"/>
      <c r="T129" s="20"/>
      <c r="U129" s="25">
        <f t="shared" si="13"/>
        <v>0.99999999999999989</v>
      </c>
    </row>
    <row r="130" spans="2:21" x14ac:dyDescent="0.2">
      <c r="B130" s="19">
        <v>37743</v>
      </c>
      <c r="C130" s="10">
        <v>12713</v>
      </c>
      <c r="D130" s="10">
        <v>2938.72</v>
      </c>
      <c r="E130" s="10">
        <v>8707.43</v>
      </c>
      <c r="F130" s="10">
        <v>3880.1</v>
      </c>
      <c r="G130" s="10">
        <v>1109.92</v>
      </c>
      <c r="H130" s="20">
        <f t="shared" si="8"/>
        <v>0</v>
      </c>
      <c r="I130" s="20">
        <f t="shared" si="9"/>
        <v>8.286127308379623E-3</v>
      </c>
      <c r="J130" s="20">
        <f t="shared" si="10"/>
        <v>-5.818287341614584E-3</v>
      </c>
      <c r="K130" s="20">
        <f t="shared" si="11"/>
        <v>-1.176016935533405E-2</v>
      </c>
      <c r="L130" s="20">
        <f t="shared" si="12"/>
        <v>5.0038491256278522E-3</v>
      </c>
      <c r="M130" s="20">
        <v>1.2357430750214492E-2</v>
      </c>
      <c r="N130" s="20">
        <v>1.692470357574308E-3</v>
      </c>
      <c r="O130" s="20">
        <v>0.13695972826268366</v>
      </c>
      <c r="P130" s="20">
        <v>0.23</v>
      </c>
      <c r="Q130" s="20">
        <v>0.01</v>
      </c>
      <c r="R130" s="20">
        <v>0.15999999999999992</v>
      </c>
      <c r="S130" s="20">
        <v>0.02</v>
      </c>
      <c r="T130" s="20">
        <v>0.57999999999999996</v>
      </c>
      <c r="U130" s="25">
        <f t="shared" si="13"/>
        <v>0.99999999999999989</v>
      </c>
    </row>
    <row r="131" spans="2:21" x14ac:dyDescent="0.2">
      <c r="B131" s="19">
        <v>37746</v>
      </c>
      <c r="C131" s="10">
        <v>12829</v>
      </c>
      <c r="D131" s="10">
        <v>2991.74</v>
      </c>
      <c r="E131" s="10">
        <v>8895.39</v>
      </c>
      <c r="F131" s="10">
        <v>3880.1</v>
      </c>
      <c r="G131" s="10">
        <v>1139.5999999999999</v>
      </c>
      <c r="H131" s="20">
        <f t="shared" si="8"/>
        <v>9.0831412992177715E-3</v>
      </c>
      <c r="I131" s="20">
        <f t="shared" si="9"/>
        <v>1.7881045542536767E-2</v>
      </c>
      <c r="J131" s="20">
        <f t="shared" si="10"/>
        <v>2.135648083439453E-2</v>
      </c>
      <c r="K131" s="20">
        <f t="shared" si="11"/>
        <v>0</v>
      </c>
      <c r="L131" s="20">
        <f t="shared" si="12"/>
        <v>2.638938298676187E-2</v>
      </c>
      <c r="M131" s="20">
        <v>1.1512513353023538E-2</v>
      </c>
      <c r="N131" s="20">
        <v>1.5059099625303136E-3</v>
      </c>
      <c r="O131" s="20">
        <v>0.13080635968468307</v>
      </c>
      <c r="P131" s="20">
        <v>0.22</v>
      </c>
      <c r="Q131" s="20">
        <v>0.31</v>
      </c>
      <c r="R131" s="20">
        <v>0.47</v>
      </c>
      <c r="S131" s="20"/>
      <c r="T131" s="20"/>
      <c r="U131" s="25">
        <f t="shared" si="13"/>
        <v>1</v>
      </c>
    </row>
    <row r="132" spans="2:21" x14ac:dyDescent="0.2">
      <c r="B132" s="19">
        <v>37747</v>
      </c>
      <c r="C132" s="10">
        <v>12829</v>
      </c>
      <c r="D132" s="10">
        <v>3002.4</v>
      </c>
      <c r="E132" s="10">
        <v>8906.69</v>
      </c>
      <c r="F132" s="10">
        <v>3952.6</v>
      </c>
      <c r="G132" s="10">
        <v>1134.56</v>
      </c>
      <c r="H132" s="20">
        <f t="shared" si="8"/>
        <v>0</v>
      </c>
      <c r="I132" s="20">
        <f t="shared" si="9"/>
        <v>3.5568108980496408E-3</v>
      </c>
      <c r="J132" s="20">
        <f t="shared" si="10"/>
        <v>1.2695147440809362E-3</v>
      </c>
      <c r="K132" s="20">
        <f t="shared" si="11"/>
        <v>1.8512663725261731E-2</v>
      </c>
      <c r="L132" s="20">
        <f t="shared" si="12"/>
        <v>-4.4324130680665876E-3</v>
      </c>
      <c r="M132" s="20">
        <v>1.7001045882918224E-2</v>
      </c>
      <c r="N132" s="20">
        <v>1.514910347852953E-3</v>
      </c>
      <c r="O132" s="20">
        <v>8.9106891322201356E-2</v>
      </c>
      <c r="P132" s="20">
        <v>0.18</v>
      </c>
      <c r="Q132" s="20">
        <v>0.82</v>
      </c>
      <c r="R132" s="20"/>
      <c r="S132" s="20"/>
      <c r="T132" s="20"/>
      <c r="U132" s="25">
        <f t="shared" si="13"/>
        <v>1</v>
      </c>
    </row>
    <row r="133" spans="2:21" x14ac:dyDescent="0.2">
      <c r="B133" s="19">
        <v>37748</v>
      </c>
      <c r="C133" s="10">
        <v>12669</v>
      </c>
      <c r="D133" s="10">
        <v>3063.41</v>
      </c>
      <c r="E133" s="10">
        <v>8946.34</v>
      </c>
      <c r="F133" s="10">
        <v>4006.4</v>
      </c>
      <c r="G133" s="10">
        <v>1142.8800000000001</v>
      </c>
      <c r="H133" s="20">
        <f t="shared" si="8"/>
        <v>-1.2550168647286943E-2</v>
      </c>
      <c r="I133" s="20">
        <f t="shared" si="9"/>
        <v>2.0116705751118655E-2</v>
      </c>
      <c r="J133" s="20">
        <f t="shared" si="10"/>
        <v>4.4418303437246467E-3</v>
      </c>
      <c r="K133" s="20">
        <f t="shared" si="11"/>
        <v>1.3519492259390737E-2</v>
      </c>
      <c r="L133" s="20">
        <f t="shared" si="12"/>
        <v>7.3064818509759218E-3</v>
      </c>
      <c r="M133" s="20">
        <v>1.0725350755565655E-2</v>
      </c>
      <c r="N133" s="20">
        <v>1.1034511089223886E-3</v>
      </c>
      <c r="O133" s="20">
        <v>0.10288251956233505</v>
      </c>
      <c r="P133" s="20"/>
      <c r="Q133" s="20"/>
      <c r="R133" s="20">
        <v>0.93</v>
      </c>
      <c r="S133" s="20">
        <v>6.9999999999999951E-2</v>
      </c>
      <c r="T133" s="20"/>
      <c r="U133" s="25">
        <f t="shared" si="13"/>
        <v>1</v>
      </c>
    </row>
    <row r="134" spans="2:21" x14ac:dyDescent="0.2">
      <c r="B134" s="19">
        <v>37749</v>
      </c>
      <c r="C134" s="10">
        <v>12969</v>
      </c>
      <c r="D134" s="10">
        <v>3005.12</v>
      </c>
      <c r="E134" s="10">
        <v>8946.34</v>
      </c>
      <c r="F134" s="10">
        <v>3992.9</v>
      </c>
      <c r="G134" s="10">
        <v>1120.53</v>
      </c>
      <c r="H134" s="20">
        <f t="shared" si="8"/>
        <v>2.3403829733688254E-2</v>
      </c>
      <c r="I134" s="20">
        <f t="shared" si="9"/>
        <v>-1.9211173955681043E-2</v>
      </c>
      <c r="J134" s="20">
        <f t="shared" si="10"/>
        <v>0</v>
      </c>
      <c r="K134" s="20">
        <f t="shared" si="11"/>
        <v>-3.3752985428019367E-3</v>
      </c>
      <c r="L134" s="20">
        <f t="shared" si="12"/>
        <v>-1.974960476237796E-2</v>
      </c>
      <c r="M134" s="20">
        <v>1.0666632172008018E-2</v>
      </c>
      <c r="N134" s="20">
        <v>1.0972248977687219E-3</v>
      </c>
      <c r="O134" s="20">
        <v>0.1028651668188317</v>
      </c>
      <c r="P134" s="20"/>
      <c r="Q134" s="20"/>
      <c r="R134" s="20">
        <v>0.92</v>
      </c>
      <c r="S134" s="20">
        <v>7.999999999999996E-2</v>
      </c>
      <c r="T134" s="20"/>
      <c r="U134" s="25">
        <f t="shared" si="13"/>
        <v>1</v>
      </c>
    </row>
    <row r="135" spans="2:21" x14ac:dyDescent="0.2">
      <c r="B135" s="19">
        <v>37750</v>
      </c>
      <c r="C135" s="10">
        <v>12950</v>
      </c>
      <c r="D135" s="10">
        <v>2892.63</v>
      </c>
      <c r="E135" s="10">
        <v>8903.66</v>
      </c>
      <c r="F135" s="10">
        <v>3928.9</v>
      </c>
      <c r="G135" s="10">
        <v>1129.29</v>
      </c>
      <c r="H135" s="20">
        <f t="shared" si="8"/>
        <v>-1.4661062080577115E-3</v>
      </c>
      <c r="I135" s="20">
        <f t="shared" si="9"/>
        <v>-3.8151377738135608E-2</v>
      </c>
      <c r="J135" s="20">
        <f t="shared" si="10"/>
        <v>-4.7820819422876521E-3</v>
      </c>
      <c r="K135" s="20">
        <f t="shared" si="11"/>
        <v>-1.6158295457262686E-2</v>
      </c>
      <c r="L135" s="20">
        <f t="shared" si="12"/>
        <v>7.7873290031869654E-3</v>
      </c>
      <c r="M135" s="20">
        <v>1.3016354954297676E-2</v>
      </c>
      <c r="N135" s="20">
        <v>1.7191438151065246E-3</v>
      </c>
      <c r="O135" s="20">
        <v>0.13207567104175399</v>
      </c>
      <c r="P135" s="20">
        <v>0.25</v>
      </c>
      <c r="Q135" s="20">
        <v>0.31000000000000005</v>
      </c>
      <c r="R135" s="20"/>
      <c r="S135" s="20"/>
      <c r="T135" s="20">
        <v>0.44</v>
      </c>
      <c r="U135" s="25">
        <f t="shared" si="13"/>
        <v>1</v>
      </c>
    </row>
    <row r="136" spans="2:21" x14ac:dyDescent="0.2">
      <c r="B136" s="19">
        <v>37753</v>
      </c>
      <c r="C136" s="10">
        <v>13206</v>
      </c>
      <c r="D136" s="10">
        <v>2961.14</v>
      </c>
      <c r="E136" s="10">
        <v>9164.1</v>
      </c>
      <c r="F136" s="10">
        <v>3969.4</v>
      </c>
      <c r="G136" s="10">
        <v>1141.08</v>
      </c>
      <c r="H136" s="20">
        <f t="shared" si="8"/>
        <v>1.9575483626832785E-2</v>
      </c>
      <c r="I136" s="20">
        <f t="shared" si="9"/>
        <v>2.3408206429628608E-2</v>
      </c>
      <c r="J136" s="20">
        <f t="shared" si="10"/>
        <v>2.8831248638277261E-2</v>
      </c>
      <c r="K136" s="20">
        <f t="shared" si="11"/>
        <v>1.0255461292498226E-2</v>
      </c>
      <c r="L136" s="20">
        <f t="shared" si="12"/>
        <v>1.0386065691881588E-2</v>
      </c>
      <c r="M136" s="20">
        <v>1.1288317773245004E-2</v>
      </c>
      <c r="N136" s="20">
        <v>9.9463547145170581E-4</v>
      </c>
      <c r="O136" s="20">
        <v>8.8111930531326849E-2</v>
      </c>
      <c r="P136" s="20"/>
      <c r="Q136" s="20">
        <v>0.25</v>
      </c>
      <c r="R136" s="20">
        <v>0.08</v>
      </c>
      <c r="S136" s="20">
        <v>0.44</v>
      </c>
      <c r="T136" s="20">
        <v>0.23000000000000009</v>
      </c>
      <c r="U136" s="25">
        <f t="shared" si="13"/>
        <v>1</v>
      </c>
    </row>
    <row r="137" spans="2:21" x14ac:dyDescent="0.2">
      <c r="B137" s="19">
        <v>37754</v>
      </c>
      <c r="C137" s="10">
        <v>13322</v>
      </c>
      <c r="D137" s="10">
        <v>2941.57</v>
      </c>
      <c r="E137" s="10">
        <v>9165.5400000000009</v>
      </c>
      <c r="F137" s="10">
        <v>3987.4</v>
      </c>
      <c r="G137" s="10">
        <v>1152.75</v>
      </c>
      <c r="H137" s="20">
        <f t="shared" si="8"/>
        <v>8.7455322186081475E-3</v>
      </c>
      <c r="I137" s="20">
        <f t="shared" si="9"/>
        <v>-6.6308769040962483E-3</v>
      </c>
      <c r="J137" s="20">
        <f t="shared" si="10"/>
        <v>1.571225624686376E-4</v>
      </c>
      <c r="K137" s="20">
        <f t="shared" si="11"/>
        <v>4.5244396505682597E-3</v>
      </c>
      <c r="L137" s="20">
        <f t="shared" si="12"/>
        <v>1.0175209747461861E-2</v>
      </c>
      <c r="M137" s="20">
        <v>1.0154326017134094E-2</v>
      </c>
      <c r="N137" s="20">
        <v>1.0349627862320568E-3</v>
      </c>
      <c r="O137" s="20">
        <v>0.10192333636774049</v>
      </c>
      <c r="P137" s="20"/>
      <c r="Q137" s="20"/>
      <c r="R137" s="20">
        <v>0.82</v>
      </c>
      <c r="S137" s="20">
        <v>0.18000000000000016</v>
      </c>
      <c r="T137" s="20"/>
      <c r="U137" s="25">
        <f t="shared" si="13"/>
        <v>1</v>
      </c>
    </row>
    <row r="138" spans="2:21" x14ac:dyDescent="0.2">
      <c r="B138" s="19">
        <v>37755</v>
      </c>
      <c r="C138" s="10">
        <v>13428</v>
      </c>
      <c r="D138" s="10">
        <v>2906.95</v>
      </c>
      <c r="E138" s="10">
        <v>9135.51</v>
      </c>
      <c r="F138" s="10">
        <v>3999.9</v>
      </c>
      <c r="G138" s="10">
        <v>1161.47</v>
      </c>
      <c r="H138" s="20">
        <f t="shared" si="8"/>
        <v>7.9252751268007338E-3</v>
      </c>
      <c r="I138" s="20">
        <f t="shared" si="9"/>
        <v>-1.183903085509006E-2</v>
      </c>
      <c r="J138" s="20">
        <f t="shared" si="10"/>
        <v>-3.2817818597459013E-3</v>
      </c>
      <c r="K138" s="20">
        <f t="shared" si="11"/>
        <v>3.1299713807960042E-3</v>
      </c>
      <c r="L138" s="20">
        <f t="shared" si="12"/>
        <v>7.5360521202595E-3</v>
      </c>
      <c r="M138" s="20">
        <v>1.5279767965445258E-2</v>
      </c>
      <c r="N138" s="20">
        <v>1.5444546952044949E-3</v>
      </c>
      <c r="O138" s="20">
        <v>0.10107841288540724</v>
      </c>
      <c r="P138" s="20">
        <v>0.03</v>
      </c>
      <c r="Q138" s="20">
        <v>7.999999999999996E-2</v>
      </c>
      <c r="R138" s="20"/>
      <c r="S138" s="20"/>
      <c r="T138" s="20">
        <v>0.89</v>
      </c>
      <c r="U138" s="25">
        <f t="shared" si="13"/>
        <v>1</v>
      </c>
    </row>
    <row r="139" spans="2:21" x14ac:dyDescent="0.2">
      <c r="B139" s="19">
        <v>37756</v>
      </c>
      <c r="C139" s="10">
        <v>13465</v>
      </c>
      <c r="D139" s="10">
        <v>2926.79</v>
      </c>
      <c r="E139" s="10">
        <v>9068.2999999999993</v>
      </c>
      <c r="F139" s="10">
        <v>3975</v>
      </c>
      <c r="G139" s="10">
        <v>1155.1099999999999</v>
      </c>
      <c r="H139" s="20">
        <f t="shared" si="8"/>
        <v>2.751647145773699E-3</v>
      </c>
      <c r="I139" s="20">
        <f t="shared" si="9"/>
        <v>6.8018377546489352E-3</v>
      </c>
      <c r="J139" s="20">
        <f t="shared" si="10"/>
        <v>-7.3842020316872226E-3</v>
      </c>
      <c r="K139" s="20">
        <f t="shared" si="11"/>
        <v>-6.2446127010901652E-3</v>
      </c>
      <c r="L139" s="20">
        <f t="shared" si="12"/>
        <v>-5.4908666908020428E-3</v>
      </c>
      <c r="M139" s="20">
        <v>1.1545579285161931E-2</v>
      </c>
      <c r="N139" s="20">
        <v>1.1497561246042386E-3</v>
      </c>
      <c r="O139" s="20">
        <v>9.9584100217636931E-2</v>
      </c>
      <c r="P139" s="20"/>
      <c r="Q139" s="20"/>
      <c r="R139" s="20"/>
      <c r="S139" s="20">
        <v>0.38</v>
      </c>
      <c r="T139" s="20">
        <v>0.62</v>
      </c>
      <c r="U139" s="25">
        <f t="shared" si="13"/>
        <v>1</v>
      </c>
    </row>
    <row r="140" spans="2:21" x14ac:dyDescent="0.2">
      <c r="B140" s="19">
        <v>37757</v>
      </c>
      <c r="C140" s="10">
        <v>13143</v>
      </c>
      <c r="D140" s="10">
        <v>2987.45</v>
      </c>
      <c r="E140" s="10">
        <v>9148.1</v>
      </c>
      <c r="F140" s="10">
        <v>4011.1</v>
      </c>
      <c r="G140" s="10">
        <v>1158.51</v>
      </c>
      <c r="H140" s="20">
        <f t="shared" si="8"/>
        <v>-2.4204428763691187E-2</v>
      </c>
      <c r="I140" s="20">
        <f t="shared" si="9"/>
        <v>2.0513921394832883E-2</v>
      </c>
      <c r="J140" s="20">
        <f t="shared" si="10"/>
        <v>8.7613919837704248E-3</v>
      </c>
      <c r="K140" s="20">
        <f t="shared" si="11"/>
        <v>9.0407698093813559E-3</v>
      </c>
      <c r="L140" s="20">
        <f t="shared" si="12"/>
        <v>2.9391191704362979E-3</v>
      </c>
      <c r="M140" s="20">
        <v>1.2987795289377853E-2</v>
      </c>
      <c r="N140" s="20">
        <v>1.7073859504283606E-3</v>
      </c>
      <c r="O140" s="20">
        <v>0.13146079934172941</v>
      </c>
      <c r="P140" s="20">
        <v>0.25</v>
      </c>
      <c r="Q140" s="20"/>
      <c r="R140" s="20">
        <v>0</v>
      </c>
      <c r="S140" s="20">
        <v>0.09</v>
      </c>
      <c r="T140" s="20">
        <v>0.66</v>
      </c>
      <c r="U140" s="25">
        <f t="shared" si="13"/>
        <v>1</v>
      </c>
    </row>
    <row r="141" spans="2:21" x14ac:dyDescent="0.2">
      <c r="B141" s="19">
        <v>37760</v>
      </c>
      <c r="C141" s="10">
        <v>13179</v>
      </c>
      <c r="D141" s="10">
        <v>2976.38</v>
      </c>
      <c r="E141" s="10">
        <v>9074.34</v>
      </c>
      <c r="F141" s="10">
        <v>4049</v>
      </c>
      <c r="G141" s="10">
        <v>1146.74</v>
      </c>
      <c r="H141" s="20">
        <f t="shared" si="8"/>
        <v>2.7353561618810441E-3</v>
      </c>
      <c r="I141" s="20">
        <f t="shared" si="9"/>
        <v>-3.7123837244524482E-3</v>
      </c>
      <c r="J141" s="20">
        <f t="shared" si="10"/>
        <v>-8.0955572184721169E-3</v>
      </c>
      <c r="K141" s="20">
        <f t="shared" si="11"/>
        <v>9.4044191343475164E-3</v>
      </c>
      <c r="L141" s="20">
        <f t="shared" si="12"/>
        <v>-1.0211562543939521E-2</v>
      </c>
      <c r="M141" s="20">
        <v>1.007791157189062E-2</v>
      </c>
      <c r="N141" s="20">
        <v>1.143340334110243E-3</v>
      </c>
      <c r="O141" s="20">
        <v>0.1134501256489743</v>
      </c>
      <c r="P141" s="20">
        <v>0.23</v>
      </c>
      <c r="Q141" s="20">
        <v>0.03</v>
      </c>
      <c r="R141" s="20">
        <v>7.999999999999996E-2</v>
      </c>
      <c r="S141" s="20">
        <v>0.59</v>
      </c>
      <c r="T141" s="20">
        <v>7.0000000000000007E-2</v>
      </c>
      <c r="U141" s="25">
        <f t="shared" si="13"/>
        <v>1</v>
      </c>
    </row>
    <row r="142" spans="2:21" x14ac:dyDescent="0.2">
      <c r="B142" s="19">
        <v>37761</v>
      </c>
      <c r="C142" s="10">
        <v>12753</v>
      </c>
      <c r="D142" s="10">
        <v>2848.19</v>
      </c>
      <c r="E142" s="10">
        <v>8980.27</v>
      </c>
      <c r="F142" s="10">
        <v>3941.3</v>
      </c>
      <c r="G142" s="10">
        <v>1118.3</v>
      </c>
      <c r="H142" s="20">
        <f t="shared" si="8"/>
        <v>-3.2858115616989474E-2</v>
      </c>
      <c r="I142" s="20">
        <f t="shared" si="9"/>
        <v>-4.4024092183817802E-2</v>
      </c>
      <c r="J142" s="20">
        <f t="shared" si="10"/>
        <v>-1.0420701556175523E-2</v>
      </c>
      <c r="K142" s="20">
        <f t="shared" si="11"/>
        <v>-2.6959318922882412E-2</v>
      </c>
      <c r="L142" s="20">
        <f t="shared" si="12"/>
        <v>-2.5113459108626716E-2</v>
      </c>
      <c r="M142" s="20">
        <v>1.0237955221876789E-2</v>
      </c>
      <c r="N142" s="20">
        <v>9.1777417269496087E-4</v>
      </c>
      <c r="O142" s="20">
        <v>8.9644284703827556E-2</v>
      </c>
      <c r="P142" s="20"/>
      <c r="Q142" s="20"/>
      <c r="R142" s="20"/>
      <c r="S142" s="20">
        <v>0.61</v>
      </c>
      <c r="T142" s="20">
        <v>0.39</v>
      </c>
      <c r="U142" s="25">
        <f t="shared" si="13"/>
        <v>1</v>
      </c>
    </row>
    <row r="143" spans="2:21" x14ac:dyDescent="0.2">
      <c r="B143" s="19">
        <v>37762</v>
      </c>
      <c r="C143" s="10">
        <v>12749</v>
      </c>
      <c r="D143" s="10">
        <v>2841.33</v>
      </c>
      <c r="E143" s="10">
        <v>9069.34</v>
      </c>
      <c r="F143" s="10">
        <v>3971.6</v>
      </c>
      <c r="G143" s="10">
        <v>1110.78</v>
      </c>
      <c r="H143" s="20">
        <f t="shared" si="8"/>
        <v>-3.1370088877755408E-4</v>
      </c>
      <c r="I143" s="20">
        <f t="shared" si="9"/>
        <v>-2.4114523981988941E-3</v>
      </c>
      <c r="J143" s="20">
        <f t="shared" si="10"/>
        <v>9.8695454371772236E-3</v>
      </c>
      <c r="K143" s="20">
        <f t="shared" si="11"/>
        <v>7.6584180501602936E-3</v>
      </c>
      <c r="L143" s="20">
        <f t="shared" si="12"/>
        <v>-6.7472038050023966E-3</v>
      </c>
      <c r="M143" s="20">
        <v>1.5241798667462335E-2</v>
      </c>
      <c r="N143" s="20">
        <v>1.2063627515882048E-3</v>
      </c>
      <c r="O143" s="20">
        <v>7.9148319559128308E-2</v>
      </c>
      <c r="P143" s="20"/>
      <c r="Q143" s="20">
        <v>0.69</v>
      </c>
      <c r="R143" s="20">
        <v>0.26</v>
      </c>
      <c r="S143" s="20">
        <v>4.9999999999999933E-2</v>
      </c>
      <c r="T143" s="20"/>
      <c r="U143" s="25">
        <f t="shared" si="13"/>
        <v>0.99999999999999989</v>
      </c>
    </row>
    <row r="144" spans="2:21" x14ac:dyDescent="0.2">
      <c r="B144" s="19">
        <v>37763</v>
      </c>
      <c r="C144" s="10">
        <v>13031</v>
      </c>
      <c r="D144" s="10">
        <v>2826.47</v>
      </c>
      <c r="E144" s="10">
        <v>9045.84</v>
      </c>
      <c r="F144" s="10">
        <v>3936.4</v>
      </c>
      <c r="G144" s="10">
        <v>1116.21</v>
      </c>
      <c r="H144" s="20">
        <f t="shared" si="8"/>
        <v>2.1878297006783769E-2</v>
      </c>
      <c r="I144" s="20">
        <f t="shared" si="9"/>
        <v>-5.2436691659126572E-3</v>
      </c>
      <c r="J144" s="20">
        <f t="shared" si="10"/>
        <v>-2.5945105908403944E-3</v>
      </c>
      <c r="K144" s="20">
        <f t="shared" si="11"/>
        <v>-8.9024361346084959E-3</v>
      </c>
      <c r="L144" s="20">
        <f t="shared" si="12"/>
        <v>4.876547052988703E-3</v>
      </c>
      <c r="M144" s="20">
        <v>1.1103742306070523E-2</v>
      </c>
      <c r="N144" s="20">
        <v>1.1408083758443876E-3</v>
      </c>
      <c r="O144" s="20">
        <v>0.10274089080946129</v>
      </c>
      <c r="P144" s="20"/>
      <c r="Q144" s="20"/>
      <c r="R144" s="20">
        <v>0.99</v>
      </c>
      <c r="S144" s="20">
        <v>1.0000000000000009E-2</v>
      </c>
      <c r="T144" s="20"/>
      <c r="U144" s="25">
        <f t="shared" si="13"/>
        <v>1</v>
      </c>
    </row>
    <row r="145" spans="2:21" x14ac:dyDescent="0.2">
      <c r="B145" s="19">
        <v>37764</v>
      </c>
      <c r="C145" s="10">
        <v>13101</v>
      </c>
      <c r="D145" s="10">
        <v>2867.1</v>
      </c>
      <c r="E145" s="10">
        <v>9217.2099999999991</v>
      </c>
      <c r="F145" s="10">
        <v>3990.4</v>
      </c>
      <c r="G145" s="10">
        <v>1128.4100000000001</v>
      </c>
      <c r="H145" s="20">
        <f t="shared" si="8"/>
        <v>5.3574290087647384E-3</v>
      </c>
      <c r="I145" s="20">
        <f t="shared" si="9"/>
        <v>1.427248271458819E-2</v>
      </c>
      <c r="J145" s="20">
        <f t="shared" si="10"/>
        <v>1.8767405214496258E-2</v>
      </c>
      <c r="K145" s="20">
        <f t="shared" si="11"/>
        <v>1.3624876460886776E-2</v>
      </c>
      <c r="L145" s="20">
        <f t="shared" si="12"/>
        <v>1.0870543912080484E-2</v>
      </c>
      <c r="M145" s="20">
        <v>1.0502583005742475E-2</v>
      </c>
      <c r="N145" s="20">
        <v>9.9846354727210112E-4</v>
      </c>
      <c r="O145" s="20">
        <v>9.5068379533508399E-2</v>
      </c>
      <c r="P145" s="20"/>
      <c r="Q145" s="20"/>
      <c r="R145" s="20"/>
      <c r="S145" s="20">
        <v>0.53</v>
      </c>
      <c r="T145" s="20">
        <v>0.47000000000000008</v>
      </c>
      <c r="U145" s="25">
        <f t="shared" si="13"/>
        <v>1</v>
      </c>
    </row>
    <row r="146" spans="2:21" x14ac:dyDescent="0.2">
      <c r="B146" s="19">
        <v>37767</v>
      </c>
      <c r="C146" s="10">
        <v>13149</v>
      </c>
      <c r="D146" s="10">
        <v>2821.54</v>
      </c>
      <c r="E146" s="10">
        <v>9412.73</v>
      </c>
      <c r="F146" s="10">
        <v>3990.4</v>
      </c>
      <c r="G146" s="10">
        <v>1128.4100000000001</v>
      </c>
      <c r="H146" s="20">
        <f t="shared" si="8"/>
        <v>3.6571469332481294E-3</v>
      </c>
      <c r="I146" s="20">
        <f t="shared" si="9"/>
        <v>-1.6018230775257485E-2</v>
      </c>
      <c r="J146" s="20">
        <f t="shared" si="10"/>
        <v>2.0990639680348526E-2</v>
      </c>
      <c r="K146" s="20">
        <f t="shared" si="11"/>
        <v>0</v>
      </c>
      <c r="L146" s="20">
        <f t="shared" si="12"/>
        <v>0</v>
      </c>
      <c r="M146" s="20">
        <v>1.3025664141353185E-2</v>
      </c>
      <c r="N146" s="20">
        <v>2.0738975735289113E-3</v>
      </c>
      <c r="O146" s="20">
        <v>0.15921626344907908</v>
      </c>
      <c r="P146" s="20">
        <v>0.51</v>
      </c>
      <c r="Q146" s="20"/>
      <c r="R146" s="20"/>
      <c r="S146" s="20"/>
      <c r="T146" s="20">
        <v>0.49</v>
      </c>
      <c r="U146" s="25">
        <f t="shared" si="13"/>
        <v>1</v>
      </c>
    </row>
    <row r="147" spans="2:21" x14ac:dyDescent="0.2">
      <c r="B147" s="19">
        <v>37768</v>
      </c>
      <c r="C147" s="10">
        <v>12861</v>
      </c>
      <c r="D147" s="10">
        <v>2827.66</v>
      </c>
      <c r="E147" s="10">
        <v>9490.57</v>
      </c>
      <c r="F147" s="10">
        <v>3979.8</v>
      </c>
      <c r="G147" s="10">
        <v>1123.6600000000001</v>
      </c>
      <c r="H147" s="20">
        <f t="shared" si="8"/>
        <v>-2.2146233820832029E-2</v>
      </c>
      <c r="I147" s="20">
        <f t="shared" si="9"/>
        <v>2.16667931537016E-3</v>
      </c>
      <c r="J147" s="20">
        <f t="shared" si="10"/>
        <v>8.235645624122814E-3</v>
      </c>
      <c r="K147" s="20">
        <f t="shared" si="11"/>
        <v>-2.6599097261519921E-3</v>
      </c>
      <c r="L147" s="20">
        <f t="shared" si="12"/>
        <v>-4.21834760343764E-3</v>
      </c>
      <c r="M147" s="20">
        <v>1.3401185870619408E-2</v>
      </c>
      <c r="N147" s="20">
        <v>2.3763514364382684E-3</v>
      </c>
      <c r="O147" s="20">
        <v>0.17732396665344011</v>
      </c>
      <c r="P147" s="20">
        <v>0.8</v>
      </c>
      <c r="Q147" s="20">
        <v>1.9999999999999907E-2</v>
      </c>
      <c r="R147" s="20"/>
      <c r="S147" s="20"/>
      <c r="T147" s="20">
        <v>0.18</v>
      </c>
      <c r="U147" s="25">
        <f t="shared" si="13"/>
        <v>1</v>
      </c>
    </row>
    <row r="148" spans="2:21" x14ac:dyDescent="0.2">
      <c r="B148" s="19">
        <v>37769</v>
      </c>
      <c r="C148" s="10">
        <v>13257</v>
      </c>
      <c r="D148" s="10">
        <v>2885.53</v>
      </c>
      <c r="E148" s="10">
        <v>9558.2199999999993</v>
      </c>
      <c r="F148" s="10">
        <v>3992.4</v>
      </c>
      <c r="G148" s="10">
        <v>1172.99</v>
      </c>
      <c r="H148" s="20">
        <f t="shared" si="8"/>
        <v>3.0326238532762763E-2</v>
      </c>
      <c r="I148" s="20">
        <f t="shared" si="9"/>
        <v>2.0259077428262766E-2</v>
      </c>
      <c r="J148" s="20">
        <f t="shared" si="10"/>
        <v>7.1028432161609305E-3</v>
      </c>
      <c r="K148" s="20">
        <f t="shared" si="11"/>
        <v>3.160987052865924E-3</v>
      </c>
      <c r="L148" s="20">
        <f t="shared" si="12"/>
        <v>4.2964829877174329E-2</v>
      </c>
      <c r="M148" s="20">
        <v>1.1766506833316757E-2</v>
      </c>
      <c r="N148" s="20">
        <v>5.5467198709782987E-4</v>
      </c>
      <c r="O148" s="20">
        <v>4.7139902687795263E-2</v>
      </c>
      <c r="P148" s="20"/>
      <c r="Q148" s="20"/>
      <c r="R148" s="20"/>
      <c r="S148" s="20">
        <v>0.97</v>
      </c>
      <c r="T148" s="20">
        <v>2.9999999999999916E-2</v>
      </c>
      <c r="U148" s="25">
        <f t="shared" si="13"/>
        <v>0.99999999999999989</v>
      </c>
    </row>
    <row r="149" spans="2:21" x14ac:dyDescent="0.2">
      <c r="B149" s="19">
        <v>37770</v>
      </c>
      <c r="C149" s="10">
        <v>13303</v>
      </c>
      <c r="D149" s="10">
        <v>2914.18</v>
      </c>
      <c r="E149" s="10">
        <v>9520.81</v>
      </c>
      <c r="F149" s="10">
        <v>4071.9</v>
      </c>
      <c r="G149" s="10">
        <v>1175.4000000000001</v>
      </c>
      <c r="H149" s="20">
        <f t="shared" si="8"/>
        <v>3.4638588850560894E-3</v>
      </c>
      <c r="I149" s="20">
        <f t="shared" si="9"/>
        <v>9.8798847006353885E-3</v>
      </c>
      <c r="J149" s="20">
        <f t="shared" si="10"/>
        <v>-3.9215880412747E-3</v>
      </c>
      <c r="K149" s="20">
        <f t="shared" si="11"/>
        <v>1.9717167159597725E-2</v>
      </c>
      <c r="L149" s="20">
        <f t="shared" si="12"/>
        <v>2.0524707106040056E-3</v>
      </c>
      <c r="M149" s="20">
        <v>1.4076638263943285E-2</v>
      </c>
      <c r="N149" s="20">
        <v>2.4357037314437567E-3</v>
      </c>
      <c r="O149" s="20">
        <v>0.17303163481033032</v>
      </c>
      <c r="P149" s="20">
        <v>0.88</v>
      </c>
      <c r="Q149" s="20">
        <v>0.11999999999999988</v>
      </c>
      <c r="R149" s="20"/>
      <c r="S149" s="20"/>
      <c r="T149" s="20"/>
      <c r="U149" s="25">
        <f t="shared" si="13"/>
        <v>0.99999999999999989</v>
      </c>
    </row>
    <row r="150" spans="2:21" x14ac:dyDescent="0.2">
      <c r="B150" s="19">
        <v>37771</v>
      </c>
      <c r="C150" s="10">
        <v>13413</v>
      </c>
      <c r="D150" s="10">
        <v>2907.73</v>
      </c>
      <c r="E150" s="10">
        <v>9482.1</v>
      </c>
      <c r="F150" s="10">
        <v>4083.6</v>
      </c>
      <c r="G150" s="10">
        <v>1188.6300000000001</v>
      </c>
      <c r="H150" s="20">
        <f t="shared" si="8"/>
        <v>8.2348122181845288E-3</v>
      </c>
      <c r="I150" s="20">
        <f t="shared" si="9"/>
        <v>-2.215768584167702E-3</v>
      </c>
      <c r="J150" s="20">
        <f t="shared" si="10"/>
        <v>-4.0741184948821741E-3</v>
      </c>
      <c r="K150" s="20">
        <f t="shared" si="11"/>
        <v>2.8692313228312633E-3</v>
      </c>
      <c r="L150" s="20">
        <f t="shared" si="12"/>
        <v>1.1192868213382336E-2</v>
      </c>
      <c r="M150" s="20">
        <v>9.8364558540646185E-3</v>
      </c>
      <c r="N150" s="20">
        <v>1.0254977842912949E-3</v>
      </c>
      <c r="O150" s="20">
        <v>0.10425480472903652</v>
      </c>
      <c r="P150" s="20"/>
      <c r="Q150" s="20"/>
      <c r="R150" s="20">
        <v>0.74</v>
      </c>
      <c r="S150" s="20">
        <v>0.22</v>
      </c>
      <c r="T150" s="20">
        <v>4.0000000000000036E-2</v>
      </c>
      <c r="U150" s="25">
        <f t="shared" si="13"/>
        <v>1</v>
      </c>
    </row>
    <row r="151" spans="2:21" x14ac:dyDescent="0.2">
      <c r="B151" s="19">
        <v>37774</v>
      </c>
      <c r="C151" s="10">
        <v>13441</v>
      </c>
      <c r="D151" s="10">
        <v>2990.93</v>
      </c>
      <c r="E151" s="10">
        <v>9582.01</v>
      </c>
      <c r="F151" s="10">
        <v>4048.1</v>
      </c>
      <c r="G151" s="10">
        <v>1210.77</v>
      </c>
      <c r="H151" s="20">
        <f t="shared" si="8"/>
        <v>2.0853511690578841E-3</v>
      </c>
      <c r="I151" s="20">
        <f t="shared" si="9"/>
        <v>2.8211667787028688E-2</v>
      </c>
      <c r="J151" s="20">
        <f t="shared" si="10"/>
        <v>1.0481571361282386E-2</v>
      </c>
      <c r="K151" s="20">
        <f t="shared" si="11"/>
        <v>-8.7313170753745041E-3</v>
      </c>
      <c r="L151" s="20">
        <f t="shared" si="12"/>
        <v>1.8455137441738507E-2</v>
      </c>
      <c r="M151" s="20">
        <v>1.0448206544426552E-2</v>
      </c>
      <c r="N151" s="20">
        <v>6.7384253931939905E-4</v>
      </c>
      <c r="O151" s="20">
        <v>6.4493608204831174E-2</v>
      </c>
      <c r="P151" s="20"/>
      <c r="Q151" s="20"/>
      <c r="R151" s="20">
        <v>0.24</v>
      </c>
      <c r="S151" s="20">
        <v>0.76</v>
      </c>
      <c r="T151" s="20">
        <v>1.1102230246251565E-16</v>
      </c>
      <c r="U151" s="25">
        <f t="shared" si="13"/>
        <v>1</v>
      </c>
    </row>
    <row r="152" spans="2:21" x14ac:dyDescent="0.2">
      <c r="B152" s="19">
        <v>37775</v>
      </c>
      <c r="C152" s="10">
        <v>13231</v>
      </c>
      <c r="D152" s="10">
        <v>3062.86</v>
      </c>
      <c r="E152" s="10">
        <v>9633.43</v>
      </c>
      <c r="F152" s="10">
        <v>4129.3</v>
      </c>
      <c r="G152" s="10">
        <v>1183.5999999999999</v>
      </c>
      <c r="H152" s="20">
        <f t="shared" si="8"/>
        <v>-1.5747176028737271E-2</v>
      </c>
      <c r="I152" s="20">
        <f t="shared" si="9"/>
        <v>2.3764744152695329E-2</v>
      </c>
      <c r="J152" s="20">
        <f t="shared" si="10"/>
        <v>5.3519589181602245E-3</v>
      </c>
      <c r="K152" s="20">
        <f t="shared" si="11"/>
        <v>1.9860265844857037E-2</v>
      </c>
      <c r="L152" s="20">
        <f t="shared" si="12"/>
        <v>-2.2695879307616355E-2</v>
      </c>
      <c r="M152" s="20">
        <v>9.8517444126806422E-3</v>
      </c>
      <c r="N152" s="20">
        <v>9.8515309700272476E-4</v>
      </c>
      <c r="O152" s="20">
        <v>9.9997833453199209E-2</v>
      </c>
      <c r="P152" s="20"/>
      <c r="Q152" s="20"/>
      <c r="R152" s="20">
        <v>0.74</v>
      </c>
      <c r="S152" s="20">
        <v>0.26</v>
      </c>
      <c r="T152" s="20"/>
      <c r="U152" s="25">
        <f t="shared" si="13"/>
        <v>1</v>
      </c>
    </row>
    <row r="153" spans="2:21" x14ac:dyDescent="0.2">
      <c r="B153" s="19">
        <v>37776</v>
      </c>
      <c r="C153" s="10">
        <v>13386</v>
      </c>
      <c r="D153" s="10">
        <v>3030.29</v>
      </c>
      <c r="E153" s="10">
        <v>9633.43</v>
      </c>
      <c r="F153" s="10">
        <v>4115.7</v>
      </c>
      <c r="G153" s="10">
        <v>1199.74</v>
      </c>
      <c r="H153" s="20">
        <f t="shared" si="8"/>
        <v>1.1646823618176481E-2</v>
      </c>
      <c r="I153" s="20">
        <f t="shared" si="9"/>
        <v>-1.0690795470307676E-2</v>
      </c>
      <c r="J153" s="20">
        <f t="shared" si="10"/>
        <v>0</v>
      </c>
      <c r="K153" s="20">
        <f t="shared" si="11"/>
        <v>-3.2989720641141461E-3</v>
      </c>
      <c r="L153" s="20">
        <f t="shared" si="12"/>
        <v>1.3544225107757253E-2</v>
      </c>
      <c r="M153" s="20">
        <v>1.3627615734674556E-2</v>
      </c>
      <c r="N153" s="20">
        <v>2.3012034582075586E-3</v>
      </c>
      <c r="O153" s="20">
        <v>0.16886324820212681</v>
      </c>
      <c r="P153" s="20">
        <v>0.77</v>
      </c>
      <c r="Q153" s="20">
        <v>0.19000000000000006</v>
      </c>
      <c r="R153" s="20"/>
      <c r="S153" s="20"/>
      <c r="T153" s="20">
        <v>0.04</v>
      </c>
      <c r="U153" s="25">
        <f t="shared" si="13"/>
        <v>1</v>
      </c>
    </row>
    <row r="154" spans="2:21" x14ac:dyDescent="0.2">
      <c r="B154" s="19">
        <v>37777</v>
      </c>
      <c r="C154" s="10">
        <v>13690</v>
      </c>
      <c r="D154" s="10">
        <v>3086.65</v>
      </c>
      <c r="E154" s="10">
        <v>9779.18</v>
      </c>
      <c r="F154" s="10">
        <v>4126.6000000000004</v>
      </c>
      <c r="G154" s="10">
        <v>1210.6400000000001</v>
      </c>
      <c r="H154" s="20">
        <f t="shared" si="8"/>
        <v>2.2456254621907038E-2</v>
      </c>
      <c r="I154" s="20">
        <f t="shared" si="9"/>
        <v>1.8428035894999993E-2</v>
      </c>
      <c r="J154" s="20">
        <f t="shared" si="10"/>
        <v>1.5016294948788839E-2</v>
      </c>
      <c r="K154" s="20">
        <f t="shared" si="11"/>
        <v>2.6448943509007556E-3</v>
      </c>
      <c r="L154" s="20">
        <f t="shared" si="12"/>
        <v>9.0442787449589619E-3</v>
      </c>
      <c r="M154" s="20">
        <v>1.5194608787896906E-2</v>
      </c>
      <c r="N154" s="20">
        <v>1.7779941717360396E-3</v>
      </c>
      <c r="O154" s="20">
        <v>0.11701480416871811</v>
      </c>
      <c r="P154" s="20">
        <v>0.38</v>
      </c>
      <c r="Q154" s="20">
        <v>0.61999999999999988</v>
      </c>
      <c r="R154" s="20"/>
      <c r="S154" s="20"/>
      <c r="T154" s="20">
        <v>0</v>
      </c>
      <c r="U154" s="25">
        <f t="shared" si="13"/>
        <v>0.99999999999999989</v>
      </c>
    </row>
    <row r="155" spans="2:21" x14ac:dyDescent="0.2">
      <c r="B155" s="19">
        <v>37778</v>
      </c>
      <c r="C155" s="10">
        <v>13794</v>
      </c>
      <c r="D155" s="10">
        <v>3054.99</v>
      </c>
      <c r="E155" s="10">
        <v>9662.69</v>
      </c>
      <c r="F155" s="10">
        <v>4104.3</v>
      </c>
      <c r="G155" s="10">
        <v>1254.6400000000001</v>
      </c>
      <c r="H155" s="20">
        <f t="shared" si="8"/>
        <v>7.5680757087420655E-3</v>
      </c>
      <c r="I155" s="20">
        <f t="shared" si="9"/>
        <v>-1.0310041111587112E-2</v>
      </c>
      <c r="J155" s="20">
        <f t="shared" si="10"/>
        <v>-1.1983558582457962E-2</v>
      </c>
      <c r="K155" s="20">
        <f t="shared" si="11"/>
        <v>-5.4186187569514798E-3</v>
      </c>
      <c r="L155" s="20">
        <f t="shared" si="12"/>
        <v>3.569953344739854E-2</v>
      </c>
      <c r="M155" s="20">
        <v>9.4635458443044617E-3</v>
      </c>
      <c r="N155" s="20">
        <v>1.0324635943666735E-3</v>
      </c>
      <c r="O155" s="20">
        <v>0.10909902179932389</v>
      </c>
      <c r="P155" s="20"/>
      <c r="Q155" s="20"/>
      <c r="R155" s="20">
        <v>0.33</v>
      </c>
      <c r="S155" s="20">
        <v>0.37</v>
      </c>
      <c r="T155" s="20">
        <v>0.30000000000000016</v>
      </c>
      <c r="U155" s="25">
        <f t="shared" si="13"/>
        <v>1</v>
      </c>
    </row>
    <row r="156" spans="2:21" x14ac:dyDescent="0.2">
      <c r="B156" s="19">
        <v>37781</v>
      </c>
      <c r="C156" s="10">
        <v>13926</v>
      </c>
      <c r="D156" s="10">
        <v>3124.59</v>
      </c>
      <c r="E156" s="10">
        <v>9698.2900000000009</v>
      </c>
      <c r="F156" s="10">
        <v>4150.8</v>
      </c>
      <c r="G156" s="10">
        <v>1206.95</v>
      </c>
      <c r="H156" s="20">
        <f t="shared" si="8"/>
        <v>9.523881511255541E-3</v>
      </c>
      <c r="I156" s="20">
        <f t="shared" si="9"/>
        <v>2.2526755285113005E-2</v>
      </c>
      <c r="J156" s="20">
        <f t="shared" si="10"/>
        <v>3.6775039405334878E-3</v>
      </c>
      <c r="K156" s="20">
        <f t="shared" si="11"/>
        <v>1.1265882136945276E-2</v>
      </c>
      <c r="L156" s="20">
        <f t="shared" si="12"/>
        <v>-3.8752162607390152E-2</v>
      </c>
      <c r="M156" s="20">
        <v>1.3621378205520344E-2</v>
      </c>
      <c r="N156" s="20">
        <v>1.8936086003011592E-3</v>
      </c>
      <c r="O156" s="20">
        <v>0.13901740130332299</v>
      </c>
      <c r="P156" s="20">
        <v>0.33999999999999997</v>
      </c>
      <c r="Q156" s="20"/>
      <c r="R156" s="20"/>
      <c r="S156" s="20"/>
      <c r="T156" s="20">
        <v>0.66</v>
      </c>
      <c r="U156" s="25">
        <f t="shared" si="13"/>
        <v>1</v>
      </c>
    </row>
    <row r="157" spans="2:21" x14ac:dyDescent="0.2">
      <c r="B157" s="19">
        <v>37782</v>
      </c>
      <c r="C157" s="10">
        <v>13869</v>
      </c>
      <c r="D157" s="10">
        <v>3088.61</v>
      </c>
      <c r="E157" s="10">
        <v>9642.4599999999991</v>
      </c>
      <c r="F157" s="10">
        <v>4129.1000000000004</v>
      </c>
      <c r="G157" s="10">
        <v>1201.26</v>
      </c>
      <c r="H157" s="20">
        <f t="shared" si="8"/>
        <v>-4.1014628461568531E-3</v>
      </c>
      <c r="I157" s="20">
        <f t="shared" si="9"/>
        <v>-1.1581923066490134E-2</v>
      </c>
      <c r="J157" s="20">
        <f t="shared" si="10"/>
        <v>-5.7733185190186713E-3</v>
      </c>
      <c r="K157" s="20">
        <f t="shared" si="11"/>
        <v>-5.2416211990964044E-3</v>
      </c>
      <c r="L157" s="20">
        <f t="shared" si="12"/>
        <v>-4.7255103071160614E-3</v>
      </c>
      <c r="M157" s="20">
        <v>9.8536848161496909E-3</v>
      </c>
      <c r="N157" s="20">
        <v>7.6100949547072997E-4</v>
      </c>
      <c r="O157" s="20">
        <v>7.7230955695221135E-2</v>
      </c>
      <c r="P157" s="20"/>
      <c r="Q157" s="20"/>
      <c r="R157" s="20">
        <v>0.38</v>
      </c>
      <c r="S157" s="20">
        <v>0.61999999999999988</v>
      </c>
      <c r="T157" s="20"/>
      <c r="U157" s="25">
        <f t="shared" si="13"/>
        <v>0.99999999999999989</v>
      </c>
    </row>
    <row r="158" spans="2:21" x14ac:dyDescent="0.2">
      <c r="B158" s="19">
        <v>37783</v>
      </c>
      <c r="C158" s="10">
        <v>13898</v>
      </c>
      <c r="D158" s="10">
        <v>3145.52</v>
      </c>
      <c r="E158" s="10">
        <v>9756.5</v>
      </c>
      <c r="F158" s="10">
        <v>4113</v>
      </c>
      <c r="G158" s="10">
        <v>1210.6099999999999</v>
      </c>
      <c r="H158" s="20">
        <f t="shared" si="8"/>
        <v>2.0888112179376075E-3</v>
      </c>
      <c r="I158" s="20">
        <f t="shared" si="9"/>
        <v>1.82580667829518E-2</v>
      </c>
      <c r="J158" s="20">
        <f t="shared" si="10"/>
        <v>1.1757466763063721E-2</v>
      </c>
      <c r="K158" s="20">
        <f t="shared" si="11"/>
        <v>-3.9067763016029308E-3</v>
      </c>
      <c r="L158" s="20">
        <f t="shared" si="12"/>
        <v>7.7533588785672763E-3</v>
      </c>
      <c r="M158" s="20">
        <v>1.4850768084664567E-2</v>
      </c>
      <c r="N158" s="20">
        <v>1.2335607977757338E-3</v>
      </c>
      <c r="O158" s="20">
        <v>8.3063770893409397E-2</v>
      </c>
      <c r="P158" s="20"/>
      <c r="Q158" s="20">
        <v>0.66</v>
      </c>
      <c r="R158" s="20">
        <v>0.33999999999999986</v>
      </c>
      <c r="S158" s="20"/>
      <c r="T158" s="20"/>
      <c r="U158" s="25">
        <f t="shared" si="13"/>
        <v>0.99999999999999989</v>
      </c>
    </row>
    <row r="159" spans="2:21" x14ac:dyDescent="0.2">
      <c r="B159" s="19">
        <v>37784</v>
      </c>
      <c r="C159" s="10">
        <v>13901</v>
      </c>
      <c r="D159" s="10">
        <v>3180.61</v>
      </c>
      <c r="E159" s="10">
        <v>9734.77</v>
      </c>
      <c r="F159" s="10">
        <v>4150.1000000000004</v>
      </c>
      <c r="G159" s="10">
        <v>1233.48</v>
      </c>
      <c r="H159" s="20">
        <f t="shared" si="8"/>
        <v>2.1583510281997657E-4</v>
      </c>
      <c r="I159" s="20">
        <f t="shared" si="9"/>
        <v>1.1093783998251403E-2</v>
      </c>
      <c r="J159" s="20">
        <f t="shared" si="10"/>
        <v>-2.2297170992765214E-3</v>
      </c>
      <c r="K159" s="20">
        <f t="shared" si="11"/>
        <v>8.9797410895488365E-3</v>
      </c>
      <c r="L159" s="20">
        <f t="shared" si="12"/>
        <v>1.8715078022600522E-2</v>
      </c>
      <c r="M159" s="20">
        <v>1.7613123556929056E-2</v>
      </c>
      <c r="N159" s="20">
        <v>1.2637138712285616E-3</v>
      </c>
      <c r="O159" s="20">
        <v>7.1748424811986997E-2</v>
      </c>
      <c r="P159" s="20"/>
      <c r="Q159" s="20">
        <v>0.89</v>
      </c>
      <c r="R159" s="20">
        <v>0.10999999999999999</v>
      </c>
      <c r="S159" s="20"/>
      <c r="T159" s="20"/>
      <c r="U159" s="25">
        <f t="shared" si="13"/>
        <v>1</v>
      </c>
    </row>
    <row r="160" spans="2:21" x14ac:dyDescent="0.2">
      <c r="B160" s="19">
        <v>37785</v>
      </c>
      <c r="C160" s="10">
        <v>13980</v>
      </c>
      <c r="D160" s="10">
        <v>3220.82</v>
      </c>
      <c r="E160" s="10">
        <v>9728.2000000000007</v>
      </c>
      <c r="F160" s="10">
        <v>4161.3</v>
      </c>
      <c r="G160" s="10">
        <v>1231.75</v>
      </c>
      <c r="H160" s="20">
        <f t="shared" si="8"/>
        <v>5.6669568107085861E-3</v>
      </c>
      <c r="I160" s="20">
        <f t="shared" si="9"/>
        <v>1.2562983225862729E-2</v>
      </c>
      <c r="J160" s="20">
        <f t="shared" si="10"/>
        <v>-6.7512823063997673E-4</v>
      </c>
      <c r="K160" s="20">
        <f t="shared" si="11"/>
        <v>2.6950951173810717E-3</v>
      </c>
      <c r="L160" s="20">
        <f t="shared" si="12"/>
        <v>-1.4035203887584776E-3</v>
      </c>
      <c r="M160" s="20">
        <v>1.4507803342801965E-2</v>
      </c>
      <c r="N160" s="20">
        <v>1.2616544529731419E-3</v>
      </c>
      <c r="O160" s="20">
        <v>8.6963851326197536E-2</v>
      </c>
      <c r="P160" s="20">
        <v>5.0000000000000155E-2</v>
      </c>
      <c r="Q160" s="20">
        <v>0.6</v>
      </c>
      <c r="R160" s="20">
        <v>0</v>
      </c>
      <c r="S160" s="20">
        <v>0.17</v>
      </c>
      <c r="T160" s="20">
        <v>0.18</v>
      </c>
      <c r="U160" s="25">
        <f t="shared" si="13"/>
        <v>1.0000000000000002</v>
      </c>
    </row>
    <row r="161" spans="2:21" x14ac:dyDescent="0.2">
      <c r="B161" s="19">
        <v>37788</v>
      </c>
      <c r="C161" s="10">
        <v>13737</v>
      </c>
      <c r="D161" s="10">
        <v>3156.8</v>
      </c>
      <c r="E161" s="10">
        <v>9821.39</v>
      </c>
      <c r="F161" s="10">
        <v>4134.1000000000004</v>
      </c>
      <c r="G161" s="10">
        <v>1211.58</v>
      </c>
      <c r="H161" s="20">
        <f t="shared" si="8"/>
        <v>-1.7534814462596134E-2</v>
      </c>
      <c r="I161" s="20">
        <f t="shared" si="9"/>
        <v>-2.0077129235253625E-2</v>
      </c>
      <c r="J161" s="20">
        <f t="shared" si="10"/>
        <v>9.5337759879284278E-3</v>
      </c>
      <c r="K161" s="20">
        <f t="shared" si="11"/>
        <v>-6.5578748413740971E-3</v>
      </c>
      <c r="L161" s="20">
        <f t="shared" si="12"/>
        <v>-1.6510629505286072E-2</v>
      </c>
      <c r="M161" s="20">
        <v>1.3219068212099946E-2</v>
      </c>
      <c r="N161" s="20">
        <v>2.32842318279162E-3</v>
      </c>
      <c r="O161" s="20">
        <v>0.17614124879545748</v>
      </c>
      <c r="P161" s="20">
        <v>0.74999999999999989</v>
      </c>
      <c r="Q161" s="20"/>
      <c r="R161" s="20"/>
      <c r="S161" s="20"/>
      <c r="T161" s="20">
        <v>0.25</v>
      </c>
      <c r="U161" s="25">
        <f t="shared" si="13"/>
        <v>0.99999999999999989</v>
      </c>
    </row>
    <row r="162" spans="2:21" x14ac:dyDescent="0.2">
      <c r="B162" s="19">
        <v>37789</v>
      </c>
      <c r="C162" s="10">
        <v>13843</v>
      </c>
      <c r="D162" s="10">
        <v>3276.16</v>
      </c>
      <c r="E162" s="10">
        <v>10026.82</v>
      </c>
      <c r="F162" s="10">
        <v>4152.8999999999996</v>
      </c>
      <c r="G162" s="10">
        <v>1247.57</v>
      </c>
      <c r="H162" s="20">
        <f t="shared" si="8"/>
        <v>7.6867673625298808E-3</v>
      </c>
      <c r="I162" s="20">
        <f t="shared" si="9"/>
        <v>3.7113148560812645E-2</v>
      </c>
      <c r="J162" s="20">
        <f t="shared" si="10"/>
        <v>2.0700842638862606E-2</v>
      </c>
      <c r="K162" s="20">
        <f t="shared" si="11"/>
        <v>4.5372347658188946E-3</v>
      </c>
      <c r="L162" s="20">
        <f t="shared" si="12"/>
        <v>2.9272366357104267E-2</v>
      </c>
      <c r="M162" s="20">
        <v>1.0972784808687778E-2</v>
      </c>
      <c r="N162" s="20">
        <v>1.1283559535370546E-3</v>
      </c>
      <c r="O162" s="20">
        <v>0.10283223203681814</v>
      </c>
      <c r="P162" s="20"/>
      <c r="Q162" s="20"/>
      <c r="R162" s="20">
        <v>0.97</v>
      </c>
      <c r="S162" s="20">
        <v>3.0000000000000027E-2</v>
      </c>
      <c r="T162" s="20"/>
      <c r="U162" s="25">
        <f t="shared" si="13"/>
        <v>1</v>
      </c>
    </row>
    <row r="163" spans="2:21" x14ac:dyDescent="0.2">
      <c r="B163" s="19">
        <v>37790</v>
      </c>
      <c r="C163" s="10">
        <v>13790</v>
      </c>
      <c r="D163" s="10">
        <v>3280.04</v>
      </c>
      <c r="E163" s="10">
        <v>10057.75</v>
      </c>
      <c r="F163" s="10">
        <v>4190.3999999999996</v>
      </c>
      <c r="G163" s="10">
        <v>1233.83</v>
      </c>
      <c r="H163" s="20">
        <f t="shared" si="8"/>
        <v>-3.8359979003874554E-3</v>
      </c>
      <c r="I163" s="20">
        <f t="shared" si="9"/>
        <v>1.1836125966171434E-3</v>
      </c>
      <c r="J163" s="20">
        <f t="shared" si="10"/>
        <v>3.0799787549204219E-3</v>
      </c>
      <c r="K163" s="20">
        <f t="shared" si="11"/>
        <v>8.9893093916483952E-3</v>
      </c>
      <c r="L163" s="20">
        <f t="shared" si="12"/>
        <v>-1.1074506671953057E-2</v>
      </c>
      <c r="M163" s="20">
        <v>1.3477023577569001E-2</v>
      </c>
      <c r="N163" s="20">
        <v>2.310760994728362E-3</v>
      </c>
      <c r="O163" s="20">
        <v>0.17145929747977628</v>
      </c>
      <c r="P163" s="20">
        <v>0.79</v>
      </c>
      <c r="Q163" s="20">
        <v>0.16</v>
      </c>
      <c r="R163" s="20">
        <v>4.9999999999999822E-2</v>
      </c>
      <c r="S163" s="20"/>
      <c r="T163" s="20"/>
      <c r="U163" s="25">
        <f t="shared" si="13"/>
        <v>0.99999999999999989</v>
      </c>
    </row>
    <row r="164" spans="2:21" x14ac:dyDescent="0.2">
      <c r="B164" s="19">
        <v>37791</v>
      </c>
      <c r="C164" s="10">
        <v>13790</v>
      </c>
      <c r="D164" s="10">
        <v>3304.24</v>
      </c>
      <c r="E164" s="10">
        <v>9981.7099999999991</v>
      </c>
      <c r="F164" s="10">
        <v>4207</v>
      </c>
      <c r="G164" s="10">
        <v>1247.5</v>
      </c>
      <c r="H164" s="20">
        <f t="shared" si="8"/>
        <v>0</v>
      </c>
      <c r="I164" s="20">
        <f t="shared" si="9"/>
        <v>7.3508748021687458E-3</v>
      </c>
      <c r="J164" s="20">
        <f t="shared" si="10"/>
        <v>-7.5890632734493656E-3</v>
      </c>
      <c r="K164" s="20">
        <f t="shared" si="11"/>
        <v>3.9536098370734941E-3</v>
      </c>
      <c r="L164" s="20">
        <f t="shared" si="12"/>
        <v>1.1018396021736156E-2</v>
      </c>
      <c r="M164" s="20">
        <v>1.117514062602994E-2</v>
      </c>
      <c r="N164" s="20">
        <v>5.9912800547540061E-4</v>
      </c>
      <c r="O164" s="20">
        <v>5.3612569678082499E-2</v>
      </c>
      <c r="P164" s="20"/>
      <c r="Q164" s="20"/>
      <c r="R164" s="20">
        <v>0.12</v>
      </c>
      <c r="S164" s="20">
        <v>0.88</v>
      </c>
      <c r="T164" s="20"/>
      <c r="U164" s="25">
        <f t="shared" si="13"/>
        <v>1</v>
      </c>
    </row>
    <row r="165" spans="2:21" x14ac:dyDescent="0.2">
      <c r="B165" s="19">
        <v>37792</v>
      </c>
      <c r="C165" s="10">
        <v>13514</v>
      </c>
      <c r="D165" s="10">
        <v>3237.23</v>
      </c>
      <c r="E165" s="10">
        <v>9907.08</v>
      </c>
      <c r="F165" s="10">
        <v>4131.5</v>
      </c>
      <c r="G165" s="10">
        <v>1235.2</v>
      </c>
      <c r="H165" s="20">
        <f t="shared" si="8"/>
        <v>-2.021750667522754E-2</v>
      </c>
      <c r="I165" s="20">
        <f t="shared" si="9"/>
        <v>-2.0488466381334121E-2</v>
      </c>
      <c r="J165" s="20">
        <f t="shared" si="10"/>
        <v>-7.5047652745569432E-3</v>
      </c>
      <c r="K165" s="20">
        <f t="shared" si="11"/>
        <v>-1.8109267449281801E-2</v>
      </c>
      <c r="L165" s="20">
        <f t="shared" si="12"/>
        <v>-9.9086483551620065E-3</v>
      </c>
      <c r="M165" s="20">
        <v>1.0125926034711158E-2</v>
      </c>
      <c r="N165" s="20">
        <v>1.1739685247492307E-3</v>
      </c>
      <c r="O165" s="20">
        <v>0.11593690500255743</v>
      </c>
      <c r="P165" s="20">
        <v>2.0000000000000018E-2</v>
      </c>
      <c r="Q165" s="20"/>
      <c r="R165" s="20">
        <v>0.75</v>
      </c>
      <c r="S165" s="20">
        <v>0.09</v>
      </c>
      <c r="T165" s="20">
        <v>0.14000000000000001</v>
      </c>
      <c r="U165" s="25">
        <f t="shared" si="13"/>
        <v>1</v>
      </c>
    </row>
    <row r="166" spans="2:21" x14ac:dyDescent="0.2">
      <c r="B166" s="19">
        <v>37795</v>
      </c>
      <c r="C166" s="10">
        <v>13132</v>
      </c>
      <c r="D166" s="10">
        <v>3236.96</v>
      </c>
      <c r="E166" s="10">
        <v>9918.77</v>
      </c>
      <c r="F166" s="10">
        <v>4160.1000000000004</v>
      </c>
      <c r="G166" s="10">
        <v>1220.19</v>
      </c>
      <c r="H166" s="20">
        <f t="shared" si="8"/>
        <v>-2.8674185490636613E-2</v>
      </c>
      <c r="I166" s="20">
        <f t="shared" si="9"/>
        <v>-8.3408117511677023E-5</v>
      </c>
      <c r="J166" s="20">
        <f t="shared" si="10"/>
        <v>1.1792686169570497E-3</v>
      </c>
      <c r="K166" s="20">
        <f t="shared" si="11"/>
        <v>6.8985752866893109E-3</v>
      </c>
      <c r="L166" s="20">
        <f t="shared" si="12"/>
        <v>-1.2226315964148856E-2</v>
      </c>
      <c r="M166" s="20">
        <v>1.2595367603558399E-2</v>
      </c>
      <c r="N166" s="20">
        <v>1.3204402826185516E-3</v>
      </c>
      <c r="O166" s="20">
        <v>0.10483539061182345</v>
      </c>
      <c r="P166" s="20">
        <v>0.08</v>
      </c>
      <c r="Q166" s="20">
        <v>0.44</v>
      </c>
      <c r="R166" s="20">
        <v>0.47999999999999987</v>
      </c>
      <c r="S166" s="20"/>
      <c r="T166" s="20"/>
      <c r="U166" s="25">
        <f t="shared" si="13"/>
        <v>0.99999999999999989</v>
      </c>
    </row>
    <row r="167" spans="2:21" x14ac:dyDescent="0.2">
      <c r="B167" s="19">
        <v>37796</v>
      </c>
      <c r="C167" s="10">
        <v>12993</v>
      </c>
      <c r="D167" s="10">
        <v>3185.18</v>
      </c>
      <c r="E167" s="10">
        <v>9686.67</v>
      </c>
      <c r="F167" s="10">
        <v>4087.9</v>
      </c>
      <c r="G167" s="10">
        <v>1196.6199999999999</v>
      </c>
      <c r="H167" s="20">
        <f t="shared" si="8"/>
        <v>-1.0641248738746969E-2</v>
      </c>
      <c r="I167" s="20">
        <f t="shared" si="9"/>
        <v>-1.612581540608983E-2</v>
      </c>
      <c r="J167" s="20">
        <f t="shared" si="10"/>
        <v>-2.3678208084071235E-2</v>
      </c>
      <c r="K167" s="20">
        <f t="shared" si="11"/>
        <v>-1.7507721683113903E-2</v>
      </c>
      <c r="L167" s="20">
        <f t="shared" si="12"/>
        <v>-1.9505668467043914E-2</v>
      </c>
      <c r="M167" s="20">
        <v>1.0766686865508605E-2</v>
      </c>
      <c r="N167" s="20">
        <v>7.067274466545162E-4</v>
      </c>
      <c r="O167" s="20">
        <v>6.5640196978193746E-2</v>
      </c>
      <c r="P167" s="20"/>
      <c r="Q167" s="20">
        <v>0.04</v>
      </c>
      <c r="R167" s="20">
        <v>0.05</v>
      </c>
      <c r="S167" s="20">
        <v>0.79</v>
      </c>
      <c r="T167" s="20">
        <v>0.12</v>
      </c>
      <c r="U167" s="25">
        <f t="shared" si="13"/>
        <v>1</v>
      </c>
    </row>
    <row r="168" spans="2:21" x14ac:dyDescent="0.2">
      <c r="B168" s="19">
        <v>37797</v>
      </c>
      <c r="C168" s="10">
        <v>13110</v>
      </c>
      <c r="D168" s="10">
        <v>3217.23</v>
      </c>
      <c r="E168" s="10">
        <v>9637.2000000000007</v>
      </c>
      <c r="F168" s="10">
        <v>4060.9</v>
      </c>
      <c r="G168" s="10">
        <v>1193.1600000000001</v>
      </c>
      <c r="H168" s="20">
        <f t="shared" si="8"/>
        <v>8.9645468750091089E-3</v>
      </c>
      <c r="I168" s="20">
        <f t="shared" si="9"/>
        <v>1.0011938542200182E-2</v>
      </c>
      <c r="J168" s="20">
        <f t="shared" si="10"/>
        <v>-5.1201035893109733E-3</v>
      </c>
      <c r="K168" s="20">
        <f t="shared" si="11"/>
        <v>-6.6267668384338285E-3</v>
      </c>
      <c r="L168" s="20">
        <f t="shared" si="12"/>
        <v>-2.8956660593364137E-3</v>
      </c>
      <c r="M168" s="20">
        <v>1.0569640821757332E-2</v>
      </c>
      <c r="N168" s="20">
        <v>7.1605073625211025E-4</v>
      </c>
      <c r="O168" s="20">
        <v>6.7745985727172331E-2</v>
      </c>
      <c r="P168" s="20"/>
      <c r="Q168" s="20"/>
      <c r="R168" s="20"/>
      <c r="S168" s="20">
        <v>0.81</v>
      </c>
      <c r="T168" s="20">
        <v>0.18999999999999995</v>
      </c>
      <c r="U168" s="25">
        <f t="shared" si="13"/>
        <v>1</v>
      </c>
    </row>
    <row r="169" spans="2:21" x14ac:dyDescent="0.2">
      <c r="B169" s="19">
        <v>37798</v>
      </c>
      <c r="C169" s="10">
        <v>13031</v>
      </c>
      <c r="D169" s="10">
        <v>3194.98</v>
      </c>
      <c r="E169" s="10">
        <v>9551.0400000000009</v>
      </c>
      <c r="F169" s="10">
        <v>4067.9</v>
      </c>
      <c r="G169" s="10">
        <v>1194.8699999999999</v>
      </c>
      <c r="H169" s="20">
        <f t="shared" si="8"/>
        <v>-6.0441636128395594E-3</v>
      </c>
      <c r="I169" s="20">
        <f t="shared" si="9"/>
        <v>-6.9399128540790431E-3</v>
      </c>
      <c r="J169" s="20">
        <f t="shared" si="10"/>
        <v>-8.9805609133122282E-3</v>
      </c>
      <c r="K169" s="20">
        <f t="shared" si="11"/>
        <v>1.722271855697092E-3</v>
      </c>
      <c r="L169" s="20">
        <f t="shared" si="12"/>
        <v>1.4321430570570857E-3</v>
      </c>
      <c r="M169" s="20">
        <v>1.8661079521685268E-2</v>
      </c>
      <c r="N169" s="20">
        <v>1.2742018967773713E-3</v>
      </c>
      <c r="O169" s="20">
        <v>6.8281253252078691E-2</v>
      </c>
      <c r="P169" s="20"/>
      <c r="Q169" s="20">
        <v>0.97</v>
      </c>
      <c r="R169" s="20">
        <v>0.03</v>
      </c>
      <c r="S169" s="20">
        <v>0</v>
      </c>
      <c r="T169" s="20"/>
      <c r="U169" s="25">
        <f t="shared" si="13"/>
        <v>1</v>
      </c>
    </row>
    <row r="170" spans="2:21" x14ac:dyDescent="0.2">
      <c r="B170" s="19">
        <v>37799</v>
      </c>
      <c r="C170" s="10">
        <v>13112</v>
      </c>
      <c r="D170" s="10">
        <v>3251.87</v>
      </c>
      <c r="E170" s="10">
        <v>9626.86</v>
      </c>
      <c r="F170" s="10">
        <v>4041.7</v>
      </c>
      <c r="G170" s="10">
        <v>1216.8599999999999</v>
      </c>
      <c r="H170" s="20">
        <f t="shared" si="8"/>
        <v>6.196707278759591E-3</v>
      </c>
      <c r="I170" s="20">
        <f t="shared" si="9"/>
        <v>1.7649387457774546E-2</v>
      </c>
      <c r="J170" s="20">
        <f t="shared" si="10"/>
        <v>7.9070591703784918E-3</v>
      </c>
      <c r="K170" s="20">
        <f t="shared" si="11"/>
        <v>-6.461500235832726E-3</v>
      </c>
      <c r="L170" s="20">
        <f t="shared" si="12"/>
        <v>1.8236377557056083E-2</v>
      </c>
      <c r="M170" s="20">
        <v>1.3394113691471478E-2</v>
      </c>
      <c r="N170" s="20">
        <v>2.0726745500399828E-3</v>
      </c>
      <c r="O170" s="20">
        <v>0.15474518118804162</v>
      </c>
      <c r="P170" s="20">
        <v>0.61</v>
      </c>
      <c r="Q170" s="20">
        <v>0.33</v>
      </c>
      <c r="R170" s="20">
        <v>6.0000000000000053E-2</v>
      </c>
      <c r="S170" s="20"/>
      <c r="T170" s="20"/>
      <c r="U170" s="25">
        <f t="shared" si="13"/>
        <v>1</v>
      </c>
    </row>
    <row r="171" spans="2:21" x14ac:dyDescent="0.2">
      <c r="B171" s="19">
        <v>37802</v>
      </c>
      <c r="C171" s="10">
        <v>13027</v>
      </c>
      <c r="D171" s="10">
        <v>3228.81</v>
      </c>
      <c r="E171" s="10">
        <v>9594.94</v>
      </c>
      <c r="F171" s="10">
        <v>4067.8</v>
      </c>
      <c r="G171" s="10">
        <v>1212.51</v>
      </c>
      <c r="H171" s="20">
        <f t="shared" si="8"/>
        <v>-6.5037147261015173E-3</v>
      </c>
      <c r="I171" s="20">
        <f t="shared" si="9"/>
        <v>-7.1165671885487225E-3</v>
      </c>
      <c r="J171" s="20">
        <f t="shared" si="10"/>
        <v>-3.3212320741392186E-3</v>
      </c>
      <c r="K171" s="20">
        <f t="shared" si="11"/>
        <v>6.4369172251501922E-3</v>
      </c>
      <c r="L171" s="20">
        <f t="shared" si="12"/>
        <v>-3.5811791937868619E-3</v>
      </c>
      <c r="M171" s="20">
        <v>9.5662104058997343E-3</v>
      </c>
      <c r="N171" s="20">
        <v>8.7930750739039388E-4</v>
      </c>
      <c r="O171" s="20">
        <v>9.1918060556989395E-2</v>
      </c>
      <c r="P171" s="20"/>
      <c r="Q171" s="20"/>
      <c r="R171" s="20">
        <v>0.56999999999999995</v>
      </c>
      <c r="S171" s="20">
        <v>0.42999999999999994</v>
      </c>
      <c r="T171" s="20"/>
      <c r="U171" s="25">
        <f t="shared" si="13"/>
        <v>0.99999999999999989</v>
      </c>
    </row>
    <row r="172" spans="2:21" x14ac:dyDescent="0.2">
      <c r="B172" s="19">
        <v>37803</v>
      </c>
      <c r="C172" s="10">
        <v>12967</v>
      </c>
      <c r="D172" s="10">
        <v>3217.21</v>
      </c>
      <c r="E172" s="10">
        <v>9594.94</v>
      </c>
      <c r="F172" s="10">
        <v>4031.2</v>
      </c>
      <c r="G172" s="10">
        <v>1195.3</v>
      </c>
      <c r="H172" s="20">
        <f t="shared" si="8"/>
        <v>-4.6164581486797928E-3</v>
      </c>
      <c r="I172" s="20">
        <f t="shared" si="9"/>
        <v>-3.5991239623522379E-3</v>
      </c>
      <c r="J172" s="20">
        <f t="shared" si="10"/>
        <v>0</v>
      </c>
      <c r="K172" s="20">
        <f t="shared" si="11"/>
        <v>-9.0382143850068E-3</v>
      </c>
      <c r="L172" s="20">
        <f t="shared" si="12"/>
        <v>-1.4295391316373586E-2</v>
      </c>
      <c r="M172" s="20">
        <v>1.2958399052594405E-2</v>
      </c>
      <c r="N172" s="20">
        <v>2.1375289758445888E-3</v>
      </c>
      <c r="O172" s="20">
        <v>0.16495316799312748</v>
      </c>
      <c r="P172" s="20">
        <v>0.57000000000000006</v>
      </c>
      <c r="Q172" s="20"/>
      <c r="R172" s="20"/>
      <c r="S172" s="20"/>
      <c r="T172" s="20">
        <v>0.43</v>
      </c>
      <c r="U172" s="25">
        <f t="shared" si="13"/>
        <v>1</v>
      </c>
    </row>
    <row r="173" spans="2:21" x14ac:dyDescent="0.2">
      <c r="B173" s="19">
        <v>37804</v>
      </c>
      <c r="C173" s="10">
        <v>13292</v>
      </c>
      <c r="D173" s="10">
        <v>3148.1</v>
      </c>
      <c r="E173" s="10">
        <v>9613.57</v>
      </c>
      <c r="F173" s="10">
        <v>3963.9</v>
      </c>
      <c r="G173" s="10">
        <v>1223.19</v>
      </c>
      <c r="H173" s="20">
        <f t="shared" ref="H173:H236" si="14">LN(C173/C172)</f>
        <v>2.475468192560059E-2</v>
      </c>
      <c r="I173" s="20">
        <f t="shared" ref="I173:I236" si="15">LN(D173/D172)</f>
        <v>-2.1715428084487627E-2</v>
      </c>
      <c r="J173" s="20">
        <f t="shared" ref="J173:J236" si="16">LN(E173/E172)</f>
        <v>1.9397658476975163E-3</v>
      </c>
      <c r="K173" s="20">
        <f t="shared" ref="K173:K236" si="17">LN(F173/F172)</f>
        <v>-1.6835709278107406E-2</v>
      </c>
      <c r="L173" s="20">
        <f t="shared" ref="L173:L236" si="18">LN(G173/G172)</f>
        <v>2.3065000419540196E-2</v>
      </c>
      <c r="M173" s="20">
        <v>1.3651596080295916E-2</v>
      </c>
      <c r="N173" s="20">
        <v>1.7408562209210564E-3</v>
      </c>
      <c r="O173" s="20">
        <v>0.1275203434588669</v>
      </c>
      <c r="P173" s="20">
        <v>0.22</v>
      </c>
      <c r="Q173" s="20">
        <v>9.9999999999999867E-2</v>
      </c>
      <c r="R173" s="20"/>
      <c r="S173" s="20"/>
      <c r="T173" s="20">
        <v>0.68</v>
      </c>
      <c r="U173" s="25">
        <f t="shared" ref="U173:U236" si="19">SUM(P173:T173)</f>
        <v>0.99999999999999989</v>
      </c>
    </row>
    <row r="174" spans="2:21" x14ac:dyDescent="0.2">
      <c r="B174" s="19">
        <v>37805</v>
      </c>
      <c r="C174" s="10">
        <v>13308</v>
      </c>
      <c r="D174" s="10">
        <v>3237.05</v>
      </c>
      <c r="E174" s="10">
        <v>9689.14</v>
      </c>
      <c r="F174" s="10">
        <v>4006.9</v>
      </c>
      <c r="G174" s="10">
        <v>1233.4000000000001</v>
      </c>
      <c r="H174" s="20">
        <f t="shared" si="14"/>
        <v>1.203007663882435E-3</v>
      </c>
      <c r="I174" s="20">
        <f t="shared" si="15"/>
        <v>2.7863324974417368E-2</v>
      </c>
      <c r="J174" s="20">
        <f t="shared" si="16"/>
        <v>7.8300286431519771E-3</v>
      </c>
      <c r="K174" s="20">
        <f t="shared" si="17"/>
        <v>1.0789485910020659E-2</v>
      </c>
      <c r="L174" s="20">
        <f t="shared" si="18"/>
        <v>8.3123832539170796E-3</v>
      </c>
      <c r="M174" s="20">
        <v>1.1401739475669198E-2</v>
      </c>
      <c r="N174" s="20">
        <v>5.9501667438639999E-4</v>
      </c>
      <c r="O174" s="20">
        <v>5.2186482216695008E-2</v>
      </c>
      <c r="P174" s="20"/>
      <c r="Q174" s="20"/>
      <c r="R174" s="20"/>
      <c r="S174" s="20">
        <v>0.93</v>
      </c>
      <c r="T174" s="20">
        <v>6.9999999999999951E-2</v>
      </c>
      <c r="U174" s="25">
        <f t="shared" si="19"/>
        <v>1</v>
      </c>
    </row>
    <row r="175" spans="2:21" x14ac:dyDescent="0.2">
      <c r="B175" s="19">
        <v>37806</v>
      </c>
      <c r="C175" s="10">
        <v>13135</v>
      </c>
      <c r="D175" s="10">
        <v>3237.8</v>
      </c>
      <c r="E175" s="10">
        <v>9628.39</v>
      </c>
      <c r="F175" s="10">
        <v>4024.8</v>
      </c>
      <c r="G175" s="10">
        <v>1233.4000000000001</v>
      </c>
      <c r="H175" s="20">
        <f t="shared" si="14"/>
        <v>-1.3084935018727158E-2</v>
      </c>
      <c r="I175" s="20">
        <f t="shared" si="15"/>
        <v>2.3166559946685833E-4</v>
      </c>
      <c r="J175" s="20">
        <f t="shared" si="16"/>
        <v>-6.2896447186051611E-3</v>
      </c>
      <c r="K175" s="20">
        <f t="shared" si="17"/>
        <v>4.4573451788073107E-3</v>
      </c>
      <c r="L175" s="20">
        <f t="shared" si="18"/>
        <v>0</v>
      </c>
      <c r="M175" s="20">
        <v>1.1886501898264552E-2</v>
      </c>
      <c r="N175" s="20">
        <v>1.1889866891932927E-3</v>
      </c>
      <c r="O175" s="20">
        <v>0.10002830936887214</v>
      </c>
      <c r="P175" s="20"/>
      <c r="Q175" s="20">
        <v>0.32</v>
      </c>
      <c r="R175" s="20">
        <v>0.67999999999999994</v>
      </c>
      <c r="S175" s="20"/>
      <c r="T175" s="20"/>
      <c r="U175" s="25">
        <f t="shared" si="19"/>
        <v>1</v>
      </c>
    </row>
    <row r="176" spans="2:21" x14ac:dyDescent="0.2">
      <c r="B176" s="19">
        <v>37809</v>
      </c>
      <c r="C176" s="10">
        <v>13274</v>
      </c>
      <c r="D176" s="10">
        <v>3244.94</v>
      </c>
      <c r="E176" s="10">
        <v>9683.81</v>
      </c>
      <c r="F176" s="10">
        <v>4021.5</v>
      </c>
      <c r="G176" s="10">
        <v>1250.03</v>
      </c>
      <c r="H176" s="20">
        <f t="shared" si="14"/>
        <v>1.0526811586230098E-2</v>
      </c>
      <c r="I176" s="20">
        <f t="shared" si="15"/>
        <v>2.2027731752513658E-3</v>
      </c>
      <c r="J176" s="20">
        <f t="shared" si="16"/>
        <v>5.7393929361474142E-3</v>
      </c>
      <c r="K176" s="20">
        <f t="shared" si="17"/>
        <v>-8.2025283298511951E-4</v>
      </c>
      <c r="L176" s="20">
        <f t="shared" si="18"/>
        <v>1.3392967450958929E-2</v>
      </c>
      <c r="M176" s="20">
        <v>1.0199118291272596E-2</v>
      </c>
      <c r="N176" s="20">
        <v>1.0411889973857235E-3</v>
      </c>
      <c r="O176" s="20">
        <v>0.10208617722148304</v>
      </c>
      <c r="P176" s="20"/>
      <c r="Q176" s="20"/>
      <c r="R176" s="20">
        <v>0.83</v>
      </c>
      <c r="S176" s="20">
        <v>0.17000000000000004</v>
      </c>
      <c r="T176" s="20"/>
      <c r="U176" s="25">
        <f t="shared" si="19"/>
        <v>1</v>
      </c>
    </row>
    <row r="177" spans="2:21" x14ac:dyDescent="0.2">
      <c r="B177" s="19">
        <v>37810</v>
      </c>
      <c r="C177" s="10">
        <v>13401</v>
      </c>
      <c r="D177" s="10">
        <v>3335</v>
      </c>
      <c r="E177" s="10">
        <v>10010.459999999999</v>
      </c>
      <c r="F177" s="10">
        <v>4074.8</v>
      </c>
      <c r="G177" s="10">
        <v>1275.79</v>
      </c>
      <c r="H177" s="20">
        <f t="shared" si="14"/>
        <v>9.5220963143580768E-3</v>
      </c>
      <c r="I177" s="20">
        <f t="shared" si="15"/>
        <v>2.7375819367067174E-2</v>
      </c>
      <c r="J177" s="20">
        <f t="shared" si="16"/>
        <v>3.3175127425629801E-2</v>
      </c>
      <c r="K177" s="20">
        <f t="shared" si="17"/>
        <v>1.3166698371787598E-2</v>
      </c>
      <c r="L177" s="20">
        <f t="shared" si="18"/>
        <v>2.0398043549627983E-2</v>
      </c>
      <c r="M177" s="20">
        <v>1.8528130402520309E-2</v>
      </c>
      <c r="N177" s="20">
        <v>1.2728908935837702E-3</v>
      </c>
      <c r="O177" s="20">
        <v>6.8700449852761386E-2</v>
      </c>
      <c r="P177" s="20">
        <v>0</v>
      </c>
      <c r="Q177" s="20">
        <v>0.96</v>
      </c>
      <c r="R177" s="20">
        <v>4.0000000000000147E-2</v>
      </c>
      <c r="S177" s="20"/>
      <c r="T177" s="20"/>
      <c r="U177" s="25">
        <f t="shared" si="19"/>
        <v>1</v>
      </c>
    </row>
    <row r="178" spans="2:21" x14ac:dyDescent="0.2">
      <c r="B178" s="19">
        <v>37811</v>
      </c>
      <c r="C178" s="10">
        <v>13401</v>
      </c>
      <c r="D178" s="10">
        <v>3343.13</v>
      </c>
      <c r="E178" s="10">
        <v>10028.23</v>
      </c>
      <c r="F178" s="10">
        <v>4073.6</v>
      </c>
      <c r="G178" s="10">
        <v>1294.58</v>
      </c>
      <c r="H178" s="20">
        <f t="shared" si="14"/>
        <v>0</v>
      </c>
      <c r="I178" s="20">
        <f t="shared" si="15"/>
        <v>2.4348145413275765E-3</v>
      </c>
      <c r="J178" s="20">
        <f t="shared" si="16"/>
        <v>1.7735694956141361E-3</v>
      </c>
      <c r="K178" s="20">
        <f t="shared" si="17"/>
        <v>-2.9453635282402144E-4</v>
      </c>
      <c r="L178" s="20">
        <f t="shared" si="18"/>
        <v>1.4620723646826596E-2</v>
      </c>
      <c r="M178" s="20">
        <v>1.0293227629356376E-2</v>
      </c>
      <c r="N178" s="20">
        <v>7.8665393900710797E-4</v>
      </c>
      <c r="O178" s="20">
        <v>7.6424418786150611E-2</v>
      </c>
      <c r="P178" s="20"/>
      <c r="Q178" s="20"/>
      <c r="R178" s="20"/>
      <c r="S178" s="20">
        <v>0.74</v>
      </c>
      <c r="T178" s="20">
        <v>0.26</v>
      </c>
      <c r="U178" s="25">
        <f t="shared" si="19"/>
        <v>1</v>
      </c>
    </row>
    <row r="179" spans="2:21" x14ac:dyDescent="0.2">
      <c r="B179" s="19">
        <v>37812</v>
      </c>
      <c r="C179" s="10">
        <v>13622</v>
      </c>
      <c r="D179" s="10">
        <v>3322.04</v>
      </c>
      <c r="E179" s="10">
        <v>10035.959999999999</v>
      </c>
      <c r="F179" s="10">
        <v>4054.7</v>
      </c>
      <c r="G179" s="10">
        <v>1280.44</v>
      </c>
      <c r="H179" s="20">
        <f t="shared" si="14"/>
        <v>1.6356801781035237E-2</v>
      </c>
      <c r="I179" s="20">
        <f t="shared" si="15"/>
        <v>-6.3284418511097345E-3</v>
      </c>
      <c r="J179" s="20">
        <f t="shared" si="16"/>
        <v>7.7052703173648726E-4</v>
      </c>
      <c r="K179" s="20">
        <f t="shared" si="17"/>
        <v>-4.6504272877931178E-3</v>
      </c>
      <c r="L179" s="20">
        <f t="shared" si="18"/>
        <v>-1.0982549359638012E-2</v>
      </c>
      <c r="M179" s="20">
        <v>1.6728668547775244E-2</v>
      </c>
      <c r="N179" s="20">
        <v>1.2545368488733532E-3</v>
      </c>
      <c r="O179" s="20">
        <v>7.4993227661277029E-2</v>
      </c>
      <c r="P179" s="20"/>
      <c r="Q179" s="20">
        <v>0.82</v>
      </c>
      <c r="R179" s="20">
        <v>0.18000000000000005</v>
      </c>
      <c r="S179" s="20"/>
      <c r="T179" s="20"/>
      <c r="U179" s="25">
        <f t="shared" si="19"/>
        <v>1</v>
      </c>
    </row>
    <row r="180" spans="2:21" x14ac:dyDescent="0.2">
      <c r="B180" s="19">
        <v>37813</v>
      </c>
      <c r="C180" s="10">
        <v>13498</v>
      </c>
      <c r="D180" s="10">
        <v>3264.58</v>
      </c>
      <c r="E180" s="10">
        <v>9883.52</v>
      </c>
      <c r="F180" s="10">
        <v>4028.8</v>
      </c>
      <c r="G180" s="10">
        <v>1273.94</v>
      </c>
      <c r="H180" s="20">
        <f t="shared" si="14"/>
        <v>-9.1446064979118242E-3</v>
      </c>
      <c r="I180" s="20">
        <f t="shared" si="15"/>
        <v>-1.7447934663590962E-2</v>
      </c>
      <c r="J180" s="20">
        <f t="shared" si="16"/>
        <v>-1.5305919232134547E-2</v>
      </c>
      <c r="K180" s="20">
        <f t="shared" si="17"/>
        <v>-6.4081372252661854E-3</v>
      </c>
      <c r="L180" s="20">
        <f t="shared" si="18"/>
        <v>-5.089308583480754E-3</v>
      </c>
      <c r="M180" s="20">
        <v>1.3127394136794177E-2</v>
      </c>
      <c r="N180" s="20">
        <v>1.9608860045187419E-3</v>
      </c>
      <c r="O180" s="20">
        <v>0.149373591139666</v>
      </c>
      <c r="P180" s="20">
        <v>0.53</v>
      </c>
      <c r="Q180" s="20">
        <v>0.36</v>
      </c>
      <c r="R180" s="20">
        <v>0.10999999999999999</v>
      </c>
      <c r="S180" s="20"/>
      <c r="T180" s="20"/>
      <c r="U180" s="25">
        <f t="shared" si="19"/>
        <v>1</v>
      </c>
    </row>
    <row r="181" spans="2:21" x14ac:dyDescent="0.2">
      <c r="B181" s="19">
        <v>37816</v>
      </c>
      <c r="C181" s="10">
        <v>13322</v>
      </c>
      <c r="D181" s="10">
        <v>3335.12</v>
      </c>
      <c r="E181" s="10">
        <v>9990.89</v>
      </c>
      <c r="F181" s="10">
        <v>4058.1</v>
      </c>
      <c r="G181" s="10">
        <v>1301.19</v>
      </c>
      <c r="H181" s="20">
        <f t="shared" si="14"/>
        <v>-1.3124722330227113E-2</v>
      </c>
      <c r="I181" s="20">
        <f t="shared" si="15"/>
        <v>2.1377543335031727E-2</v>
      </c>
      <c r="J181" s="20">
        <f t="shared" si="16"/>
        <v>1.0804954168909454E-2</v>
      </c>
      <c r="K181" s="20">
        <f t="shared" si="17"/>
        <v>7.246318913229851E-3</v>
      </c>
      <c r="L181" s="20">
        <f t="shared" si="18"/>
        <v>2.1164770094329044E-2</v>
      </c>
      <c r="M181" s="20">
        <v>1.0267488646913093E-2</v>
      </c>
      <c r="N181" s="20">
        <v>7.9674011082925028E-4</v>
      </c>
      <c r="O181" s="20">
        <v>7.7598343492572469E-2</v>
      </c>
      <c r="P181" s="20"/>
      <c r="Q181" s="20"/>
      <c r="R181" s="20"/>
      <c r="S181" s="20">
        <v>0.73</v>
      </c>
      <c r="T181" s="20">
        <v>0.26999999999999991</v>
      </c>
      <c r="U181" s="25">
        <f t="shared" si="19"/>
        <v>0.99999999999999989</v>
      </c>
    </row>
    <row r="182" spans="2:21" x14ac:dyDescent="0.2">
      <c r="B182" s="19">
        <v>37817</v>
      </c>
      <c r="C182" s="10">
        <v>13593</v>
      </c>
      <c r="D182" s="10">
        <v>3391.84</v>
      </c>
      <c r="E182" s="10">
        <v>10163.27</v>
      </c>
      <c r="F182" s="10">
        <v>4127.6000000000004</v>
      </c>
      <c r="G182" s="10">
        <v>1309.69</v>
      </c>
      <c r="H182" s="20">
        <f t="shared" si="14"/>
        <v>2.0138150362123158E-2</v>
      </c>
      <c r="I182" s="20">
        <f t="shared" si="15"/>
        <v>1.6863886276559888E-2</v>
      </c>
      <c r="J182" s="20">
        <f t="shared" si="16"/>
        <v>1.710656297995539E-2</v>
      </c>
      <c r="K182" s="20">
        <f t="shared" si="17"/>
        <v>1.698124047830156E-2</v>
      </c>
      <c r="L182" s="20">
        <f t="shared" si="18"/>
        <v>6.5112376138553385E-3</v>
      </c>
      <c r="M182" s="20">
        <v>1.3842888435093081E-2</v>
      </c>
      <c r="N182" s="20">
        <v>2.1857740987548243E-3</v>
      </c>
      <c r="O182" s="20">
        <v>0.15789870076635684</v>
      </c>
      <c r="P182" s="20">
        <v>0.69</v>
      </c>
      <c r="Q182" s="20">
        <v>0.31000000000000005</v>
      </c>
      <c r="R182" s="20"/>
      <c r="S182" s="20"/>
      <c r="T182" s="20"/>
      <c r="U182" s="25">
        <f t="shared" si="19"/>
        <v>1</v>
      </c>
    </row>
    <row r="183" spans="2:21" x14ac:dyDescent="0.2">
      <c r="B183" s="19">
        <v>37818</v>
      </c>
      <c r="C183" s="10">
        <v>13613</v>
      </c>
      <c r="D183" s="10">
        <v>3385.18</v>
      </c>
      <c r="E183" s="10">
        <v>10116.01</v>
      </c>
      <c r="F183" s="10">
        <v>4102.5</v>
      </c>
      <c r="G183" s="10">
        <v>1305.76</v>
      </c>
      <c r="H183" s="20">
        <f t="shared" si="14"/>
        <v>1.470264177225167E-3</v>
      </c>
      <c r="I183" s="20">
        <f t="shared" si="15"/>
        <v>-1.9654662798684643E-3</v>
      </c>
      <c r="J183" s="20">
        <f t="shared" si="16"/>
        <v>-4.6609234210621278E-3</v>
      </c>
      <c r="K183" s="20">
        <f t="shared" si="17"/>
        <v>-6.0995802773134043E-3</v>
      </c>
      <c r="L183" s="20">
        <f t="shared" si="18"/>
        <v>-3.0052212489386242E-3</v>
      </c>
      <c r="M183" s="20">
        <v>1.5546131243015434E-2</v>
      </c>
      <c r="N183" s="20">
        <v>1.6977580213775128E-3</v>
      </c>
      <c r="O183" s="20">
        <v>0.10920775045819078</v>
      </c>
      <c r="P183" s="20">
        <v>0.32</v>
      </c>
      <c r="Q183" s="20">
        <v>0.67</v>
      </c>
      <c r="R183" s="20">
        <v>1.0000000000000009E-2</v>
      </c>
      <c r="S183" s="20"/>
      <c r="T183" s="20"/>
      <c r="U183" s="25">
        <f t="shared" si="19"/>
        <v>1</v>
      </c>
    </row>
    <row r="184" spans="2:21" x14ac:dyDescent="0.2">
      <c r="B184" s="19">
        <v>37819</v>
      </c>
      <c r="C184" s="10">
        <v>13487</v>
      </c>
      <c r="D184" s="10">
        <v>3384.86</v>
      </c>
      <c r="E184" s="10">
        <v>10136.709999999999</v>
      </c>
      <c r="F184" s="10">
        <v>4077.1</v>
      </c>
      <c r="G184" s="10">
        <v>1274.73</v>
      </c>
      <c r="H184" s="20">
        <f t="shared" si="14"/>
        <v>-9.2989599956155161E-3</v>
      </c>
      <c r="I184" s="20">
        <f t="shared" si="15"/>
        <v>-9.4534153487411406E-5</v>
      </c>
      <c r="J184" s="20">
        <f t="shared" si="16"/>
        <v>2.0441705813482609E-3</v>
      </c>
      <c r="K184" s="20">
        <f t="shared" si="17"/>
        <v>-6.2105926066977259E-3</v>
      </c>
      <c r="L184" s="20">
        <f t="shared" si="18"/>
        <v>-2.4050855259599865E-2</v>
      </c>
      <c r="M184" s="20">
        <v>1.3735477438161735E-2</v>
      </c>
      <c r="N184" s="20">
        <v>1.3913856160262324E-3</v>
      </c>
      <c r="O184" s="20">
        <v>0.10129867143609432</v>
      </c>
      <c r="P184" s="20">
        <v>0</v>
      </c>
      <c r="Q184" s="20">
        <v>0.15999999999999992</v>
      </c>
      <c r="R184" s="20"/>
      <c r="S184" s="20">
        <v>0.1</v>
      </c>
      <c r="T184" s="20">
        <v>0.74</v>
      </c>
      <c r="U184" s="25">
        <f t="shared" si="19"/>
        <v>0.99999999999999989</v>
      </c>
    </row>
    <row r="185" spans="2:21" x14ac:dyDescent="0.2">
      <c r="B185" s="19">
        <v>37820</v>
      </c>
      <c r="C185" s="10">
        <v>13622</v>
      </c>
      <c r="D185" s="10">
        <v>3328.91</v>
      </c>
      <c r="E185" s="10">
        <v>10022.469999999999</v>
      </c>
      <c r="F185" s="10">
        <v>4056.6</v>
      </c>
      <c r="G185" s="10">
        <v>1265</v>
      </c>
      <c r="H185" s="20">
        <f t="shared" si="14"/>
        <v>9.9598742844061242E-3</v>
      </c>
      <c r="I185" s="20">
        <f t="shared" si="15"/>
        <v>-1.6667623490707169E-2</v>
      </c>
      <c r="J185" s="20">
        <f t="shared" si="16"/>
        <v>-1.1333915656703655E-2</v>
      </c>
      <c r="K185" s="20">
        <f t="shared" si="17"/>
        <v>-5.0407670328610045E-3</v>
      </c>
      <c r="L185" s="20">
        <f t="shared" si="18"/>
        <v>-7.6622692997123081E-3</v>
      </c>
      <c r="M185" s="20">
        <v>1.3674008432626252E-2</v>
      </c>
      <c r="N185" s="20">
        <v>1.8830033665818793E-3</v>
      </c>
      <c r="O185" s="20">
        <v>0.13770675774113345</v>
      </c>
      <c r="P185" s="20">
        <v>0.32999999999999985</v>
      </c>
      <c r="Q185" s="20"/>
      <c r="R185" s="20"/>
      <c r="S185" s="20"/>
      <c r="T185" s="20">
        <v>0.67</v>
      </c>
      <c r="U185" s="25">
        <f t="shared" si="19"/>
        <v>0.99999999999999989</v>
      </c>
    </row>
    <row r="186" spans="2:21" x14ac:dyDescent="0.2">
      <c r="B186" s="19">
        <v>37823</v>
      </c>
      <c r="C186" s="10">
        <v>13794</v>
      </c>
      <c r="D186" s="10">
        <v>3370.07</v>
      </c>
      <c r="E186" s="10">
        <v>10189.15</v>
      </c>
      <c r="F186" s="10">
        <v>4073.2</v>
      </c>
      <c r="G186" s="10">
        <v>1256.1199999999999</v>
      </c>
      <c r="H186" s="20">
        <f t="shared" si="14"/>
        <v>1.2547582189972907E-2</v>
      </c>
      <c r="I186" s="20">
        <f t="shared" si="15"/>
        <v>1.228859258015641E-2</v>
      </c>
      <c r="J186" s="20">
        <f t="shared" si="16"/>
        <v>1.6493856377652022E-2</v>
      </c>
      <c r="K186" s="20">
        <f t="shared" si="17"/>
        <v>4.0837469728230878E-3</v>
      </c>
      <c r="L186" s="20">
        <f t="shared" si="18"/>
        <v>-7.0445172959918614E-3</v>
      </c>
      <c r="M186" s="20">
        <v>1.276851494835083E-2</v>
      </c>
      <c r="N186" s="20">
        <v>1.5141551851153997E-3</v>
      </c>
      <c r="O186" s="20">
        <v>0.11858506578409625</v>
      </c>
      <c r="P186" s="20">
        <v>0.11</v>
      </c>
      <c r="Q186" s="20">
        <v>0.35</v>
      </c>
      <c r="R186" s="20">
        <v>0.12</v>
      </c>
      <c r="S186" s="20"/>
      <c r="T186" s="20">
        <v>0.42</v>
      </c>
      <c r="U186" s="25">
        <f t="shared" si="19"/>
        <v>1</v>
      </c>
    </row>
    <row r="187" spans="2:21" x14ac:dyDescent="0.2">
      <c r="B187" s="19">
        <v>37824</v>
      </c>
      <c r="C187" s="10">
        <v>13676</v>
      </c>
      <c r="D187" s="10">
        <v>3295.34</v>
      </c>
      <c r="E187" s="10">
        <v>10059.25</v>
      </c>
      <c r="F187" s="10">
        <v>4044.3</v>
      </c>
      <c r="G187" s="10">
        <v>1252.99</v>
      </c>
      <c r="H187" s="20">
        <f t="shared" si="14"/>
        <v>-8.5912432320446944E-3</v>
      </c>
      <c r="I187" s="20">
        <f t="shared" si="15"/>
        <v>-2.2424166384369844E-2</v>
      </c>
      <c r="J187" s="20">
        <f t="shared" si="16"/>
        <v>-1.2830819434036612E-2</v>
      </c>
      <c r="K187" s="20">
        <f t="shared" si="17"/>
        <v>-7.1204489323821512E-3</v>
      </c>
      <c r="L187" s="20">
        <f t="shared" si="18"/>
        <v>-2.4949098473773081E-3</v>
      </c>
      <c r="M187" s="20">
        <v>1.3208872072036058E-2</v>
      </c>
      <c r="N187" s="20">
        <v>1.7810450675868875E-3</v>
      </c>
      <c r="O187" s="20">
        <v>0.13483702907210848</v>
      </c>
      <c r="P187" s="20">
        <v>0.33</v>
      </c>
      <c r="Q187" s="20">
        <v>0.3999999999999998</v>
      </c>
      <c r="R187" s="20"/>
      <c r="S187" s="20"/>
      <c r="T187" s="20">
        <v>0.27</v>
      </c>
      <c r="U187" s="25">
        <f t="shared" si="19"/>
        <v>0.99999999999999978</v>
      </c>
    </row>
    <row r="188" spans="2:21" x14ac:dyDescent="0.2">
      <c r="B188" s="19">
        <v>37825</v>
      </c>
      <c r="C188" s="10">
        <v>13852</v>
      </c>
      <c r="D188" s="10">
        <v>3323.7</v>
      </c>
      <c r="E188" s="10">
        <v>10018.07</v>
      </c>
      <c r="F188" s="10">
        <v>4079.7</v>
      </c>
      <c r="G188" s="10">
        <v>1262.5899999999999</v>
      </c>
      <c r="H188" s="20">
        <f t="shared" si="14"/>
        <v>1.2787154763120749E-2</v>
      </c>
      <c r="I188" s="20">
        <f t="shared" si="15"/>
        <v>8.5692709350711303E-3</v>
      </c>
      <c r="J188" s="20">
        <f t="shared" si="16"/>
        <v>-4.1021468748547504E-3</v>
      </c>
      <c r="K188" s="20">
        <f t="shared" si="17"/>
        <v>8.7149739178948599E-3</v>
      </c>
      <c r="L188" s="20">
        <f t="shared" si="18"/>
        <v>7.6324717191695712E-3</v>
      </c>
      <c r="M188" s="20">
        <v>1.390452838941523E-2</v>
      </c>
      <c r="N188" s="20">
        <v>1.3615657328692316E-3</v>
      </c>
      <c r="O188" s="20">
        <v>9.7922467755592352E-2</v>
      </c>
      <c r="P188" s="20"/>
      <c r="Q188" s="20"/>
      <c r="R188" s="20"/>
      <c r="S188" s="20">
        <v>0.17</v>
      </c>
      <c r="T188" s="20">
        <v>0.83</v>
      </c>
      <c r="U188" s="25">
        <f t="shared" si="19"/>
        <v>1</v>
      </c>
    </row>
    <row r="189" spans="2:21" x14ac:dyDescent="0.2">
      <c r="B189" s="19">
        <v>37826</v>
      </c>
      <c r="C189" s="10">
        <v>13799</v>
      </c>
      <c r="D189" s="10">
        <v>3305.81</v>
      </c>
      <c r="E189" s="10">
        <v>9900.56</v>
      </c>
      <c r="F189" s="10">
        <v>4086.5</v>
      </c>
      <c r="G189" s="10">
        <v>1282.1300000000001</v>
      </c>
      <c r="H189" s="20">
        <f t="shared" si="14"/>
        <v>-3.8335007707581497E-3</v>
      </c>
      <c r="I189" s="20">
        <f t="shared" si="15"/>
        <v>-5.397093729671603E-3</v>
      </c>
      <c r="J189" s="20">
        <f t="shared" si="16"/>
        <v>-1.1799141136318931E-2</v>
      </c>
      <c r="K189" s="20">
        <f t="shared" si="17"/>
        <v>1.6654016731615297E-3</v>
      </c>
      <c r="L189" s="20">
        <f t="shared" si="18"/>
        <v>1.5357590658312919E-2</v>
      </c>
      <c r="M189" s="20">
        <v>1.3984850690816109E-2</v>
      </c>
      <c r="N189" s="20">
        <v>2.3962411578612943E-3</v>
      </c>
      <c r="O189" s="20">
        <v>0.17134549455253836</v>
      </c>
      <c r="P189" s="20">
        <v>0.85</v>
      </c>
      <c r="Q189" s="20">
        <v>0.15000000000000002</v>
      </c>
      <c r="R189" s="20"/>
      <c r="S189" s="20"/>
      <c r="T189" s="20"/>
      <c r="U189" s="25">
        <f t="shared" si="19"/>
        <v>1</v>
      </c>
    </row>
    <row r="190" spans="2:21" x14ac:dyDescent="0.2">
      <c r="B190" s="19">
        <v>37827</v>
      </c>
      <c r="C190" s="10">
        <v>13761</v>
      </c>
      <c r="D190" s="10">
        <v>3367.71</v>
      </c>
      <c r="E190" s="10">
        <v>9885.4599999999991</v>
      </c>
      <c r="F190" s="10">
        <v>4149.6000000000004</v>
      </c>
      <c r="G190" s="10">
        <v>1252.6199999999999</v>
      </c>
      <c r="H190" s="20">
        <f t="shared" si="14"/>
        <v>-2.7576214862727179E-3</v>
      </c>
      <c r="I190" s="20">
        <f t="shared" si="15"/>
        <v>1.8551461676881546E-2</v>
      </c>
      <c r="J190" s="20">
        <f t="shared" si="16"/>
        <v>-1.5263305032058288E-3</v>
      </c>
      <c r="K190" s="20">
        <f t="shared" si="17"/>
        <v>1.5323086081006191E-2</v>
      </c>
      <c r="L190" s="20">
        <f t="shared" si="18"/>
        <v>-2.3285399642810591E-2</v>
      </c>
      <c r="M190" s="20">
        <v>1.2140287810705053E-2</v>
      </c>
      <c r="N190" s="20">
        <v>1.5979493576711596E-3</v>
      </c>
      <c r="O190" s="20">
        <v>0.13162367998080912</v>
      </c>
      <c r="P190" s="20">
        <v>0.2</v>
      </c>
      <c r="Q190" s="20">
        <v>0.32</v>
      </c>
      <c r="R190" s="20">
        <v>0.16999999999999993</v>
      </c>
      <c r="S190" s="20"/>
      <c r="T190" s="20">
        <v>0.31</v>
      </c>
      <c r="U190" s="25">
        <f t="shared" si="19"/>
        <v>1</v>
      </c>
    </row>
    <row r="191" spans="2:21" x14ac:dyDescent="0.2">
      <c r="B191" s="19">
        <v>37830</v>
      </c>
      <c r="C191" s="10">
        <v>13752</v>
      </c>
      <c r="D191" s="10">
        <v>3360.67</v>
      </c>
      <c r="E191" s="10">
        <v>10031.24</v>
      </c>
      <c r="F191" s="10">
        <v>4131.2</v>
      </c>
      <c r="G191" s="10">
        <v>1281.5</v>
      </c>
      <c r="H191" s="20">
        <f t="shared" si="14"/>
        <v>-6.5423620259648602E-4</v>
      </c>
      <c r="I191" s="20">
        <f t="shared" si="15"/>
        <v>-2.0926293012791366E-3</v>
      </c>
      <c r="J191" s="20">
        <f t="shared" si="16"/>
        <v>1.4639232750929711E-2</v>
      </c>
      <c r="K191" s="20">
        <f t="shared" si="17"/>
        <v>-4.4440223848671639E-3</v>
      </c>
      <c r="L191" s="20">
        <f t="shared" si="18"/>
        <v>2.2793909051202436E-2</v>
      </c>
      <c r="M191" s="20">
        <v>1.1494906420135261E-2</v>
      </c>
      <c r="N191" s="20">
        <v>1.2336696981069856E-3</v>
      </c>
      <c r="O191" s="20">
        <v>0.10732316149577396</v>
      </c>
      <c r="P191" s="20">
        <v>0.22</v>
      </c>
      <c r="Q191" s="20">
        <v>0.22999999999999998</v>
      </c>
      <c r="R191" s="20"/>
      <c r="S191" s="20">
        <v>0.47</v>
      </c>
      <c r="T191" s="20">
        <v>0.08</v>
      </c>
      <c r="U191" s="25">
        <f t="shared" si="19"/>
        <v>0.99999999999999989</v>
      </c>
    </row>
    <row r="192" spans="2:21" x14ac:dyDescent="0.2">
      <c r="B192" s="19">
        <v>37831</v>
      </c>
      <c r="C192" s="10">
        <v>13652</v>
      </c>
      <c r="D192" s="10">
        <v>3417.51</v>
      </c>
      <c r="E192" s="10">
        <v>10133.719999999999</v>
      </c>
      <c r="F192" s="10">
        <v>4148.8</v>
      </c>
      <c r="G192" s="10">
        <v>1284.24</v>
      </c>
      <c r="H192" s="20">
        <f t="shared" si="14"/>
        <v>-7.298237036087566E-3</v>
      </c>
      <c r="I192" s="20">
        <f t="shared" si="15"/>
        <v>1.677185686873741E-2</v>
      </c>
      <c r="J192" s="20">
        <f t="shared" si="16"/>
        <v>1.0164253465752036E-2</v>
      </c>
      <c r="K192" s="20">
        <f t="shared" si="17"/>
        <v>4.2512141320767251E-3</v>
      </c>
      <c r="L192" s="20">
        <f t="shared" si="18"/>
        <v>2.1358368670331435E-3</v>
      </c>
      <c r="M192" s="20">
        <v>1.29642486731527E-2</v>
      </c>
      <c r="N192" s="20">
        <v>2.1269237421253093E-3</v>
      </c>
      <c r="O192" s="20">
        <v>0.16406070230123679</v>
      </c>
      <c r="P192" s="20">
        <v>0.56000000000000005</v>
      </c>
      <c r="Q192" s="20"/>
      <c r="R192" s="20"/>
      <c r="S192" s="20"/>
      <c r="T192" s="20">
        <v>0.44</v>
      </c>
      <c r="U192" s="25">
        <f t="shared" si="19"/>
        <v>1</v>
      </c>
    </row>
    <row r="193" spans="2:21" x14ac:dyDescent="0.2">
      <c r="B193" s="19">
        <v>37832</v>
      </c>
      <c r="C193" s="10">
        <v>13623</v>
      </c>
      <c r="D193" s="10">
        <v>3418.49</v>
      </c>
      <c r="E193" s="10">
        <v>10180.870000000001</v>
      </c>
      <c r="F193" s="10">
        <v>4137</v>
      </c>
      <c r="G193" s="10">
        <v>1276.58</v>
      </c>
      <c r="H193" s="20">
        <f t="shared" si="14"/>
        <v>-2.1264902605368191E-3</v>
      </c>
      <c r="I193" s="20">
        <f t="shared" si="15"/>
        <v>2.8671738054792322E-4</v>
      </c>
      <c r="J193" s="20">
        <f t="shared" si="16"/>
        <v>4.6419922495127969E-3</v>
      </c>
      <c r="K193" s="20">
        <f t="shared" si="17"/>
        <v>-2.8482483229884431E-3</v>
      </c>
      <c r="L193" s="20">
        <f t="shared" si="18"/>
        <v>-5.9824765863692635E-3</v>
      </c>
      <c r="M193" s="20">
        <v>9.9214497056462035E-3</v>
      </c>
      <c r="N193" s="20">
        <v>1.6083799427709083E-3</v>
      </c>
      <c r="O193" s="20">
        <v>0.1621113839699852</v>
      </c>
      <c r="P193" s="20">
        <v>0.29999999999999993</v>
      </c>
      <c r="Q193" s="20"/>
      <c r="R193" s="20">
        <v>0.42</v>
      </c>
      <c r="S193" s="20">
        <v>0.08</v>
      </c>
      <c r="T193" s="20">
        <v>0.2</v>
      </c>
      <c r="U193" s="25">
        <f t="shared" si="19"/>
        <v>1</v>
      </c>
    </row>
    <row r="194" spans="2:21" x14ac:dyDescent="0.2">
      <c r="B194" s="19">
        <v>37833</v>
      </c>
      <c r="C194" s="10">
        <v>13475</v>
      </c>
      <c r="D194" s="10">
        <v>3432.75</v>
      </c>
      <c r="E194" s="10">
        <v>10103.16</v>
      </c>
      <c r="F194" s="10">
        <v>4141.2</v>
      </c>
      <c r="G194" s="10">
        <v>1278.29</v>
      </c>
      <c r="H194" s="20">
        <f t="shared" si="14"/>
        <v>-1.092342398886292E-2</v>
      </c>
      <c r="I194" s="20">
        <f t="shared" si="15"/>
        <v>4.1627561119080246E-3</v>
      </c>
      <c r="J194" s="20">
        <f t="shared" si="16"/>
        <v>-7.662222959994261E-3</v>
      </c>
      <c r="K194" s="20">
        <f t="shared" si="17"/>
        <v>1.0147134305463833E-3</v>
      </c>
      <c r="L194" s="20">
        <f t="shared" si="18"/>
        <v>1.3386201688119477E-3</v>
      </c>
      <c r="M194" s="20">
        <v>9.6760606689901101E-3</v>
      </c>
      <c r="N194" s="20">
        <v>1.1220706253903319E-3</v>
      </c>
      <c r="O194" s="20">
        <v>0.11596357895794822</v>
      </c>
      <c r="P194" s="20">
        <v>0.05</v>
      </c>
      <c r="Q194" s="20">
        <v>0.02</v>
      </c>
      <c r="R194" s="20">
        <v>0.73</v>
      </c>
      <c r="S194" s="20">
        <v>0.13</v>
      </c>
      <c r="T194" s="20">
        <v>0.04</v>
      </c>
      <c r="U194" s="25">
        <f t="shared" si="19"/>
        <v>0.97000000000000008</v>
      </c>
    </row>
    <row r="195" spans="2:21" x14ac:dyDescent="0.2">
      <c r="B195" s="19">
        <v>37834</v>
      </c>
      <c r="C195" s="10">
        <v>13579</v>
      </c>
      <c r="D195" s="10">
        <v>3481.81</v>
      </c>
      <c r="E195" s="10">
        <v>10184.43</v>
      </c>
      <c r="F195" s="10">
        <v>4157</v>
      </c>
      <c r="G195" s="10">
        <v>1274.6099999999999</v>
      </c>
      <c r="H195" s="20">
        <f t="shared" si="14"/>
        <v>7.6883649215968844E-3</v>
      </c>
      <c r="I195" s="20">
        <f t="shared" si="15"/>
        <v>1.4190584296292937E-2</v>
      </c>
      <c r="J195" s="20">
        <f t="shared" si="16"/>
        <v>8.0118372584589113E-3</v>
      </c>
      <c r="K195" s="20">
        <f t="shared" si="17"/>
        <v>3.8080593606794272E-3</v>
      </c>
      <c r="L195" s="20">
        <f t="shared" si="18"/>
        <v>-2.8829978055653223E-3</v>
      </c>
      <c r="M195" s="20">
        <v>1.3876782910384536E-2</v>
      </c>
      <c r="N195" s="20">
        <v>2.4768964548615336E-3</v>
      </c>
      <c r="O195" s="20">
        <v>0.17849212392073785</v>
      </c>
      <c r="P195" s="20">
        <v>0.8899999999999999</v>
      </c>
      <c r="Q195" s="20"/>
      <c r="R195" s="20"/>
      <c r="S195" s="20"/>
      <c r="T195" s="20">
        <v>0.11</v>
      </c>
      <c r="U195" s="25">
        <f t="shared" si="19"/>
        <v>0.99999999999999989</v>
      </c>
    </row>
    <row r="196" spans="2:21" x14ac:dyDescent="0.2">
      <c r="B196" s="19">
        <v>37837</v>
      </c>
      <c r="C196" s="10">
        <v>13128</v>
      </c>
      <c r="D196" s="10">
        <v>3433.72</v>
      </c>
      <c r="E196" s="10">
        <v>10208.129999999999</v>
      </c>
      <c r="F196" s="10">
        <v>4098.3999999999996</v>
      </c>
      <c r="G196" s="10">
        <v>1263.6199999999999</v>
      </c>
      <c r="H196" s="20">
        <f t="shared" si="14"/>
        <v>-3.3777127928867848E-2</v>
      </c>
      <c r="I196" s="20">
        <f t="shared" si="15"/>
        <v>-1.390805193062266E-2</v>
      </c>
      <c r="J196" s="20">
        <f t="shared" si="16"/>
        <v>2.3243781722743027E-3</v>
      </c>
      <c r="K196" s="20">
        <f t="shared" si="17"/>
        <v>-1.4197006627644993E-2</v>
      </c>
      <c r="L196" s="20">
        <f t="shared" si="18"/>
        <v>-8.659631851758838E-3</v>
      </c>
      <c r="M196" s="20">
        <v>1.1383691064210772E-2</v>
      </c>
      <c r="N196" s="20">
        <v>5.8044937201440097E-4</v>
      </c>
      <c r="O196" s="20">
        <v>5.0989557669856127E-2</v>
      </c>
      <c r="P196" s="20"/>
      <c r="Q196" s="20"/>
      <c r="R196" s="20">
        <v>0.09</v>
      </c>
      <c r="S196" s="20">
        <v>0.90999999999999992</v>
      </c>
      <c r="T196" s="20"/>
      <c r="U196" s="25">
        <f t="shared" si="19"/>
        <v>0.99999999999999989</v>
      </c>
    </row>
    <row r="197" spans="2:21" x14ac:dyDescent="0.2">
      <c r="B197" s="19">
        <v>37838</v>
      </c>
      <c r="C197" s="10">
        <v>12940</v>
      </c>
      <c r="D197" s="10">
        <v>3414.1</v>
      </c>
      <c r="E197" s="10">
        <v>10283.870000000001</v>
      </c>
      <c r="F197" s="10">
        <v>4100.1000000000004</v>
      </c>
      <c r="G197" s="10">
        <v>1263.79</v>
      </c>
      <c r="H197" s="20">
        <f t="shared" si="14"/>
        <v>-1.4424064715035266E-2</v>
      </c>
      <c r="I197" s="20">
        <f t="shared" si="15"/>
        <v>-5.7303064880516253E-3</v>
      </c>
      <c r="J197" s="20">
        <f t="shared" si="16"/>
        <v>7.3921866969625417E-3</v>
      </c>
      <c r="K197" s="20">
        <f t="shared" si="17"/>
        <v>4.1471001387204147E-4</v>
      </c>
      <c r="L197" s="20">
        <f t="shared" si="18"/>
        <v>1.3452506736665292E-4</v>
      </c>
      <c r="M197" s="20">
        <v>1.8794551774568874E-2</v>
      </c>
      <c r="N197" s="20">
        <v>1.2755128999709724E-3</v>
      </c>
      <c r="O197" s="20">
        <v>6.7866098392241725E-2</v>
      </c>
      <c r="P197" s="20"/>
      <c r="Q197" s="20">
        <v>0.98</v>
      </c>
      <c r="R197" s="20">
        <v>1.9999999999999907E-2</v>
      </c>
      <c r="S197" s="20"/>
      <c r="T197" s="20"/>
      <c r="U197" s="25">
        <f t="shared" si="19"/>
        <v>0.99999999999999989</v>
      </c>
    </row>
    <row r="198" spans="2:21" x14ac:dyDescent="0.2">
      <c r="B198" s="19">
        <v>37839</v>
      </c>
      <c r="C198" s="10">
        <v>13060</v>
      </c>
      <c r="D198" s="10">
        <v>3427.49</v>
      </c>
      <c r="E198" s="10">
        <v>10084.42</v>
      </c>
      <c r="F198" s="10">
        <v>4121</v>
      </c>
      <c r="G198" s="10">
        <v>1221.99</v>
      </c>
      <c r="H198" s="20">
        <f t="shared" si="14"/>
        <v>9.230834775530522E-3</v>
      </c>
      <c r="I198" s="20">
        <f t="shared" si="15"/>
        <v>3.9142997743235163E-3</v>
      </c>
      <c r="J198" s="20">
        <f t="shared" si="16"/>
        <v>-1.9584989730859346E-2</v>
      </c>
      <c r="K198" s="20">
        <f t="shared" si="17"/>
        <v>5.0844886999529089E-3</v>
      </c>
      <c r="L198" s="20">
        <f t="shared" si="18"/>
        <v>-3.3634465271642357E-2</v>
      </c>
      <c r="M198" s="20">
        <v>1.0694690266041045E-2</v>
      </c>
      <c r="N198" s="20">
        <v>1.8835601789684313E-3</v>
      </c>
      <c r="O198" s="20">
        <v>0.17612105934000899</v>
      </c>
      <c r="P198" s="20">
        <v>0.47</v>
      </c>
      <c r="Q198" s="20">
        <v>0.02</v>
      </c>
      <c r="R198" s="20">
        <v>0.37</v>
      </c>
      <c r="S198" s="20"/>
      <c r="T198" s="20">
        <v>0.14000000000000001</v>
      </c>
      <c r="U198" s="25">
        <f t="shared" si="19"/>
        <v>1</v>
      </c>
    </row>
    <row r="199" spans="2:21" x14ac:dyDescent="0.2">
      <c r="B199" s="19">
        <v>37840</v>
      </c>
      <c r="C199" s="10">
        <v>12892</v>
      </c>
      <c r="D199" s="10">
        <v>3370.5</v>
      </c>
      <c r="E199" s="10">
        <v>9998.6</v>
      </c>
      <c r="F199" s="10">
        <v>4070.4</v>
      </c>
      <c r="G199" s="10">
        <v>1214.8900000000001</v>
      </c>
      <c r="H199" s="20">
        <f t="shared" si="14"/>
        <v>-1.2947159895093584E-2</v>
      </c>
      <c r="I199" s="20">
        <f t="shared" si="15"/>
        <v>-1.6767113560309761E-2</v>
      </c>
      <c r="J199" s="20">
        <f t="shared" si="16"/>
        <v>-8.5465754040333231E-3</v>
      </c>
      <c r="K199" s="20">
        <f t="shared" si="17"/>
        <v>-1.2354577633068992E-2</v>
      </c>
      <c r="L199" s="20">
        <f t="shared" si="18"/>
        <v>-5.8271396953151061E-3</v>
      </c>
      <c r="M199" s="20">
        <v>1.4908157824335553E-2</v>
      </c>
      <c r="N199" s="20">
        <v>9.8174424741721551E-4</v>
      </c>
      <c r="O199" s="20">
        <v>6.5852820917595242E-2</v>
      </c>
      <c r="P199" s="20"/>
      <c r="Q199" s="20">
        <v>0.57999999999999996</v>
      </c>
      <c r="R199" s="20">
        <v>0</v>
      </c>
      <c r="S199" s="20">
        <v>0.4</v>
      </c>
      <c r="T199" s="20">
        <v>2.0000000000000018E-2</v>
      </c>
      <c r="U199" s="25">
        <f t="shared" si="19"/>
        <v>1</v>
      </c>
    </row>
    <row r="200" spans="2:21" x14ac:dyDescent="0.2">
      <c r="B200" s="19">
        <v>37841</v>
      </c>
      <c r="C200" s="10">
        <v>13333</v>
      </c>
      <c r="D200" s="10">
        <v>3339.87</v>
      </c>
      <c r="E200" s="10">
        <v>9997.94</v>
      </c>
      <c r="F200" s="10">
        <v>4095.6</v>
      </c>
      <c r="G200" s="10">
        <v>1223.6600000000001</v>
      </c>
      <c r="H200" s="20">
        <f t="shared" si="14"/>
        <v>3.3635201180130012E-2</v>
      </c>
      <c r="I200" s="20">
        <f t="shared" si="15"/>
        <v>-9.1292172359228665E-3</v>
      </c>
      <c r="J200" s="20">
        <f t="shared" si="16"/>
        <v>-6.6011419999585839E-5</v>
      </c>
      <c r="K200" s="20">
        <f t="shared" si="17"/>
        <v>6.1719519949132422E-3</v>
      </c>
      <c r="L200" s="20">
        <f t="shared" si="18"/>
        <v>7.1928300104142622E-3</v>
      </c>
      <c r="M200" s="20">
        <v>9.7582822454089918E-3</v>
      </c>
      <c r="N200" s="20">
        <v>1.2075380774738541E-3</v>
      </c>
      <c r="O200" s="20">
        <v>0.12374494271693856</v>
      </c>
      <c r="P200" s="20">
        <v>5.0000000000000044E-2</v>
      </c>
      <c r="Q200" s="20">
        <v>0.04</v>
      </c>
      <c r="R200" s="20">
        <v>0.51</v>
      </c>
      <c r="S200" s="20">
        <v>0.17</v>
      </c>
      <c r="T200" s="20">
        <v>0.23</v>
      </c>
      <c r="U200" s="25">
        <f t="shared" si="19"/>
        <v>1.0000000000000002</v>
      </c>
    </row>
    <row r="201" spans="2:21" x14ac:dyDescent="0.2">
      <c r="B201" s="19">
        <v>37844</v>
      </c>
      <c r="C201" s="10">
        <v>13500</v>
      </c>
      <c r="D201" s="10">
        <v>3333.07</v>
      </c>
      <c r="E201" s="10">
        <v>9983.8799999999992</v>
      </c>
      <c r="F201" s="10">
        <v>4147.8</v>
      </c>
      <c r="G201" s="10">
        <v>1209.3499999999999</v>
      </c>
      <c r="H201" s="20">
        <f t="shared" si="14"/>
        <v>1.2447520311062273E-2</v>
      </c>
      <c r="I201" s="20">
        <f t="shared" si="15"/>
        <v>-2.0380828701619018E-3</v>
      </c>
      <c r="J201" s="20">
        <f t="shared" si="16"/>
        <v>-1.4072794490603638E-3</v>
      </c>
      <c r="K201" s="20">
        <f t="shared" si="17"/>
        <v>1.266484647861274E-2</v>
      </c>
      <c r="L201" s="20">
        <f t="shared" si="18"/>
        <v>-1.1763342537244896E-2</v>
      </c>
      <c r="M201" s="20">
        <v>1.1103742306070523E-2</v>
      </c>
      <c r="N201" s="20">
        <v>1.1408083758443876E-3</v>
      </c>
      <c r="O201" s="20">
        <v>0.10274089080946129</v>
      </c>
      <c r="P201" s="20"/>
      <c r="Q201" s="20"/>
      <c r="R201" s="20">
        <v>0.99</v>
      </c>
      <c r="S201" s="20">
        <v>1.000000000000012E-2</v>
      </c>
      <c r="T201" s="20"/>
      <c r="U201" s="25">
        <f t="shared" si="19"/>
        <v>1</v>
      </c>
    </row>
    <row r="202" spans="2:21" x14ac:dyDescent="0.2">
      <c r="B202" s="19">
        <v>37845</v>
      </c>
      <c r="C202" s="10">
        <v>13559</v>
      </c>
      <c r="D202" s="10">
        <v>3342.59</v>
      </c>
      <c r="E202" s="10">
        <v>10125.81</v>
      </c>
      <c r="F202" s="10">
        <v>4176.7</v>
      </c>
      <c r="G202" s="10">
        <v>1227.5</v>
      </c>
      <c r="H202" s="20">
        <f t="shared" si="14"/>
        <v>4.3608480357883528E-3</v>
      </c>
      <c r="I202" s="20">
        <f t="shared" si="15"/>
        <v>2.8521543798200309E-3</v>
      </c>
      <c r="J202" s="20">
        <f t="shared" si="16"/>
        <v>1.4115817468702517E-2</v>
      </c>
      <c r="K202" s="20">
        <f t="shared" si="17"/>
        <v>6.9433878568526787E-3</v>
      </c>
      <c r="L202" s="20">
        <f t="shared" si="18"/>
        <v>1.4896555498819681E-2</v>
      </c>
      <c r="M202" s="20">
        <v>1.0666632172008018E-2</v>
      </c>
      <c r="N202" s="20">
        <v>1.0972248977687219E-3</v>
      </c>
      <c r="O202" s="20">
        <v>0.1028651668188317</v>
      </c>
      <c r="P202" s="20"/>
      <c r="Q202" s="20"/>
      <c r="R202" s="20">
        <v>0.92</v>
      </c>
      <c r="S202" s="20">
        <v>7.999999999999996E-2</v>
      </c>
      <c r="T202" s="20"/>
      <c r="U202" s="25">
        <f t="shared" si="19"/>
        <v>1</v>
      </c>
    </row>
    <row r="203" spans="2:21" x14ac:dyDescent="0.2">
      <c r="B203" s="19">
        <v>37846</v>
      </c>
      <c r="C203" s="10">
        <v>13597</v>
      </c>
      <c r="D203" s="10">
        <v>3388.55</v>
      </c>
      <c r="E203" s="10">
        <v>10273.030000000001</v>
      </c>
      <c r="F203" s="10">
        <v>4185.6000000000004</v>
      </c>
      <c r="G203" s="10">
        <v>1247.56</v>
      </c>
      <c r="H203" s="20">
        <f t="shared" si="14"/>
        <v>2.7986466933769059E-3</v>
      </c>
      <c r="I203" s="20">
        <f t="shared" si="15"/>
        <v>1.3656145691721378E-2</v>
      </c>
      <c r="J203" s="20">
        <f t="shared" si="16"/>
        <v>1.4434404713542187E-2</v>
      </c>
      <c r="K203" s="20">
        <f t="shared" si="17"/>
        <v>2.1286017866978587E-3</v>
      </c>
      <c r="L203" s="20">
        <f t="shared" si="18"/>
        <v>1.6210062992797938E-2</v>
      </c>
      <c r="M203" s="20">
        <v>1.3057539185612921E-2</v>
      </c>
      <c r="N203" s="20">
        <v>1.7059896239123701E-3</v>
      </c>
      <c r="O203" s="20">
        <v>0.13065169475363828</v>
      </c>
      <c r="P203" s="20">
        <v>0.24</v>
      </c>
      <c r="Q203" s="20">
        <v>0.32000000000000006</v>
      </c>
      <c r="R203" s="20"/>
      <c r="S203" s="20"/>
      <c r="T203" s="20">
        <v>0.44</v>
      </c>
      <c r="U203" s="25">
        <f t="shared" si="19"/>
        <v>1</v>
      </c>
    </row>
    <row r="204" spans="2:21" x14ac:dyDescent="0.2">
      <c r="B204" s="19">
        <v>37847</v>
      </c>
      <c r="C204" s="10">
        <v>13683</v>
      </c>
      <c r="D204" s="10">
        <v>3398.13</v>
      </c>
      <c r="E204" s="10">
        <v>10352.09</v>
      </c>
      <c r="F204" s="10">
        <v>4180.7</v>
      </c>
      <c r="G204" s="10">
        <v>1241.17</v>
      </c>
      <c r="H204" s="20">
        <f t="shared" si="14"/>
        <v>6.3050062241240372E-3</v>
      </c>
      <c r="I204" s="20">
        <f t="shared" si="15"/>
        <v>2.8231790398212638E-3</v>
      </c>
      <c r="J204" s="20">
        <f t="shared" si="16"/>
        <v>7.6664171866162442E-3</v>
      </c>
      <c r="K204" s="20">
        <f t="shared" si="17"/>
        <v>-1.1713662097401207E-3</v>
      </c>
      <c r="L204" s="20">
        <f t="shared" si="18"/>
        <v>-5.1351605372632119E-3</v>
      </c>
      <c r="M204" s="20">
        <v>9.7313460251669103E-3</v>
      </c>
      <c r="N204" s="20">
        <v>1.3697234045527561E-3</v>
      </c>
      <c r="O204" s="20">
        <v>0.14075374578300054</v>
      </c>
      <c r="P204" s="20">
        <v>0.25</v>
      </c>
      <c r="Q204" s="20">
        <v>0.08</v>
      </c>
      <c r="R204" s="20">
        <v>0.43</v>
      </c>
      <c r="S204" s="20">
        <v>0.23999999999999988</v>
      </c>
      <c r="T204" s="20"/>
      <c r="U204" s="25">
        <f t="shared" si="19"/>
        <v>0.99999999999999989</v>
      </c>
    </row>
    <row r="205" spans="2:21" x14ac:dyDescent="0.2">
      <c r="B205" s="19">
        <v>37848</v>
      </c>
      <c r="C205" s="10">
        <v>13810</v>
      </c>
      <c r="D205" s="10">
        <v>3449.56</v>
      </c>
      <c r="E205" s="10">
        <v>10427.15</v>
      </c>
      <c r="F205" s="10">
        <v>4237.8</v>
      </c>
      <c r="G205" s="10">
        <v>1250.45</v>
      </c>
      <c r="H205" s="20">
        <f t="shared" si="14"/>
        <v>9.2387810235276448E-3</v>
      </c>
      <c r="I205" s="20">
        <f t="shared" si="15"/>
        <v>1.502140636131304E-2</v>
      </c>
      <c r="J205" s="20">
        <f t="shared" si="16"/>
        <v>7.224549740407182E-3</v>
      </c>
      <c r="K205" s="20">
        <f t="shared" si="17"/>
        <v>1.3565570029846704E-2</v>
      </c>
      <c r="L205" s="20">
        <f t="shared" si="18"/>
        <v>7.4490033876840308E-3</v>
      </c>
      <c r="M205" s="20">
        <v>1.0444953040813672E-2</v>
      </c>
      <c r="N205" s="20">
        <v>1.0723200531540561E-3</v>
      </c>
      <c r="O205" s="20">
        <v>0.10266394199801222</v>
      </c>
      <c r="P205" s="20"/>
      <c r="Q205" s="20"/>
      <c r="R205" s="20">
        <v>0.88</v>
      </c>
      <c r="S205" s="20">
        <v>0.12000000000000011</v>
      </c>
      <c r="T205" s="20"/>
      <c r="U205" s="25">
        <f t="shared" si="19"/>
        <v>1</v>
      </c>
    </row>
    <row r="206" spans="2:21" x14ac:dyDescent="0.2">
      <c r="B206" s="19">
        <v>37851</v>
      </c>
      <c r="C206" s="10">
        <v>13900</v>
      </c>
      <c r="D206" s="10">
        <v>3447.58</v>
      </c>
      <c r="E206" s="10">
        <v>10457.35</v>
      </c>
      <c r="F206" s="10">
        <v>4247.3</v>
      </c>
      <c r="G206" s="10">
        <v>1258.18</v>
      </c>
      <c r="H206" s="20">
        <f t="shared" si="14"/>
        <v>6.4958727154452349E-3</v>
      </c>
      <c r="I206" s="20">
        <f t="shared" si="15"/>
        <v>-5.7415104069000482E-4</v>
      </c>
      <c r="J206" s="20">
        <f t="shared" si="16"/>
        <v>2.8920990255925099E-3</v>
      </c>
      <c r="K206" s="20">
        <f t="shared" si="17"/>
        <v>2.239220273067292E-3</v>
      </c>
      <c r="L206" s="20">
        <f t="shared" si="18"/>
        <v>6.162745773646173E-3</v>
      </c>
      <c r="M206" s="20">
        <v>1.5279767965445258E-2</v>
      </c>
      <c r="N206" s="20">
        <v>1.5444546952044949E-3</v>
      </c>
      <c r="O206" s="20">
        <v>0.10107841288540724</v>
      </c>
      <c r="P206" s="20">
        <v>0.03</v>
      </c>
      <c r="Q206" s="20">
        <v>7.999999999999996E-2</v>
      </c>
      <c r="R206" s="20"/>
      <c r="S206" s="20"/>
      <c r="T206" s="20">
        <v>0.89</v>
      </c>
      <c r="U206" s="25">
        <f t="shared" si="19"/>
        <v>1</v>
      </c>
    </row>
    <row r="207" spans="2:21" x14ac:dyDescent="0.2">
      <c r="B207" s="19">
        <v>37852</v>
      </c>
      <c r="C207" s="10">
        <v>14147</v>
      </c>
      <c r="D207" s="10">
        <v>3511.05</v>
      </c>
      <c r="E207" s="10">
        <v>10569.05</v>
      </c>
      <c r="F207" s="10">
        <v>4272.1000000000004</v>
      </c>
      <c r="G207" s="10">
        <v>1291.3699999999999</v>
      </c>
      <c r="H207" s="20">
        <f t="shared" si="14"/>
        <v>1.761374734015116E-2</v>
      </c>
      <c r="I207" s="20">
        <f t="shared" si="15"/>
        <v>1.8242602404628518E-2</v>
      </c>
      <c r="J207" s="20">
        <f t="shared" si="16"/>
        <v>1.0624838373627422E-2</v>
      </c>
      <c r="K207" s="20">
        <f t="shared" si="17"/>
        <v>5.822022689763868E-3</v>
      </c>
      <c r="L207" s="20">
        <f t="shared" si="18"/>
        <v>2.6037438034544256E-2</v>
      </c>
      <c r="M207" s="20">
        <v>1.1545579285161931E-2</v>
      </c>
      <c r="N207" s="20">
        <v>1.1497561246042386E-3</v>
      </c>
      <c r="O207" s="20">
        <v>9.9584100217636931E-2</v>
      </c>
      <c r="P207" s="20"/>
      <c r="Q207" s="20"/>
      <c r="R207" s="20"/>
      <c r="S207" s="20">
        <v>0.38</v>
      </c>
      <c r="T207" s="20">
        <v>0.62</v>
      </c>
      <c r="U207" s="25">
        <f t="shared" si="19"/>
        <v>1</v>
      </c>
    </row>
    <row r="208" spans="2:21" x14ac:dyDescent="0.2">
      <c r="B208" s="19">
        <v>37853</v>
      </c>
      <c r="C208" s="10">
        <v>14158</v>
      </c>
      <c r="D208" s="10">
        <v>3507.25</v>
      </c>
      <c r="E208" s="10">
        <v>10462.27</v>
      </c>
      <c r="F208" s="10">
        <v>4250.8</v>
      </c>
      <c r="G208" s="10">
        <v>1289.43</v>
      </c>
      <c r="H208" s="20">
        <f t="shared" si="14"/>
        <v>7.7724787520015324E-4</v>
      </c>
      <c r="I208" s="20">
        <f t="shared" si="15"/>
        <v>-1.0828834251413839E-3</v>
      </c>
      <c r="J208" s="20">
        <f t="shared" si="16"/>
        <v>-1.0154466532196945E-2</v>
      </c>
      <c r="K208" s="20">
        <f t="shared" si="17"/>
        <v>-4.9983091072225306E-3</v>
      </c>
      <c r="L208" s="20">
        <f t="shared" si="18"/>
        <v>-1.5034100785845759E-3</v>
      </c>
      <c r="M208" s="20">
        <v>1.2987795289377853E-2</v>
      </c>
      <c r="N208" s="20">
        <v>1.7073859504283606E-3</v>
      </c>
      <c r="O208" s="20">
        <v>0.13146079934172941</v>
      </c>
      <c r="P208" s="20">
        <v>0.25</v>
      </c>
      <c r="Q208" s="20"/>
      <c r="R208" s="20">
        <v>0</v>
      </c>
      <c r="S208" s="20">
        <v>0.09</v>
      </c>
      <c r="T208" s="20">
        <v>0.66</v>
      </c>
      <c r="U208" s="25">
        <f t="shared" si="19"/>
        <v>1</v>
      </c>
    </row>
    <row r="209" spans="2:21" x14ac:dyDescent="0.2">
      <c r="B209" s="19">
        <v>37854</v>
      </c>
      <c r="C209" s="10">
        <v>14470</v>
      </c>
      <c r="D209" s="10">
        <v>3501.41</v>
      </c>
      <c r="E209" s="10">
        <v>10490.57</v>
      </c>
      <c r="F209" s="10">
        <v>4217.3999999999996</v>
      </c>
      <c r="G209" s="10">
        <v>1309.57</v>
      </c>
      <c r="H209" s="20">
        <f t="shared" si="14"/>
        <v>2.1797705291394968E-2</v>
      </c>
      <c r="I209" s="20">
        <f t="shared" si="15"/>
        <v>-1.6665101036712029E-3</v>
      </c>
      <c r="J209" s="20">
        <f t="shared" si="16"/>
        <v>2.7013060958690819E-3</v>
      </c>
      <c r="K209" s="20">
        <f t="shared" si="17"/>
        <v>-7.8883760886255504E-3</v>
      </c>
      <c r="L209" s="20">
        <f t="shared" si="18"/>
        <v>1.5498578794943988E-2</v>
      </c>
      <c r="M209" s="20">
        <v>1.014404819400728E-2</v>
      </c>
      <c r="N209" s="20">
        <v>1.1107446272305406E-3</v>
      </c>
      <c r="O209" s="20">
        <v>0.10949717568245847</v>
      </c>
      <c r="P209" s="20">
        <v>0.21999999999999997</v>
      </c>
      <c r="Q209" s="20"/>
      <c r="R209" s="20"/>
      <c r="S209" s="20">
        <v>0.65</v>
      </c>
      <c r="T209" s="20">
        <v>0.13</v>
      </c>
      <c r="U209" s="25">
        <f t="shared" si="19"/>
        <v>1</v>
      </c>
    </row>
    <row r="210" spans="2:21" x14ac:dyDescent="0.2">
      <c r="B210" s="19">
        <v>37855</v>
      </c>
      <c r="C210" s="10">
        <v>14670</v>
      </c>
      <c r="D210" s="10">
        <v>3563.3</v>
      </c>
      <c r="E210" s="10">
        <v>10665.56</v>
      </c>
      <c r="F210" s="10">
        <v>4223.5</v>
      </c>
      <c r="G210" s="10">
        <v>1338.19</v>
      </c>
      <c r="H210" s="20">
        <f t="shared" si="14"/>
        <v>1.3727051511497898E-2</v>
      </c>
      <c r="I210" s="20">
        <f t="shared" si="15"/>
        <v>1.7521337275066447E-2</v>
      </c>
      <c r="J210" s="20">
        <f t="shared" si="16"/>
        <v>1.6543100352982287E-2</v>
      </c>
      <c r="K210" s="20">
        <f t="shared" si="17"/>
        <v>1.4453437576366806E-3</v>
      </c>
      <c r="L210" s="20">
        <f t="shared" si="18"/>
        <v>2.1619115559795891E-2</v>
      </c>
      <c r="M210" s="20">
        <v>1.2714530835244856E-2</v>
      </c>
      <c r="N210" s="20">
        <v>1.7604121190247586E-3</v>
      </c>
      <c r="O210" s="20">
        <v>0.13845671081664077</v>
      </c>
      <c r="P210" s="20">
        <v>0.30000000000000016</v>
      </c>
      <c r="Q210" s="20"/>
      <c r="R210" s="20"/>
      <c r="S210" s="20">
        <v>0.09</v>
      </c>
      <c r="T210" s="20">
        <v>0.61</v>
      </c>
      <c r="U210" s="25">
        <f t="shared" si="19"/>
        <v>1</v>
      </c>
    </row>
    <row r="211" spans="2:21" x14ac:dyDescent="0.2">
      <c r="B211" s="19">
        <v>37858</v>
      </c>
      <c r="C211" s="10">
        <v>14613</v>
      </c>
      <c r="D211" s="10">
        <v>3547.65</v>
      </c>
      <c r="E211" s="10">
        <v>10733.12</v>
      </c>
      <c r="F211" s="10">
        <v>4223.5</v>
      </c>
      <c r="G211" s="10">
        <v>1302.5</v>
      </c>
      <c r="H211" s="20">
        <f t="shared" si="14"/>
        <v>-3.893048662375101E-3</v>
      </c>
      <c r="I211" s="20">
        <f t="shared" si="15"/>
        <v>-4.4016693318953042E-3</v>
      </c>
      <c r="J211" s="20">
        <f t="shared" si="16"/>
        <v>6.3144291591164274E-3</v>
      </c>
      <c r="K211" s="20">
        <f t="shared" si="17"/>
        <v>0</v>
      </c>
      <c r="L211" s="20">
        <f t="shared" si="18"/>
        <v>-2.703245996871833E-2</v>
      </c>
      <c r="M211" s="20">
        <v>1.0200685624986829E-2</v>
      </c>
      <c r="N211" s="20">
        <v>9.5915698377780495E-4</v>
      </c>
      <c r="O211" s="20">
        <v>9.4028677977127967E-2</v>
      </c>
      <c r="P211" s="20">
        <v>2.0000000000000018E-2</v>
      </c>
      <c r="Q211" s="20"/>
      <c r="R211" s="20"/>
      <c r="S211" s="20">
        <v>0.59</v>
      </c>
      <c r="T211" s="20">
        <v>0.39</v>
      </c>
      <c r="U211" s="25">
        <f t="shared" si="19"/>
        <v>1</v>
      </c>
    </row>
    <row r="212" spans="2:21" x14ac:dyDescent="0.2">
      <c r="B212" s="19">
        <v>37859</v>
      </c>
      <c r="C212" s="10">
        <v>14475</v>
      </c>
      <c r="D212" s="10">
        <v>3498.89</v>
      </c>
      <c r="E212" s="10">
        <v>10709.6</v>
      </c>
      <c r="F212" s="10">
        <v>4225.8999999999996</v>
      </c>
      <c r="G212" s="10">
        <v>1298.23</v>
      </c>
      <c r="H212" s="20">
        <f t="shared" si="14"/>
        <v>-9.4885200334563439E-3</v>
      </c>
      <c r="I212" s="20">
        <f t="shared" si="15"/>
        <v>-1.3839637118450539E-2</v>
      </c>
      <c r="J212" s="20">
        <f t="shared" si="16"/>
        <v>-2.1937524187786682E-3</v>
      </c>
      <c r="K212" s="20">
        <f t="shared" si="17"/>
        <v>5.6808769014244373E-4</v>
      </c>
      <c r="L212" s="20">
        <f t="shared" si="18"/>
        <v>-3.2836963751176037E-3</v>
      </c>
      <c r="M212" s="20">
        <v>1.2679648481248395E-2</v>
      </c>
      <c r="N212" s="20">
        <v>2.0378027650608836E-3</v>
      </c>
      <c r="O212" s="20">
        <v>0.16071445261866191</v>
      </c>
      <c r="P212" s="20">
        <v>0.5</v>
      </c>
      <c r="Q212" s="20">
        <v>9.9999999999999867E-2</v>
      </c>
      <c r="R212" s="20"/>
      <c r="S212" s="20"/>
      <c r="T212" s="20">
        <v>0.4</v>
      </c>
      <c r="U212" s="25">
        <f t="shared" si="19"/>
        <v>0.99999999999999989</v>
      </c>
    </row>
    <row r="213" spans="2:21" x14ac:dyDescent="0.2">
      <c r="B213" s="19">
        <v>37860</v>
      </c>
      <c r="C213" s="10">
        <v>14876</v>
      </c>
      <c r="D213" s="10">
        <v>3462.16</v>
      </c>
      <c r="E213" s="10">
        <v>10749.88</v>
      </c>
      <c r="F213" s="10">
        <v>4177.3999999999996</v>
      </c>
      <c r="G213" s="10">
        <v>1305.98</v>
      </c>
      <c r="H213" s="20">
        <f t="shared" si="14"/>
        <v>2.732615260376467E-2</v>
      </c>
      <c r="I213" s="20">
        <f t="shared" si="15"/>
        <v>-1.0553103591624863E-2</v>
      </c>
      <c r="J213" s="20">
        <f t="shared" si="16"/>
        <v>3.7540562311187556E-3</v>
      </c>
      <c r="K213" s="20">
        <f t="shared" si="17"/>
        <v>-1.1543212436477086E-2</v>
      </c>
      <c r="L213" s="20">
        <f t="shared" si="18"/>
        <v>5.9519185310309263E-3</v>
      </c>
      <c r="M213" s="20">
        <v>1.0283284436038657E-2</v>
      </c>
      <c r="N213" s="20">
        <v>9.3794651633924604E-4</v>
      </c>
      <c r="O213" s="20">
        <v>9.1210791860636631E-2</v>
      </c>
      <c r="P213" s="20"/>
      <c r="Q213" s="20"/>
      <c r="R213" s="20"/>
      <c r="S213" s="20">
        <v>0.59</v>
      </c>
      <c r="T213" s="20">
        <v>0.41000000000000014</v>
      </c>
      <c r="U213" s="25">
        <f t="shared" si="19"/>
        <v>1</v>
      </c>
    </row>
    <row r="214" spans="2:21" x14ac:dyDescent="0.2">
      <c r="B214" s="19">
        <v>37861</v>
      </c>
      <c r="C214" s="10">
        <v>15151</v>
      </c>
      <c r="D214" s="10">
        <v>3486.37</v>
      </c>
      <c r="E214" s="10">
        <v>10693.54</v>
      </c>
      <c r="F214" s="10">
        <v>4206.3999999999996</v>
      </c>
      <c r="G214" s="10">
        <v>1323.21</v>
      </c>
      <c r="H214" s="20">
        <f t="shared" si="14"/>
        <v>1.8317360314874704E-2</v>
      </c>
      <c r="I214" s="20">
        <f t="shared" si="15"/>
        <v>6.9684085604103984E-3</v>
      </c>
      <c r="J214" s="20">
        <f t="shared" si="16"/>
        <v>-5.2547708939316429E-3</v>
      </c>
      <c r="K214" s="20">
        <f t="shared" si="17"/>
        <v>6.9181315544001535E-3</v>
      </c>
      <c r="L214" s="20">
        <f t="shared" si="18"/>
        <v>1.3106885893951684E-2</v>
      </c>
      <c r="M214" s="20">
        <v>1.4201752820903987E-2</v>
      </c>
      <c r="N214" s="20">
        <v>2.0016154220366634E-3</v>
      </c>
      <c r="O214" s="20">
        <v>0.14094143499599751</v>
      </c>
      <c r="P214" s="20">
        <v>0.55000000000000004</v>
      </c>
      <c r="Q214" s="20">
        <v>0.44999999999999984</v>
      </c>
      <c r="R214" s="20"/>
      <c r="S214" s="20"/>
      <c r="T214" s="20"/>
      <c r="U214" s="25">
        <f t="shared" si="19"/>
        <v>0.99999999999999989</v>
      </c>
    </row>
    <row r="215" spans="2:21" x14ac:dyDescent="0.2">
      <c r="B215" s="19">
        <v>37862</v>
      </c>
      <c r="C215" s="10">
        <v>15065</v>
      </c>
      <c r="D215" s="10">
        <v>3510.32</v>
      </c>
      <c r="E215" s="10">
        <v>10812.87</v>
      </c>
      <c r="F215" s="10">
        <v>4198</v>
      </c>
      <c r="G215" s="10">
        <v>1328.49</v>
      </c>
      <c r="H215" s="20">
        <f t="shared" si="14"/>
        <v>-5.6923637954338262E-3</v>
      </c>
      <c r="I215" s="20">
        <f t="shared" si="15"/>
        <v>6.8461211068052532E-3</v>
      </c>
      <c r="J215" s="20">
        <f t="shared" si="16"/>
        <v>1.1097270498959956E-2</v>
      </c>
      <c r="K215" s="20">
        <f t="shared" si="17"/>
        <v>-1.9989535950383345E-3</v>
      </c>
      <c r="L215" s="20">
        <f t="shared" si="18"/>
        <v>3.9823562077376433E-3</v>
      </c>
      <c r="M215" s="20">
        <v>1.335445232784878E-2</v>
      </c>
      <c r="N215" s="20">
        <v>2.3631972452441141E-3</v>
      </c>
      <c r="O215" s="20">
        <v>0.17695950288549142</v>
      </c>
      <c r="P215" s="20">
        <v>0.79</v>
      </c>
      <c r="Q215" s="20">
        <v>2.9999999999999916E-2</v>
      </c>
      <c r="R215" s="20"/>
      <c r="S215" s="20"/>
      <c r="T215" s="20">
        <v>0.18</v>
      </c>
      <c r="U215" s="25">
        <f t="shared" si="19"/>
        <v>1</v>
      </c>
    </row>
    <row r="216" spans="2:21" x14ac:dyDescent="0.2">
      <c r="B216" s="19">
        <v>37865</v>
      </c>
      <c r="C216" s="10">
        <v>15174</v>
      </c>
      <c r="D216" s="10">
        <v>3493.34</v>
      </c>
      <c r="E216" s="10">
        <v>10937.79</v>
      </c>
      <c r="F216" s="10">
        <v>4161.1000000000004</v>
      </c>
      <c r="G216" s="10">
        <v>1328.49</v>
      </c>
      <c r="H216" s="20">
        <f t="shared" si="14"/>
        <v>7.2092643336186439E-3</v>
      </c>
      <c r="I216" s="20">
        <f t="shared" si="15"/>
        <v>-4.8489027934726916E-3</v>
      </c>
      <c r="J216" s="20">
        <f t="shared" si="16"/>
        <v>1.1486674292251727E-2</v>
      </c>
      <c r="K216" s="20">
        <f t="shared" si="17"/>
        <v>-8.8287590019663579E-3</v>
      </c>
      <c r="L216" s="20">
        <f t="shared" si="18"/>
        <v>0</v>
      </c>
      <c r="M216" s="20">
        <v>1.1766506833316759E-2</v>
      </c>
      <c r="N216" s="20">
        <v>5.5467198709783019E-4</v>
      </c>
      <c r="O216" s="20">
        <v>4.7139902687795276E-2</v>
      </c>
      <c r="P216" s="20"/>
      <c r="Q216" s="20"/>
      <c r="R216" s="20"/>
      <c r="S216" s="20">
        <v>0.97</v>
      </c>
      <c r="T216" s="20">
        <v>3.0000000000000138E-2</v>
      </c>
      <c r="U216" s="25">
        <f t="shared" si="19"/>
        <v>1</v>
      </c>
    </row>
    <row r="217" spans="2:21" x14ac:dyDescent="0.2">
      <c r="B217" s="19">
        <v>37866</v>
      </c>
      <c r="C217" s="10">
        <v>15352</v>
      </c>
      <c r="D217" s="10">
        <v>3570.09</v>
      </c>
      <c r="E217" s="10">
        <v>10940.34</v>
      </c>
      <c r="F217" s="10">
        <v>4204.3999999999996</v>
      </c>
      <c r="G217" s="10">
        <v>1347.64</v>
      </c>
      <c r="H217" s="20">
        <f t="shared" si="14"/>
        <v>1.1662321789515788E-2</v>
      </c>
      <c r="I217" s="20">
        <f t="shared" si="15"/>
        <v>2.1732506937900437E-2</v>
      </c>
      <c r="J217" s="20">
        <f t="shared" si="16"/>
        <v>2.3310950355882629E-4</v>
      </c>
      <c r="K217" s="20">
        <f t="shared" si="17"/>
        <v>1.03521335705874E-2</v>
      </c>
      <c r="L217" s="20">
        <f t="shared" si="18"/>
        <v>1.4311955605097211E-2</v>
      </c>
      <c r="M217" s="20">
        <v>1.4043816940215016E-2</v>
      </c>
      <c r="N217" s="20">
        <v>2.4225495402496028E-3</v>
      </c>
      <c r="O217" s="20">
        <v>0.17249936755530743</v>
      </c>
      <c r="P217" s="20">
        <v>0.87</v>
      </c>
      <c r="Q217" s="20">
        <v>0.13000000000000012</v>
      </c>
      <c r="R217" s="20"/>
      <c r="S217" s="20"/>
      <c r="T217" s="20"/>
      <c r="U217" s="25">
        <f t="shared" si="19"/>
        <v>1</v>
      </c>
    </row>
    <row r="218" spans="2:21" x14ac:dyDescent="0.2">
      <c r="B218" s="19">
        <v>37867</v>
      </c>
      <c r="C218" s="10">
        <v>15455</v>
      </c>
      <c r="D218" s="10">
        <v>3570.25</v>
      </c>
      <c r="E218" s="10">
        <v>11027.56</v>
      </c>
      <c r="F218" s="10">
        <v>4204.3999999999996</v>
      </c>
      <c r="G218" s="10">
        <v>1370.35</v>
      </c>
      <c r="H218" s="20">
        <f t="shared" si="14"/>
        <v>6.6868168786808329E-3</v>
      </c>
      <c r="I218" s="20">
        <f t="shared" si="15"/>
        <v>4.4815793093043343E-5</v>
      </c>
      <c r="J218" s="20">
        <f t="shared" si="16"/>
        <v>7.9407188037442736E-3</v>
      </c>
      <c r="K218" s="20">
        <f t="shared" si="17"/>
        <v>0</v>
      </c>
      <c r="L218" s="20">
        <f t="shared" si="18"/>
        <v>1.6711267156462321E-2</v>
      </c>
      <c r="M218" s="20">
        <v>1.0069275629952633E-2</v>
      </c>
      <c r="N218" s="20">
        <v>1.0225103639247238E-3</v>
      </c>
      <c r="O218" s="20">
        <v>0.10154755927855497</v>
      </c>
      <c r="P218" s="20"/>
      <c r="Q218" s="20"/>
      <c r="R218" s="20">
        <v>0.8</v>
      </c>
      <c r="S218" s="20">
        <v>0.19999999999999996</v>
      </c>
      <c r="T218" s="20"/>
      <c r="U218" s="25">
        <f t="shared" si="19"/>
        <v>1</v>
      </c>
    </row>
    <row r="219" spans="2:21" x14ac:dyDescent="0.2">
      <c r="B219" s="19">
        <v>37868</v>
      </c>
      <c r="C219" s="10">
        <v>15635</v>
      </c>
      <c r="D219" s="10">
        <v>3638.92</v>
      </c>
      <c r="E219" s="10">
        <v>11145.73</v>
      </c>
      <c r="F219" s="10">
        <v>4262.1000000000004</v>
      </c>
      <c r="G219" s="10">
        <v>1360.22</v>
      </c>
      <c r="H219" s="20">
        <f t="shared" si="14"/>
        <v>1.1579415325724879E-2</v>
      </c>
      <c r="I219" s="20">
        <f t="shared" si="15"/>
        <v>1.9051312975908917E-2</v>
      </c>
      <c r="J219" s="20">
        <f t="shared" si="16"/>
        <v>1.0658870991849246E-2</v>
      </c>
      <c r="K219" s="20">
        <f t="shared" si="17"/>
        <v>1.3630400596941941E-2</v>
      </c>
      <c r="L219" s="20">
        <f t="shared" si="18"/>
        <v>-7.4197302932034149E-3</v>
      </c>
      <c r="M219" s="20">
        <v>1.6605098630716873E-2</v>
      </c>
      <c r="N219" s="20">
        <v>1.2532258456797519E-3</v>
      </c>
      <c r="O219" s="20">
        <v>7.5472351808948443E-2</v>
      </c>
      <c r="P219" s="20"/>
      <c r="Q219" s="20">
        <v>0.81</v>
      </c>
      <c r="R219" s="20">
        <v>0.18999999999999995</v>
      </c>
      <c r="S219" s="20"/>
      <c r="T219" s="20"/>
      <c r="U219" s="25">
        <f t="shared" si="19"/>
        <v>1</v>
      </c>
    </row>
    <row r="220" spans="2:21" x14ac:dyDescent="0.2">
      <c r="B220" s="19">
        <v>37869</v>
      </c>
      <c r="C220" s="10">
        <v>15707</v>
      </c>
      <c r="D220" s="10">
        <v>3671.93</v>
      </c>
      <c r="E220" s="10">
        <v>11164.65</v>
      </c>
      <c r="F220" s="10">
        <v>4248.8</v>
      </c>
      <c r="G220" s="10">
        <v>1366.29</v>
      </c>
      <c r="H220" s="20">
        <f t="shared" si="14"/>
        <v>4.5944819510906317E-3</v>
      </c>
      <c r="I220" s="20">
        <f t="shared" si="15"/>
        <v>9.0304750688970474E-3</v>
      </c>
      <c r="J220" s="20">
        <f t="shared" si="16"/>
        <v>1.6960719212790914E-3</v>
      </c>
      <c r="K220" s="20">
        <f t="shared" si="17"/>
        <v>-3.1254064379517606E-3</v>
      </c>
      <c r="L220" s="20">
        <f t="shared" si="18"/>
        <v>4.4525859273621786E-3</v>
      </c>
      <c r="M220" s="20">
        <v>1.5998727079513643E-2</v>
      </c>
      <c r="N220" s="20">
        <v>1.246670829711746E-3</v>
      </c>
      <c r="O220" s="20">
        <v>7.7923126228467712E-2</v>
      </c>
      <c r="P220" s="20"/>
      <c r="Q220" s="20">
        <v>0.76</v>
      </c>
      <c r="R220" s="20">
        <v>0.24</v>
      </c>
      <c r="S220" s="20"/>
      <c r="T220" s="20"/>
      <c r="U220" s="25">
        <f t="shared" si="19"/>
        <v>1</v>
      </c>
    </row>
    <row r="221" spans="2:21" x14ac:dyDescent="0.2">
      <c r="B221" s="19">
        <v>37872</v>
      </c>
      <c r="C221" s="10">
        <v>15904</v>
      </c>
      <c r="D221" s="10">
        <v>3612.85</v>
      </c>
      <c r="E221" s="10">
        <v>11126.31</v>
      </c>
      <c r="F221" s="10">
        <v>4257.2</v>
      </c>
      <c r="G221" s="10">
        <v>1366.55</v>
      </c>
      <c r="H221" s="20">
        <f t="shared" si="14"/>
        <v>1.246417705332304E-2</v>
      </c>
      <c r="I221" s="20">
        <f t="shared" si="15"/>
        <v>-1.6220474837139294E-2</v>
      </c>
      <c r="J221" s="20">
        <f t="shared" si="16"/>
        <v>-3.4399629094062157E-3</v>
      </c>
      <c r="K221" s="20">
        <f t="shared" si="17"/>
        <v>1.9750770586997686E-3</v>
      </c>
      <c r="L221" s="20">
        <f t="shared" si="18"/>
        <v>1.9027824591590214E-4</v>
      </c>
      <c r="M221" s="20">
        <v>1.1464723940062885E-2</v>
      </c>
      <c r="N221" s="20">
        <v>1.3151277758071882E-3</v>
      </c>
      <c r="O221" s="20">
        <v>0.11471081054220088</v>
      </c>
      <c r="P221" s="20"/>
      <c r="Q221" s="20"/>
      <c r="R221" s="20">
        <v>0.46</v>
      </c>
      <c r="S221" s="20">
        <v>0.04</v>
      </c>
      <c r="T221" s="20">
        <v>0.5</v>
      </c>
      <c r="U221" s="25">
        <f t="shared" si="19"/>
        <v>1</v>
      </c>
    </row>
    <row r="222" spans="2:21" x14ac:dyDescent="0.2">
      <c r="B222" s="19">
        <v>37873</v>
      </c>
      <c r="C222" s="10">
        <v>16051</v>
      </c>
      <c r="D222" s="10">
        <v>3645.88</v>
      </c>
      <c r="E222" s="10">
        <v>11219.72</v>
      </c>
      <c r="F222" s="10">
        <v>4292.1000000000004</v>
      </c>
      <c r="G222" s="10">
        <v>1380.13</v>
      </c>
      <c r="H222" s="20">
        <f t="shared" si="14"/>
        <v>9.2005030168623644E-3</v>
      </c>
      <c r="I222" s="20">
        <f t="shared" si="15"/>
        <v>9.1008283751318406E-3</v>
      </c>
      <c r="J222" s="20">
        <f t="shared" si="16"/>
        <v>8.3603704174631532E-3</v>
      </c>
      <c r="K222" s="20">
        <f t="shared" si="17"/>
        <v>8.164456473509038E-3</v>
      </c>
      <c r="L222" s="20">
        <f t="shared" si="18"/>
        <v>9.8883820862276997E-3</v>
      </c>
      <c r="M222" s="20">
        <v>1.2022732430238913E-2</v>
      </c>
      <c r="N222" s="20">
        <v>7.2060036081507644E-4</v>
      </c>
      <c r="O222" s="20">
        <v>5.9936488231465759E-2</v>
      </c>
      <c r="P222" s="20">
        <v>0</v>
      </c>
      <c r="Q222" s="20">
        <v>0.17999999999999994</v>
      </c>
      <c r="R222" s="20"/>
      <c r="S222" s="20">
        <v>0.76</v>
      </c>
      <c r="T222" s="20">
        <v>0.06</v>
      </c>
      <c r="U222" s="25">
        <f t="shared" si="19"/>
        <v>1</v>
      </c>
    </row>
    <row r="223" spans="2:21" x14ac:dyDescent="0.2">
      <c r="B223" s="19">
        <v>37874</v>
      </c>
      <c r="C223" s="10">
        <v>15716</v>
      </c>
      <c r="D223" s="10">
        <v>3586.8</v>
      </c>
      <c r="E223" s="10">
        <v>10948.03</v>
      </c>
      <c r="F223" s="10">
        <v>4263.8999999999996</v>
      </c>
      <c r="G223" s="10">
        <v>1357.8</v>
      </c>
      <c r="H223" s="20">
        <f t="shared" si="14"/>
        <v>-2.1091851234867343E-2</v>
      </c>
      <c r="I223" s="20">
        <f t="shared" si="15"/>
        <v>-1.6337322837948413E-2</v>
      </c>
      <c r="J223" s="20">
        <f t="shared" si="16"/>
        <v>-2.4513412945234275E-2</v>
      </c>
      <c r="K223" s="20">
        <f t="shared" si="17"/>
        <v>-6.591889227322424E-3</v>
      </c>
      <c r="L223" s="20">
        <f t="shared" si="18"/>
        <v>-1.6311954745440168E-2</v>
      </c>
      <c r="M223" s="20">
        <v>1.7230052311804852E-2</v>
      </c>
      <c r="N223" s="20">
        <v>1.259780861647758E-3</v>
      </c>
      <c r="O223" s="20">
        <v>7.3115324251490657E-2</v>
      </c>
      <c r="P223" s="20"/>
      <c r="Q223" s="20">
        <v>0.86</v>
      </c>
      <c r="R223" s="20">
        <v>0.1399999999999999</v>
      </c>
      <c r="S223" s="20"/>
      <c r="T223" s="20"/>
      <c r="U223" s="25">
        <f t="shared" si="19"/>
        <v>0.99999999999999989</v>
      </c>
    </row>
    <row r="224" spans="2:21" x14ac:dyDescent="0.2">
      <c r="B224" s="19">
        <v>37875</v>
      </c>
      <c r="C224" s="10">
        <v>15985</v>
      </c>
      <c r="D224" s="10">
        <v>3525.5</v>
      </c>
      <c r="E224" s="10">
        <v>10762.03</v>
      </c>
      <c r="F224" s="10">
        <v>4252.1000000000004</v>
      </c>
      <c r="G224" s="10">
        <v>1339.88</v>
      </c>
      <c r="H224" s="20">
        <f t="shared" si="14"/>
        <v>1.6971480815591397E-2</v>
      </c>
      <c r="I224" s="20">
        <f t="shared" si="15"/>
        <v>-1.7238169918797286E-2</v>
      </c>
      <c r="J224" s="20">
        <f t="shared" si="16"/>
        <v>-1.713533275191052E-2</v>
      </c>
      <c r="K224" s="20">
        <f t="shared" si="17"/>
        <v>-2.7712558834804726E-3</v>
      </c>
      <c r="L224" s="20">
        <f t="shared" si="18"/>
        <v>-1.3285685171436591E-2</v>
      </c>
      <c r="M224" s="20">
        <v>9.886018503842452E-3</v>
      </c>
      <c r="N224" s="20">
        <v>7.5478328431706357E-4</v>
      </c>
      <c r="O224" s="20">
        <v>7.6348560750083352E-2</v>
      </c>
      <c r="P224" s="20"/>
      <c r="Q224" s="20"/>
      <c r="R224" s="20">
        <v>0.37</v>
      </c>
      <c r="S224" s="20">
        <v>0.63</v>
      </c>
      <c r="T224" s="20"/>
      <c r="U224" s="25">
        <f t="shared" si="19"/>
        <v>1</v>
      </c>
    </row>
    <row r="225" spans="2:21" x14ac:dyDescent="0.2">
      <c r="B225" s="19">
        <v>37876</v>
      </c>
      <c r="C225" s="10">
        <v>16283</v>
      </c>
      <c r="D225" s="10">
        <v>3564.55</v>
      </c>
      <c r="E225" s="10">
        <v>10762.03</v>
      </c>
      <c r="F225" s="10">
        <v>4242.2</v>
      </c>
      <c r="G225" s="10">
        <v>1340.78</v>
      </c>
      <c r="H225" s="20">
        <f t="shared" si="14"/>
        <v>1.8470836270278398E-2</v>
      </c>
      <c r="I225" s="20">
        <f t="shared" si="15"/>
        <v>1.1015548513000331E-2</v>
      </c>
      <c r="J225" s="20">
        <f t="shared" si="16"/>
        <v>0</v>
      </c>
      <c r="K225" s="20">
        <f t="shared" si="17"/>
        <v>-2.3309759444792911E-3</v>
      </c>
      <c r="L225" s="20">
        <f t="shared" si="18"/>
        <v>6.7147645267643936E-4</v>
      </c>
      <c r="M225" s="20">
        <v>1.8395715759419593E-2</v>
      </c>
      <c r="N225" s="20">
        <v>1.2715798903901688E-3</v>
      </c>
      <c r="O225" s="20">
        <v>6.9123697442381477E-2</v>
      </c>
      <c r="P225" s="20"/>
      <c r="Q225" s="20">
        <v>0.95</v>
      </c>
      <c r="R225" s="20">
        <v>4.9999999999999933E-2</v>
      </c>
      <c r="S225" s="20"/>
      <c r="T225" s="20"/>
      <c r="U225" s="25">
        <f t="shared" si="19"/>
        <v>0.99999999999999989</v>
      </c>
    </row>
    <row r="226" spans="2:21" x14ac:dyDescent="0.2">
      <c r="B226" s="19">
        <v>37879</v>
      </c>
      <c r="C226" s="10">
        <v>16423</v>
      </c>
      <c r="D226" s="10">
        <v>3512.28</v>
      </c>
      <c r="E226" s="10">
        <v>10952.58</v>
      </c>
      <c r="F226" s="10">
        <v>4237.8</v>
      </c>
      <c r="G226" s="10">
        <v>1359.97</v>
      </c>
      <c r="H226" s="20">
        <f t="shared" si="14"/>
        <v>8.5611725733407435E-3</v>
      </c>
      <c r="I226" s="20">
        <f t="shared" si="15"/>
        <v>-1.4772419443608166E-2</v>
      </c>
      <c r="J226" s="20">
        <f t="shared" si="16"/>
        <v>1.7550846298379098E-2</v>
      </c>
      <c r="K226" s="20">
        <f t="shared" si="17"/>
        <v>-1.0377359421843097E-3</v>
      </c>
      <c r="L226" s="20">
        <f t="shared" si="18"/>
        <v>1.4211106514482366E-2</v>
      </c>
      <c r="M226" s="20">
        <v>1.0377555350026029E-2</v>
      </c>
      <c r="N226" s="20">
        <v>9.6820503180567309E-4</v>
      </c>
      <c r="O226" s="20">
        <v>9.3297987738821808E-2</v>
      </c>
      <c r="P226" s="20"/>
      <c r="Q226" s="20"/>
      <c r="R226" s="20"/>
      <c r="S226" s="20">
        <v>0.56000000000000005</v>
      </c>
      <c r="T226" s="20">
        <v>0.43999999999999984</v>
      </c>
      <c r="U226" s="25">
        <f t="shared" si="19"/>
        <v>0.99999999999999989</v>
      </c>
    </row>
    <row r="227" spans="2:21" x14ac:dyDescent="0.2">
      <c r="B227" s="19">
        <v>37880</v>
      </c>
      <c r="C227" s="10">
        <v>16354</v>
      </c>
      <c r="D227" s="10">
        <v>3522.81</v>
      </c>
      <c r="E227" s="10">
        <v>10908.71</v>
      </c>
      <c r="F227" s="10">
        <v>4260.8999999999996</v>
      </c>
      <c r="G227" s="10">
        <v>1348.75</v>
      </c>
      <c r="H227" s="20">
        <f t="shared" si="14"/>
        <v>-4.2102756156384051E-3</v>
      </c>
      <c r="I227" s="20">
        <f t="shared" si="15"/>
        <v>2.9935673498610975E-3</v>
      </c>
      <c r="J227" s="20">
        <f t="shared" si="16"/>
        <v>-4.0134922402645457E-3</v>
      </c>
      <c r="K227" s="20">
        <f t="shared" si="17"/>
        <v>5.4361389122604253E-3</v>
      </c>
      <c r="L227" s="20">
        <f t="shared" si="18"/>
        <v>-8.2844030909244547E-3</v>
      </c>
      <c r="M227" s="20">
        <v>1.0248298050818193E-2</v>
      </c>
      <c r="N227" s="20">
        <v>6.9874738393406488E-4</v>
      </c>
      <c r="O227" s="20">
        <v>6.8181797647686393E-2</v>
      </c>
      <c r="P227" s="20"/>
      <c r="Q227" s="20"/>
      <c r="R227" s="20">
        <v>0.28000000000000003</v>
      </c>
      <c r="S227" s="20">
        <v>0.72</v>
      </c>
      <c r="T227" s="20"/>
      <c r="U227" s="25">
        <f t="shared" si="19"/>
        <v>1</v>
      </c>
    </row>
    <row r="228" spans="2:21" x14ac:dyDescent="0.2">
      <c r="B228" s="19">
        <v>37881</v>
      </c>
      <c r="C228" s="10">
        <v>16280</v>
      </c>
      <c r="D228" s="10">
        <v>3573.29</v>
      </c>
      <c r="E228" s="10">
        <v>11165.81</v>
      </c>
      <c r="F228" s="10">
        <v>4299</v>
      </c>
      <c r="G228" s="10">
        <v>1379.37</v>
      </c>
      <c r="H228" s="20">
        <f t="shared" si="14"/>
        <v>-4.5351551653912622E-3</v>
      </c>
      <c r="I228" s="20">
        <f t="shared" si="15"/>
        <v>1.4227773439132044E-2</v>
      </c>
      <c r="J228" s="20">
        <f t="shared" si="16"/>
        <v>2.3294878094737997E-2</v>
      </c>
      <c r="K228" s="20">
        <f t="shared" si="17"/>
        <v>8.9020319410895183E-3</v>
      </c>
      <c r="L228" s="20">
        <f t="shared" si="18"/>
        <v>2.244863560200051E-2</v>
      </c>
      <c r="M228" s="20">
        <v>1.1434089742239579E-2</v>
      </c>
      <c r="N228" s="20">
        <v>1.2850288534691876E-3</v>
      </c>
      <c r="O228" s="20">
        <v>0.11238575893995832</v>
      </c>
      <c r="P228" s="20">
        <v>7.999999999999996E-2</v>
      </c>
      <c r="Q228" s="20"/>
      <c r="R228" s="20"/>
      <c r="S228" s="20">
        <v>0.33</v>
      </c>
      <c r="T228" s="20">
        <v>0.59</v>
      </c>
      <c r="U228" s="25">
        <f t="shared" si="19"/>
        <v>1</v>
      </c>
    </row>
    <row r="229" spans="2:21" x14ac:dyDescent="0.2">
      <c r="B229" s="19">
        <v>37882</v>
      </c>
      <c r="C229" s="10">
        <v>16492</v>
      </c>
      <c r="D229" s="10">
        <v>3562.88</v>
      </c>
      <c r="E229" s="10">
        <v>11104.32</v>
      </c>
      <c r="F229" s="10">
        <v>4293</v>
      </c>
      <c r="G229" s="10">
        <v>1374.56</v>
      </c>
      <c r="H229" s="20">
        <f t="shared" si="14"/>
        <v>1.2938054270259406E-2</v>
      </c>
      <c r="I229" s="20">
        <f t="shared" si="15"/>
        <v>-2.9175334623923166E-3</v>
      </c>
      <c r="J229" s="20">
        <f t="shared" si="16"/>
        <v>-5.5222090091362891E-3</v>
      </c>
      <c r="K229" s="20">
        <f t="shared" si="17"/>
        <v>-1.3966482717209759E-3</v>
      </c>
      <c r="L229" s="20">
        <f t="shared" si="18"/>
        <v>-3.4931932845986349E-3</v>
      </c>
      <c r="M229" s="20">
        <v>1.4637253852239254E-2</v>
      </c>
      <c r="N229" s="20">
        <v>2.593554025773609E-3</v>
      </c>
      <c r="O229" s="20">
        <v>0.17718856637693953</v>
      </c>
      <c r="P229" s="20">
        <v>1</v>
      </c>
      <c r="Q229" s="20">
        <v>0</v>
      </c>
      <c r="R229" s="20"/>
      <c r="S229" s="20"/>
      <c r="T229" s="20"/>
      <c r="U229" s="25">
        <f t="shared" si="19"/>
        <v>1</v>
      </c>
    </row>
    <row r="230" spans="2:21" x14ac:dyDescent="0.2">
      <c r="B230" s="19">
        <v>37883</v>
      </c>
      <c r="C230" s="10">
        <v>16890</v>
      </c>
      <c r="D230" s="10">
        <v>3617.13</v>
      </c>
      <c r="E230" s="10">
        <v>11170.35</v>
      </c>
      <c r="F230" s="10">
        <v>4314.7</v>
      </c>
      <c r="G230" s="10">
        <v>1406.61</v>
      </c>
      <c r="H230" s="20">
        <f t="shared" si="14"/>
        <v>2.3846315975055234E-2</v>
      </c>
      <c r="I230" s="20">
        <f t="shared" si="15"/>
        <v>1.511168713902405E-2</v>
      </c>
      <c r="J230" s="20">
        <f t="shared" si="16"/>
        <v>5.9287247273728683E-3</v>
      </c>
      <c r="K230" s="20">
        <f t="shared" si="17"/>
        <v>5.0420079629049687E-3</v>
      </c>
      <c r="L230" s="20">
        <f t="shared" si="18"/>
        <v>2.3048874300575211E-2</v>
      </c>
      <c r="M230" s="20">
        <v>1.1203108781188782E-2</v>
      </c>
      <c r="N230" s="20">
        <v>1.1666996349020725E-3</v>
      </c>
      <c r="O230" s="20">
        <v>0.10414070395005769</v>
      </c>
      <c r="P230" s="20"/>
      <c r="Q230" s="20">
        <v>0.15</v>
      </c>
      <c r="R230" s="20">
        <v>0.85000000000000009</v>
      </c>
      <c r="S230" s="20"/>
      <c r="T230" s="20"/>
      <c r="U230" s="25">
        <f t="shared" si="19"/>
        <v>1</v>
      </c>
    </row>
    <row r="231" spans="2:21" x14ac:dyDescent="0.2">
      <c r="B231" s="19">
        <v>37886</v>
      </c>
      <c r="C231" s="10">
        <v>16850</v>
      </c>
      <c r="D231" s="10">
        <v>3578.16</v>
      </c>
      <c r="E231" s="10">
        <v>10920.03</v>
      </c>
      <c r="F231" s="10">
        <v>4257</v>
      </c>
      <c r="G231" s="10">
        <v>1371.18</v>
      </c>
      <c r="H231" s="20">
        <f t="shared" si="14"/>
        <v>-2.3710740213380012E-3</v>
      </c>
      <c r="I231" s="20">
        <f t="shared" si="15"/>
        <v>-1.0832191905858966E-2</v>
      </c>
      <c r="J231" s="20">
        <f t="shared" si="16"/>
        <v>-2.2664228954649528E-2</v>
      </c>
      <c r="K231" s="20">
        <f t="shared" si="17"/>
        <v>-1.3463110359313238E-2</v>
      </c>
      <c r="L231" s="20">
        <f t="shared" si="18"/>
        <v>-2.5510871217473509E-2</v>
      </c>
      <c r="M231" s="20">
        <v>1.4111664700453743E-2</v>
      </c>
      <c r="N231" s="20">
        <v>2.4488579226379114E-3</v>
      </c>
      <c r="O231" s="20">
        <v>0.17353430474855114</v>
      </c>
      <c r="P231" s="20">
        <v>0.89</v>
      </c>
      <c r="Q231" s="20">
        <v>0.10999999999999999</v>
      </c>
      <c r="R231" s="20"/>
      <c r="S231" s="20"/>
      <c r="T231" s="20"/>
      <c r="U231" s="25">
        <f t="shared" si="19"/>
        <v>1</v>
      </c>
    </row>
    <row r="232" spans="2:21" x14ac:dyDescent="0.2">
      <c r="B232" s="19">
        <v>37887</v>
      </c>
      <c r="C232" s="10">
        <v>16488</v>
      </c>
      <c r="D232" s="10">
        <v>3459.4</v>
      </c>
      <c r="E232" s="10">
        <v>10877.95</v>
      </c>
      <c r="F232" s="10">
        <v>4228.2</v>
      </c>
      <c r="G232" s="10">
        <v>1367.91</v>
      </c>
      <c r="H232" s="20">
        <f t="shared" si="14"/>
        <v>-2.1717813210212836E-2</v>
      </c>
      <c r="I232" s="20">
        <f t="shared" si="15"/>
        <v>-3.3753538178430312E-2</v>
      </c>
      <c r="J232" s="20">
        <f t="shared" si="16"/>
        <v>-3.8609130086949993E-3</v>
      </c>
      <c r="K232" s="20">
        <f t="shared" si="17"/>
        <v>-6.7883162671205591E-3</v>
      </c>
      <c r="L232" s="20">
        <f t="shared" si="18"/>
        <v>-2.3876554282587941E-3</v>
      </c>
      <c r="M232" s="20">
        <v>1.4996259129818388E-2</v>
      </c>
      <c r="N232" s="20">
        <v>1.6815039259155684E-3</v>
      </c>
      <c r="O232" s="20">
        <v>0.11212822553673306</v>
      </c>
      <c r="P232" s="20">
        <v>0.14000000000000001</v>
      </c>
      <c r="Q232" s="20"/>
      <c r="R232" s="20"/>
      <c r="S232" s="20"/>
      <c r="T232" s="20">
        <v>0.86</v>
      </c>
      <c r="U232" s="25">
        <f t="shared" si="19"/>
        <v>1</v>
      </c>
    </row>
    <row r="233" spans="2:21" x14ac:dyDescent="0.2">
      <c r="B233" s="19">
        <v>37888</v>
      </c>
      <c r="C233" s="10">
        <v>16446</v>
      </c>
      <c r="D233" s="10">
        <v>3414.66</v>
      </c>
      <c r="E233" s="10">
        <v>11008.43</v>
      </c>
      <c r="F233" s="10">
        <v>4221.7</v>
      </c>
      <c r="G233" s="10">
        <v>1388.54</v>
      </c>
      <c r="H233" s="20">
        <f t="shared" si="14"/>
        <v>-2.5505570394541823E-3</v>
      </c>
      <c r="I233" s="20">
        <f t="shared" si="15"/>
        <v>-1.3017236322781182E-2</v>
      </c>
      <c r="J233" s="20">
        <f t="shared" si="16"/>
        <v>1.1923538371030716E-2</v>
      </c>
      <c r="K233" s="20">
        <f t="shared" si="17"/>
        <v>-1.5384800487774487E-3</v>
      </c>
      <c r="L233" s="20">
        <f t="shared" si="18"/>
        <v>1.4968807853579184E-2</v>
      </c>
      <c r="M233" s="20">
        <v>1.1516257910888743E-2</v>
      </c>
      <c r="N233" s="20">
        <v>8.2932371271662202E-4</v>
      </c>
      <c r="O233" s="20">
        <v>7.2013297994350037E-2</v>
      </c>
      <c r="P233" s="20"/>
      <c r="Q233" s="20">
        <v>0.22</v>
      </c>
      <c r="R233" s="20">
        <v>0.11</v>
      </c>
      <c r="S233" s="20">
        <v>0.6</v>
      </c>
      <c r="T233" s="20">
        <v>7.0000000000000173E-2</v>
      </c>
      <c r="U233" s="25">
        <f t="shared" si="19"/>
        <v>1</v>
      </c>
    </row>
    <row r="234" spans="2:21" x14ac:dyDescent="0.2">
      <c r="B234" s="19">
        <v>37889</v>
      </c>
      <c r="C234" s="10">
        <v>16058</v>
      </c>
      <c r="D234" s="10">
        <v>3305.54</v>
      </c>
      <c r="E234" s="10">
        <v>11273.12</v>
      </c>
      <c r="F234" s="10">
        <v>4236.3999999999996</v>
      </c>
      <c r="G234" s="10">
        <v>1344.63</v>
      </c>
      <c r="H234" s="20">
        <f t="shared" si="14"/>
        <v>-2.3875118786211479E-2</v>
      </c>
      <c r="I234" s="20">
        <f t="shared" si="15"/>
        <v>-3.2478078542910994E-2</v>
      </c>
      <c r="J234" s="20">
        <f t="shared" si="16"/>
        <v>2.3759787981421768E-2</v>
      </c>
      <c r="K234" s="20">
        <f t="shared" si="17"/>
        <v>3.4759614572597926E-3</v>
      </c>
      <c r="L234" s="20">
        <f t="shared" si="18"/>
        <v>-3.2133953144034479E-2</v>
      </c>
      <c r="M234" s="20">
        <v>1.0092639108215361E-2</v>
      </c>
      <c r="N234" s="20">
        <v>1.1845737584685104E-3</v>
      </c>
      <c r="O234" s="20">
        <v>0.11737006998538894</v>
      </c>
      <c r="P234" s="20">
        <v>3.0000000000000027E-2</v>
      </c>
      <c r="Q234" s="20"/>
      <c r="R234" s="20">
        <v>0.75</v>
      </c>
      <c r="S234" s="20">
        <v>0.09</v>
      </c>
      <c r="T234" s="20">
        <v>0.13</v>
      </c>
      <c r="U234" s="25">
        <f t="shared" si="19"/>
        <v>1</v>
      </c>
    </row>
    <row r="235" spans="2:21" x14ac:dyDescent="0.2">
      <c r="B235" s="19">
        <v>37890</v>
      </c>
      <c r="C235" s="10">
        <v>15807</v>
      </c>
      <c r="D235" s="10">
        <v>3325.76</v>
      </c>
      <c r="E235" s="10">
        <v>11302.15</v>
      </c>
      <c r="F235" s="10">
        <v>4202.2</v>
      </c>
      <c r="G235" s="10">
        <v>1323.87</v>
      </c>
      <c r="H235" s="20">
        <f t="shared" si="14"/>
        <v>-1.5754287867233829E-2</v>
      </c>
      <c r="I235" s="20">
        <f t="shared" si="15"/>
        <v>6.0983706559260302E-3</v>
      </c>
      <c r="J235" s="20">
        <f t="shared" si="16"/>
        <v>2.5718421973482432E-3</v>
      </c>
      <c r="K235" s="20">
        <f t="shared" si="17"/>
        <v>-8.1056543145653255E-3</v>
      </c>
      <c r="L235" s="20">
        <f t="shared" si="18"/>
        <v>-1.5559616889048333E-2</v>
      </c>
      <c r="M235" s="20">
        <v>1.0287015734427196E-2</v>
      </c>
      <c r="N235" s="20">
        <v>9.412450301764765E-4</v>
      </c>
      <c r="O235" s="20">
        <v>9.1498356226523955E-2</v>
      </c>
      <c r="P235" s="20"/>
      <c r="Q235" s="20">
        <v>0.14000000000000001</v>
      </c>
      <c r="R235" s="20">
        <v>0.5</v>
      </c>
      <c r="S235" s="20">
        <v>0.3600000000000001</v>
      </c>
      <c r="T235" s="20"/>
      <c r="U235" s="25">
        <f t="shared" si="19"/>
        <v>1</v>
      </c>
    </row>
    <row r="236" spans="2:21" x14ac:dyDescent="0.2">
      <c r="B236" s="19">
        <v>37893</v>
      </c>
      <c r="C236" s="10">
        <v>15810</v>
      </c>
      <c r="D236" s="10">
        <v>3324</v>
      </c>
      <c r="E236" s="10">
        <v>11256.06</v>
      </c>
      <c r="F236" s="10">
        <v>4157.1000000000004</v>
      </c>
      <c r="G236" s="10">
        <v>1318.33</v>
      </c>
      <c r="H236" s="20">
        <f t="shared" si="14"/>
        <v>1.8977132612218913E-4</v>
      </c>
      <c r="I236" s="20">
        <f t="shared" si="15"/>
        <v>-5.2934242471810858E-4</v>
      </c>
      <c r="J236" s="20">
        <f t="shared" si="16"/>
        <v>-4.0863228185524392E-3</v>
      </c>
      <c r="K236" s="20">
        <f t="shared" si="17"/>
        <v>-1.0790481882169587E-2</v>
      </c>
      <c r="L236" s="20">
        <f t="shared" si="18"/>
        <v>-4.1934812796439024E-3</v>
      </c>
      <c r="M236" s="20">
        <v>1.1490302679048764E-2</v>
      </c>
      <c r="N236" s="20">
        <v>6.6827393779441129E-4</v>
      </c>
      <c r="O236" s="20">
        <v>5.8159820194548177E-2</v>
      </c>
      <c r="P236" s="20"/>
      <c r="Q236" s="20">
        <v>0.1</v>
      </c>
      <c r="R236" s="20">
        <v>0.11</v>
      </c>
      <c r="S236" s="20">
        <v>0.78999999999999992</v>
      </c>
      <c r="T236" s="20"/>
      <c r="U236" s="25">
        <f t="shared" si="19"/>
        <v>1</v>
      </c>
    </row>
    <row r="237" spans="2:21" x14ac:dyDescent="0.2">
      <c r="B237" s="19">
        <v>37894</v>
      </c>
      <c r="C237" s="10">
        <v>16109</v>
      </c>
      <c r="D237" s="10">
        <v>3317.59</v>
      </c>
      <c r="E237" s="10">
        <v>11227.04</v>
      </c>
      <c r="F237" s="10">
        <v>4142.7</v>
      </c>
      <c r="G237" s="10">
        <v>1323.95</v>
      </c>
      <c r="H237" s="20">
        <f t="shared" ref="H237:H300" si="20">LN(C237/C236)</f>
        <v>1.8735470794447782E-2</v>
      </c>
      <c r="I237" s="20">
        <f t="shared" ref="I237:I300" si="21">LN(D237/D236)</f>
        <v>-1.9302612748621842E-3</v>
      </c>
      <c r="J237" s="20">
        <f t="shared" ref="J237:J300" si="22">LN(E237/E236)</f>
        <v>-2.581495978407288E-3</v>
      </c>
      <c r="K237" s="20">
        <f t="shared" ref="K237:K300" si="23">LN(F237/F236)</f>
        <v>-3.4699666133640459E-3</v>
      </c>
      <c r="L237" s="20">
        <f t="shared" ref="L237:L300" si="24">LN(G237/G236)</f>
        <v>4.2539083479676883E-3</v>
      </c>
      <c r="M237" s="20">
        <v>1.2968557061063665E-2</v>
      </c>
      <c r="N237" s="20">
        <v>2.2011603781602663E-3</v>
      </c>
      <c r="O237" s="20">
        <v>0.1697305542780046</v>
      </c>
      <c r="P237" s="20">
        <v>0.63000000000000012</v>
      </c>
      <c r="Q237" s="20"/>
      <c r="R237" s="20"/>
      <c r="S237" s="20"/>
      <c r="T237" s="20">
        <v>0.37</v>
      </c>
      <c r="U237" s="25">
        <f t="shared" ref="U237:U300" si="25">SUM(P237:T237)</f>
        <v>1</v>
      </c>
    </row>
    <row r="238" spans="2:21" x14ac:dyDescent="0.2">
      <c r="B238" s="19">
        <v>37895</v>
      </c>
      <c r="C238" s="10">
        <v>16010</v>
      </c>
      <c r="D238" s="10">
        <v>3255.76</v>
      </c>
      <c r="E238" s="10">
        <v>11227.04</v>
      </c>
      <c r="F238" s="10">
        <v>4091.3</v>
      </c>
      <c r="G238" s="10">
        <v>1312.43</v>
      </c>
      <c r="H238" s="20">
        <f t="shared" si="20"/>
        <v>-6.1645950072051637E-3</v>
      </c>
      <c r="I238" s="20">
        <f t="shared" si="21"/>
        <v>-1.8812880368476757E-2</v>
      </c>
      <c r="J238" s="20">
        <f t="shared" si="22"/>
        <v>0</v>
      </c>
      <c r="K238" s="20">
        <f t="shared" si="23"/>
        <v>-1.2484981214914486E-2</v>
      </c>
      <c r="L238" s="20">
        <f t="shared" si="24"/>
        <v>-8.7393117232366525E-3</v>
      </c>
      <c r="M238" s="20">
        <v>1.0277010924355708E-2</v>
      </c>
      <c r="N238" s="20">
        <v>1.5452496764138258E-3</v>
      </c>
      <c r="O238" s="20">
        <v>0.15035983592775071</v>
      </c>
      <c r="P238" s="20">
        <v>0.3</v>
      </c>
      <c r="Q238" s="20">
        <v>0.02</v>
      </c>
      <c r="R238" s="20">
        <v>0.1</v>
      </c>
      <c r="S238" s="20">
        <v>0.2599999999999999</v>
      </c>
      <c r="T238" s="20">
        <v>0.32</v>
      </c>
      <c r="U238" s="25">
        <f t="shared" si="25"/>
        <v>1</v>
      </c>
    </row>
    <row r="239" spans="2:21" x14ac:dyDescent="0.2">
      <c r="B239" s="19">
        <v>37896</v>
      </c>
      <c r="C239" s="10">
        <v>16582</v>
      </c>
      <c r="D239" s="10">
        <v>3330.94</v>
      </c>
      <c r="E239" s="10">
        <v>11372.53</v>
      </c>
      <c r="F239" s="10">
        <v>4169.2</v>
      </c>
      <c r="G239" s="10">
        <v>1332.16</v>
      </c>
      <c r="H239" s="20">
        <f t="shared" si="20"/>
        <v>3.5104242685403582E-2</v>
      </c>
      <c r="I239" s="20">
        <f t="shared" si="21"/>
        <v>2.2828811090624655E-2</v>
      </c>
      <c r="J239" s="20">
        <f t="shared" si="22"/>
        <v>1.2875644091069057E-2</v>
      </c>
      <c r="K239" s="20">
        <f t="shared" si="23"/>
        <v>1.8861402920666685E-2</v>
      </c>
      <c r="L239" s="20">
        <f t="shared" si="24"/>
        <v>1.4921304296437969E-2</v>
      </c>
      <c r="M239" s="20">
        <v>1.0963297157137083E-2</v>
      </c>
      <c r="N239" s="20">
        <v>8.206538166839496E-4</v>
      </c>
      <c r="O239" s="20">
        <v>7.4854654117416278E-2</v>
      </c>
      <c r="P239" s="20"/>
      <c r="Q239" s="20">
        <v>0.17</v>
      </c>
      <c r="R239" s="20">
        <v>0.27</v>
      </c>
      <c r="S239" s="20">
        <v>0.55999999999999994</v>
      </c>
      <c r="T239" s="20"/>
      <c r="U239" s="25">
        <f t="shared" si="25"/>
        <v>1</v>
      </c>
    </row>
    <row r="240" spans="2:21" x14ac:dyDescent="0.2">
      <c r="B240" s="19">
        <v>37897</v>
      </c>
      <c r="C240" s="10">
        <v>16898</v>
      </c>
      <c r="D240" s="10">
        <v>3283.38</v>
      </c>
      <c r="E240" s="10">
        <v>11581.51</v>
      </c>
      <c r="F240" s="10">
        <v>4209.1000000000004</v>
      </c>
      <c r="G240" s="10">
        <v>1363.1</v>
      </c>
      <c r="H240" s="20">
        <f t="shared" si="20"/>
        <v>1.8877502036626009E-2</v>
      </c>
      <c r="I240" s="20">
        <f t="shared" si="21"/>
        <v>-1.438116682763662E-2</v>
      </c>
      <c r="J240" s="20">
        <f t="shared" si="22"/>
        <v>1.8209062479535746E-2</v>
      </c>
      <c r="K240" s="20">
        <f t="shared" si="23"/>
        <v>9.5246772356692971E-3</v>
      </c>
      <c r="L240" s="20">
        <f t="shared" si="24"/>
        <v>2.295983257018654E-2</v>
      </c>
      <c r="M240" s="20">
        <v>1.4123718142303426E-2</v>
      </c>
      <c r="N240" s="20">
        <v>2.0279238044249724E-3</v>
      </c>
      <c r="O240" s="20">
        <v>0.14358285714800026</v>
      </c>
      <c r="P240" s="20">
        <v>0.56999999999999995</v>
      </c>
      <c r="Q240" s="20">
        <v>0.43</v>
      </c>
      <c r="R240" s="20">
        <v>1.1102230246251565E-16</v>
      </c>
      <c r="S240" s="20"/>
      <c r="T240" s="20"/>
      <c r="U240" s="25">
        <f t="shared" si="25"/>
        <v>1</v>
      </c>
    </row>
    <row r="241" spans="2:21" x14ac:dyDescent="0.2">
      <c r="B241" s="19">
        <v>37900</v>
      </c>
      <c r="C241" s="10">
        <v>17090</v>
      </c>
      <c r="D241" s="10">
        <v>3414.06</v>
      </c>
      <c r="E241" s="10">
        <v>11715.91</v>
      </c>
      <c r="F241" s="10">
        <v>4274</v>
      </c>
      <c r="G241" s="10">
        <v>1378.2</v>
      </c>
      <c r="H241" s="20">
        <f t="shared" si="20"/>
        <v>1.129822539684648E-2</v>
      </c>
      <c r="I241" s="20">
        <f t="shared" si="21"/>
        <v>3.9028819297407855E-2</v>
      </c>
      <c r="J241" s="20">
        <f t="shared" si="22"/>
        <v>1.1537886252835456E-2</v>
      </c>
      <c r="K241" s="20">
        <f t="shared" si="23"/>
        <v>1.5301308778256544E-2</v>
      </c>
      <c r="L241" s="20">
        <f t="shared" si="24"/>
        <v>1.1016782346310289E-2</v>
      </c>
      <c r="M241" s="20">
        <v>1.032247063989955E-2</v>
      </c>
      <c r="N241" s="20">
        <v>7.7656776718496565E-4</v>
      </c>
      <c r="O241" s="20">
        <v>7.5230804162647893E-2</v>
      </c>
      <c r="P241" s="20"/>
      <c r="Q241" s="20"/>
      <c r="R241" s="20"/>
      <c r="S241" s="20">
        <v>0.75</v>
      </c>
      <c r="T241" s="20">
        <v>0.25000000000000011</v>
      </c>
      <c r="U241" s="25">
        <f t="shared" si="25"/>
        <v>1</v>
      </c>
    </row>
    <row r="242" spans="2:21" x14ac:dyDescent="0.2">
      <c r="B242" s="19">
        <v>37901</v>
      </c>
      <c r="C242" s="10">
        <v>17278</v>
      </c>
      <c r="D242" s="10">
        <v>3407.72</v>
      </c>
      <c r="E242" s="10">
        <v>11709.24</v>
      </c>
      <c r="F242" s="10">
        <v>4270.1000000000004</v>
      </c>
      <c r="G242" s="10">
        <v>1372.09</v>
      </c>
      <c r="H242" s="20">
        <f t="shared" si="20"/>
        <v>1.0940518809192825E-2</v>
      </c>
      <c r="I242" s="20">
        <f t="shared" si="21"/>
        <v>-1.8587529428893805E-3</v>
      </c>
      <c r="J242" s="20">
        <f t="shared" si="22"/>
        <v>-5.6947342324438705E-4</v>
      </c>
      <c r="K242" s="20">
        <f t="shared" si="23"/>
        <v>-9.1291072690076816E-4</v>
      </c>
      <c r="L242" s="20">
        <f t="shared" si="24"/>
        <v>-4.4431751210715787E-3</v>
      </c>
      <c r="M242" s="20">
        <v>1.0556532643402264E-2</v>
      </c>
      <c r="N242" s="20">
        <v>6.6139011701206582E-4</v>
      </c>
      <c r="O242" s="20">
        <v>6.2652211607134897E-2</v>
      </c>
      <c r="P242" s="20"/>
      <c r="Q242" s="20"/>
      <c r="R242" s="20">
        <v>0.22</v>
      </c>
      <c r="S242" s="20">
        <v>0.77999999999999992</v>
      </c>
      <c r="T242" s="20"/>
      <c r="U242" s="25">
        <f t="shared" si="25"/>
        <v>0.99999999999999989</v>
      </c>
    </row>
    <row r="243" spans="2:21" x14ac:dyDescent="0.2">
      <c r="B243" s="19">
        <v>37902</v>
      </c>
      <c r="C243" s="10">
        <v>17474</v>
      </c>
      <c r="D243" s="10">
        <v>3357.7</v>
      </c>
      <c r="E243" s="10">
        <v>11754.71</v>
      </c>
      <c r="F243" s="10">
        <v>4272</v>
      </c>
      <c r="G243" s="10">
        <v>1398.46</v>
      </c>
      <c r="H243" s="20">
        <f t="shared" si="20"/>
        <v>1.128004593921038E-2</v>
      </c>
      <c r="I243" s="20">
        <f t="shared" si="21"/>
        <v>-1.4787230195174554E-2</v>
      </c>
      <c r="J243" s="20">
        <f t="shared" si="22"/>
        <v>3.8757376245988242E-3</v>
      </c>
      <c r="K243" s="20">
        <f t="shared" si="23"/>
        <v>4.4485548783875E-4</v>
      </c>
      <c r="L243" s="20">
        <f t="shared" si="24"/>
        <v>1.9036506357281019E-2</v>
      </c>
      <c r="M243" s="20">
        <v>1.4159173434704696E-2</v>
      </c>
      <c r="N243" s="20">
        <v>1.7981614968276436E-3</v>
      </c>
      <c r="O243" s="20">
        <v>0.12699621945588141</v>
      </c>
      <c r="P243" s="20">
        <v>0.25000000000000011</v>
      </c>
      <c r="Q243" s="20"/>
      <c r="R243" s="20"/>
      <c r="S243" s="20"/>
      <c r="T243" s="20">
        <v>0.75</v>
      </c>
      <c r="U243" s="25">
        <f t="shared" si="25"/>
        <v>1</v>
      </c>
    </row>
    <row r="244" spans="2:21" x14ac:dyDescent="0.2">
      <c r="B244" s="19">
        <v>37903</v>
      </c>
      <c r="C244" s="10">
        <v>17805</v>
      </c>
      <c r="D244" s="10">
        <v>3395.03</v>
      </c>
      <c r="E244" s="10">
        <v>11762.26</v>
      </c>
      <c r="F244" s="10">
        <v>4268.6000000000004</v>
      </c>
      <c r="G244" s="10">
        <v>1404.88</v>
      </c>
      <c r="H244" s="20">
        <f t="shared" si="20"/>
        <v>1.8765254853838165E-2</v>
      </c>
      <c r="I244" s="20">
        <f t="shared" si="21"/>
        <v>1.1056381723723302E-2</v>
      </c>
      <c r="J244" s="20">
        <f t="shared" si="22"/>
        <v>6.4208954294648962E-4</v>
      </c>
      <c r="K244" s="20">
        <f t="shared" si="23"/>
        <v>-7.9619703056301035E-4</v>
      </c>
      <c r="L244" s="20">
        <f t="shared" si="24"/>
        <v>4.5802587082823089E-3</v>
      </c>
      <c r="M244" s="20">
        <v>1.3128194712138254E-2</v>
      </c>
      <c r="N244" s="20">
        <v>2.2966074816337819E-3</v>
      </c>
      <c r="O244" s="20">
        <v>0.17493703681210271</v>
      </c>
      <c r="P244" s="20">
        <v>0.72000000000000008</v>
      </c>
      <c r="Q244" s="20"/>
      <c r="R244" s="20"/>
      <c r="S244" s="20"/>
      <c r="T244" s="20">
        <v>0.28000000000000003</v>
      </c>
      <c r="U244" s="25">
        <f t="shared" si="25"/>
        <v>1</v>
      </c>
    </row>
    <row r="245" spans="2:21" x14ac:dyDescent="0.2">
      <c r="B245" s="19">
        <v>37904</v>
      </c>
      <c r="C245" s="10">
        <v>17699</v>
      </c>
      <c r="D245" s="10">
        <v>3479.22</v>
      </c>
      <c r="E245" s="10">
        <v>11943.51</v>
      </c>
      <c r="F245" s="10">
        <v>4313.8999999999996</v>
      </c>
      <c r="G245" s="10">
        <v>1399.18</v>
      </c>
      <c r="H245" s="20">
        <f t="shared" si="20"/>
        <v>-5.971175921124389E-3</v>
      </c>
      <c r="I245" s="20">
        <f t="shared" si="21"/>
        <v>2.4495533236770301E-2</v>
      </c>
      <c r="J245" s="20">
        <f t="shared" si="22"/>
        <v>1.5291933735412639E-2</v>
      </c>
      <c r="K245" s="20">
        <f t="shared" si="23"/>
        <v>1.0556462727896504E-2</v>
      </c>
      <c r="L245" s="20">
        <f t="shared" si="24"/>
        <v>-4.0655391475838158E-3</v>
      </c>
      <c r="M245" s="20">
        <v>1.2045060587124469E-2</v>
      </c>
      <c r="N245" s="20">
        <v>1.3635576289943484E-3</v>
      </c>
      <c r="O245" s="20">
        <v>0.11320471317943551</v>
      </c>
      <c r="P245" s="20">
        <v>0</v>
      </c>
      <c r="Q245" s="20">
        <v>0.15</v>
      </c>
      <c r="R245" s="20">
        <v>0.33999999999999986</v>
      </c>
      <c r="S245" s="20"/>
      <c r="T245" s="20">
        <v>0.51</v>
      </c>
      <c r="U245" s="25">
        <f t="shared" si="25"/>
        <v>0.99999999999999989</v>
      </c>
    </row>
    <row r="246" spans="2:21" x14ac:dyDescent="0.2">
      <c r="B246" s="19">
        <v>37907</v>
      </c>
      <c r="C246" s="10">
        <v>17676</v>
      </c>
      <c r="D246" s="10">
        <v>3480.13</v>
      </c>
      <c r="E246" s="10">
        <v>11957.38</v>
      </c>
      <c r="F246" s="10">
        <v>4311</v>
      </c>
      <c r="G246" s="10">
        <v>1412.37</v>
      </c>
      <c r="H246" s="20">
        <f t="shared" si="20"/>
        <v>-1.3003535401232E-3</v>
      </c>
      <c r="I246" s="20">
        <f t="shared" si="21"/>
        <v>2.61518677803833E-4</v>
      </c>
      <c r="J246" s="20">
        <f t="shared" si="22"/>
        <v>1.16062636637956E-3</v>
      </c>
      <c r="K246" s="20">
        <f t="shared" si="23"/>
        <v>-6.7247159022955144E-4</v>
      </c>
      <c r="L246" s="20">
        <f t="shared" si="24"/>
        <v>9.3827936668332106E-3</v>
      </c>
      <c r="M246" s="20">
        <v>1.0377555350026029E-2</v>
      </c>
      <c r="N246" s="20">
        <v>9.6820503180567331E-4</v>
      </c>
      <c r="O246" s="20">
        <v>9.3297987738821822E-2</v>
      </c>
      <c r="P246" s="20"/>
      <c r="Q246" s="20"/>
      <c r="R246" s="20"/>
      <c r="S246" s="20">
        <v>0.56000000000000005</v>
      </c>
      <c r="T246" s="20">
        <v>0.43999999999999995</v>
      </c>
      <c r="U246" s="25">
        <f t="shared" si="25"/>
        <v>1</v>
      </c>
    </row>
    <row r="247" spans="2:21" x14ac:dyDescent="0.2">
      <c r="B247" s="19">
        <v>37908</v>
      </c>
      <c r="C247" s="10">
        <v>18063</v>
      </c>
      <c r="D247" s="10">
        <v>3543.17</v>
      </c>
      <c r="E247" s="10">
        <v>12065.35</v>
      </c>
      <c r="F247" s="10">
        <v>4362.3</v>
      </c>
      <c r="G247" s="10">
        <v>1411.53</v>
      </c>
      <c r="H247" s="20">
        <f t="shared" si="20"/>
        <v>2.1657859881926877E-2</v>
      </c>
      <c r="I247" s="20">
        <f t="shared" si="21"/>
        <v>1.7952157257958946E-2</v>
      </c>
      <c r="J247" s="20">
        <f t="shared" si="22"/>
        <v>8.9890472085181108E-3</v>
      </c>
      <c r="K247" s="20">
        <f t="shared" si="23"/>
        <v>1.1829545440415194E-2</v>
      </c>
      <c r="L247" s="20">
        <f t="shared" si="24"/>
        <v>-5.9492193404523796E-4</v>
      </c>
      <c r="M247" s="20">
        <v>1.393570554349606E-2</v>
      </c>
      <c r="N247" s="20">
        <v>1.8036688155971732E-3</v>
      </c>
      <c r="O247" s="20">
        <v>0.12942787933969832</v>
      </c>
      <c r="P247" s="20">
        <v>0.26</v>
      </c>
      <c r="Q247" s="20">
        <v>2.0000000000000018E-2</v>
      </c>
      <c r="R247" s="20"/>
      <c r="S247" s="20"/>
      <c r="T247" s="20">
        <v>0.72</v>
      </c>
      <c r="U247" s="25">
        <f t="shared" si="25"/>
        <v>1</v>
      </c>
    </row>
    <row r="248" spans="2:21" x14ac:dyDescent="0.2">
      <c r="B248" s="19">
        <v>37909</v>
      </c>
      <c r="C248" s="10">
        <v>18176</v>
      </c>
      <c r="D248" s="10">
        <v>3542.25</v>
      </c>
      <c r="E248" s="10">
        <v>11900</v>
      </c>
      <c r="F248" s="10">
        <v>4334.1000000000004</v>
      </c>
      <c r="G248" s="10">
        <v>1439.97</v>
      </c>
      <c r="H248" s="20">
        <f t="shared" si="20"/>
        <v>6.2363953883204041E-3</v>
      </c>
      <c r="I248" s="20">
        <f t="shared" si="21"/>
        <v>-2.5968820625178117E-4</v>
      </c>
      <c r="J248" s="20">
        <f t="shared" si="22"/>
        <v>-1.3799308070446306E-2</v>
      </c>
      <c r="K248" s="20">
        <f t="shared" si="23"/>
        <v>-6.485464984104271E-3</v>
      </c>
      <c r="L248" s="20">
        <f t="shared" si="24"/>
        <v>1.9948057566892701E-2</v>
      </c>
      <c r="M248" s="20">
        <v>1.4054415181796754E-2</v>
      </c>
      <c r="N248" s="20">
        <v>2.0542321868132806E-3</v>
      </c>
      <c r="O248" s="20">
        <v>0.14616276524077054</v>
      </c>
      <c r="P248" s="20">
        <v>0.59</v>
      </c>
      <c r="Q248" s="20">
        <v>0.40999999999999992</v>
      </c>
      <c r="R248" s="20"/>
      <c r="S248" s="20"/>
      <c r="T248" s="20"/>
      <c r="U248" s="25">
        <f t="shared" si="25"/>
        <v>0.99999999999999989</v>
      </c>
    </row>
    <row r="249" spans="2:21" x14ac:dyDescent="0.2">
      <c r="B249" s="19">
        <v>37910</v>
      </c>
      <c r="C249" s="10">
        <v>17944</v>
      </c>
      <c r="D249" s="10">
        <v>3568.72</v>
      </c>
      <c r="E249" s="10">
        <v>12041.83</v>
      </c>
      <c r="F249" s="10">
        <v>4368.8</v>
      </c>
      <c r="G249" s="10">
        <v>1411.23</v>
      </c>
      <c r="H249" s="20">
        <f t="shared" si="20"/>
        <v>-1.2846245320833647E-2</v>
      </c>
      <c r="I249" s="20">
        <f t="shared" si="21"/>
        <v>7.4448696199224318E-3</v>
      </c>
      <c r="J249" s="20">
        <f t="shared" si="22"/>
        <v>1.1848021568853326E-2</v>
      </c>
      <c r="K249" s="20">
        <f t="shared" si="23"/>
        <v>7.9743956344985878E-3</v>
      </c>
      <c r="L249" s="20">
        <f t="shared" si="24"/>
        <v>-2.0160615489726672E-2</v>
      </c>
      <c r="M249" s="20">
        <v>1.1286071671928853E-2</v>
      </c>
      <c r="N249" s="20">
        <v>1.1194976091378113E-3</v>
      </c>
      <c r="O249" s="20">
        <v>9.919284952994481E-2</v>
      </c>
      <c r="P249" s="20"/>
      <c r="Q249" s="20"/>
      <c r="R249" s="20"/>
      <c r="S249" s="20">
        <v>0.41</v>
      </c>
      <c r="T249" s="20">
        <v>0.59000000000000008</v>
      </c>
      <c r="U249" s="25">
        <f t="shared" si="25"/>
        <v>1</v>
      </c>
    </row>
    <row r="250" spans="2:21" x14ac:dyDescent="0.2">
      <c r="B250" s="19">
        <v>37911</v>
      </c>
      <c r="C250" s="10">
        <v>17923</v>
      </c>
      <c r="D250" s="10">
        <v>3577.64</v>
      </c>
      <c r="E250" s="10">
        <v>12070.72</v>
      </c>
      <c r="F250" s="10">
        <v>4339.7</v>
      </c>
      <c r="G250" s="10">
        <v>1423.99</v>
      </c>
      <c r="H250" s="20">
        <f t="shared" si="20"/>
        <v>-1.1709929684469683E-3</v>
      </c>
      <c r="I250" s="20">
        <f t="shared" si="21"/>
        <v>2.4963770737488327E-3</v>
      </c>
      <c r="J250" s="20">
        <f t="shared" si="22"/>
        <v>2.3962636738176324E-3</v>
      </c>
      <c r="K250" s="20">
        <f t="shared" si="23"/>
        <v>-6.683150556659666E-3</v>
      </c>
      <c r="L250" s="20">
        <f t="shared" si="24"/>
        <v>9.0011259453837526E-3</v>
      </c>
      <c r="M250" s="20">
        <v>1.0799674767893144E-2</v>
      </c>
      <c r="N250" s="20">
        <v>6.7570604896354024E-4</v>
      </c>
      <c r="O250" s="20">
        <v>6.2567259059724489E-2</v>
      </c>
      <c r="P250" s="20"/>
      <c r="Q250" s="20"/>
      <c r="R250" s="20"/>
      <c r="S250" s="20">
        <v>0.85</v>
      </c>
      <c r="T250" s="20">
        <v>0.15000000000000002</v>
      </c>
      <c r="U250" s="25">
        <f t="shared" si="25"/>
        <v>1</v>
      </c>
    </row>
    <row r="251" spans="2:21" x14ac:dyDescent="0.2">
      <c r="B251" s="19">
        <v>37914</v>
      </c>
      <c r="C251" s="10">
        <v>17791</v>
      </c>
      <c r="D251" s="10">
        <v>3520.54</v>
      </c>
      <c r="E251" s="10">
        <v>11985.4</v>
      </c>
      <c r="F251" s="10">
        <v>4344</v>
      </c>
      <c r="G251" s="10">
        <v>1395.41</v>
      </c>
      <c r="H251" s="20">
        <f t="shared" si="20"/>
        <v>-7.3920927968218059E-3</v>
      </c>
      <c r="I251" s="20">
        <f t="shared" si="21"/>
        <v>-1.6088978220926663E-2</v>
      </c>
      <c r="J251" s="20">
        <f t="shared" si="22"/>
        <v>-7.0934429785930123E-3</v>
      </c>
      <c r="K251" s="20">
        <f t="shared" si="23"/>
        <v>9.9036133248710007E-4</v>
      </c>
      <c r="L251" s="20">
        <f t="shared" si="24"/>
        <v>-2.0274511591997078E-2</v>
      </c>
      <c r="M251" s="20">
        <v>1.4087878221483125E-2</v>
      </c>
      <c r="N251" s="20">
        <v>8.7112533160571776E-4</v>
      </c>
      <c r="O251" s="20">
        <v>6.1835098082925408E-2</v>
      </c>
      <c r="P251" s="20"/>
      <c r="Q251" s="20">
        <v>0.46</v>
      </c>
      <c r="R251" s="20">
        <v>0</v>
      </c>
      <c r="S251" s="20">
        <v>0.53999999999999992</v>
      </c>
      <c r="T251" s="20"/>
      <c r="U251" s="25">
        <f t="shared" si="25"/>
        <v>1</v>
      </c>
    </row>
    <row r="252" spans="2:21" x14ac:dyDescent="0.2">
      <c r="B252" s="19">
        <v>37915</v>
      </c>
      <c r="C252" s="10">
        <v>18370</v>
      </c>
      <c r="D252" s="10">
        <v>3567.35</v>
      </c>
      <c r="E252" s="10">
        <v>12190.08</v>
      </c>
      <c r="F252" s="10">
        <v>4347.5</v>
      </c>
      <c r="G252" s="10">
        <v>1413.01</v>
      </c>
      <c r="H252" s="20">
        <f t="shared" si="20"/>
        <v>3.202618777439583E-2</v>
      </c>
      <c r="I252" s="20">
        <f t="shared" si="21"/>
        <v>1.3208636299066497E-2</v>
      </c>
      <c r="J252" s="20">
        <f t="shared" si="22"/>
        <v>1.6933263846441615E-2</v>
      </c>
      <c r="K252" s="20">
        <f t="shared" si="23"/>
        <v>8.0538461466672087E-4</v>
      </c>
      <c r="L252" s="20">
        <f t="shared" si="24"/>
        <v>1.2533901916963365E-2</v>
      </c>
      <c r="M252" s="20">
        <v>1.383981491350712E-2</v>
      </c>
      <c r="N252" s="20">
        <v>2.2910076283080591E-3</v>
      </c>
      <c r="O252" s="20">
        <v>0.16553744704144308</v>
      </c>
      <c r="P252" s="20">
        <v>0.77</v>
      </c>
      <c r="Q252" s="20">
        <v>0.22999999999999998</v>
      </c>
      <c r="R252" s="20"/>
      <c r="S252" s="20"/>
      <c r="T252" s="20"/>
      <c r="U252" s="25">
        <f t="shared" si="25"/>
        <v>1</v>
      </c>
    </row>
    <row r="253" spans="2:21" x14ac:dyDescent="0.2">
      <c r="B253" s="19">
        <v>37916</v>
      </c>
      <c r="C253" s="10">
        <v>18449</v>
      </c>
      <c r="D253" s="10">
        <v>3560.93</v>
      </c>
      <c r="E253" s="10">
        <v>12240.54</v>
      </c>
      <c r="F253" s="10">
        <v>4352.3</v>
      </c>
      <c r="G253" s="10">
        <v>1403.76</v>
      </c>
      <c r="H253" s="20">
        <f t="shared" si="20"/>
        <v>4.2912692485940788E-3</v>
      </c>
      <c r="I253" s="20">
        <f t="shared" si="21"/>
        <v>-1.8012765311855238E-3</v>
      </c>
      <c r="J253" s="20">
        <f t="shared" si="22"/>
        <v>4.1308875300811732E-3</v>
      </c>
      <c r="K253" s="20">
        <f t="shared" si="23"/>
        <v>1.1034737550431235E-3</v>
      </c>
      <c r="L253" s="20">
        <f t="shared" si="24"/>
        <v>-6.5678299974396177E-3</v>
      </c>
      <c r="M253" s="20">
        <v>1.2626317807267806E-2</v>
      </c>
      <c r="N253" s="20">
        <v>2.304250138018498E-3</v>
      </c>
      <c r="O253" s="20">
        <v>0.18249581336311319</v>
      </c>
      <c r="P253" s="20">
        <v>0.8</v>
      </c>
      <c r="Q253" s="20">
        <v>0</v>
      </c>
      <c r="R253" s="20">
        <v>0.19999999999999984</v>
      </c>
      <c r="S253" s="20"/>
      <c r="T253" s="20"/>
      <c r="U253" s="25">
        <f t="shared" si="25"/>
        <v>0.99999999999999989</v>
      </c>
    </row>
    <row r="254" spans="2:21" x14ac:dyDescent="0.2">
      <c r="B254" s="19">
        <v>37917</v>
      </c>
      <c r="C254" s="10">
        <v>18235</v>
      </c>
      <c r="D254" s="10">
        <v>3486.91</v>
      </c>
      <c r="E254" s="10">
        <v>12027.91</v>
      </c>
      <c r="F254" s="10">
        <v>4285.6000000000004</v>
      </c>
      <c r="G254" s="10">
        <v>1371.9</v>
      </c>
      <c r="H254" s="20">
        <f t="shared" si="20"/>
        <v>-1.1667344214984807E-2</v>
      </c>
      <c r="I254" s="20">
        <f t="shared" si="21"/>
        <v>-2.1005789494391327E-2</v>
      </c>
      <c r="J254" s="20">
        <f t="shared" si="22"/>
        <v>-1.7523611200534178E-2</v>
      </c>
      <c r="K254" s="20">
        <f t="shared" si="23"/>
        <v>-1.5443875416730505E-2</v>
      </c>
      <c r="L254" s="20">
        <f t="shared" si="24"/>
        <v>-2.2957710470760791E-2</v>
      </c>
      <c r="M254" s="20">
        <v>1.0725350755565655E-2</v>
      </c>
      <c r="N254" s="20">
        <v>1.1034511089223886E-3</v>
      </c>
      <c r="O254" s="20">
        <v>0.10288251956233505</v>
      </c>
      <c r="P254" s="20"/>
      <c r="Q254" s="20"/>
      <c r="R254" s="20">
        <v>0.93</v>
      </c>
      <c r="S254" s="20">
        <v>6.999999999999984E-2</v>
      </c>
      <c r="T254" s="20"/>
      <c r="U254" s="25">
        <f t="shared" si="25"/>
        <v>0.99999999999999989</v>
      </c>
    </row>
    <row r="255" spans="2:21" x14ac:dyDescent="0.2">
      <c r="B255" s="19">
        <v>37918</v>
      </c>
      <c r="C255" s="10">
        <v>17687</v>
      </c>
      <c r="D255" s="10">
        <v>3495.21</v>
      </c>
      <c r="E255" s="10">
        <v>11792.87</v>
      </c>
      <c r="F255" s="10">
        <v>4240.2</v>
      </c>
      <c r="G255" s="10">
        <v>1360.55</v>
      </c>
      <c r="H255" s="20">
        <f t="shared" si="20"/>
        <v>-3.0512917807986973E-2</v>
      </c>
      <c r="I255" s="20">
        <f t="shared" si="21"/>
        <v>2.3775025091685455E-3</v>
      </c>
      <c r="J255" s="20">
        <f t="shared" si="22"/>
        <v>-1.9734670998986147E-2</v>
      </c>
      <c r="K255" s="20">
        <f t="shared" si="23"/>
        <v>-1.0650127641887084E-2</v>
      </c>
      <c r="L255" s="20">
        <f t="shared" si="24"/>
        <v>-8.3076105897130943E-3</v>
      </c>
      <c r="M255" s="20">
        <v>1.4367156485985241E-2</v>
      </c>
      <c r="N255" s="20">
        <v>2.5277830698028371E-3</v>
      </c>
      <c r="O255" s="20">
        <v>0.17594177889470466</v>
      </c>
      <c r="P255" s="20">
        <v>0.95</v>
      </c>
      <c r="Q255" s="20">
        <v>5.0000000000000155E-2</v>
      </c>
      <c r="R255" s="20"/>
      <c r="S255" s="20"/>
      <c r="T255" s="20"/>
      <c r="U255" s="25">
        <f t="shared" si="25"/>
        <v>1</v>
      </c>
    </row>
    <row r="256" spans="2:21" x14ac:dyDescent="0.2">
      <c r="B256" s="19">
        <v>37921</v>
      </c>
      <c r="C256" s="10">
        <v>17820</v>
      </c>
      <c r="D256" s="10">
        <v>3459.07</v>
      </c>
      <c r="E256" s="10">
        <v>11749.87</v>
      </c>
      <c r="F256" s="10">
        <v>4239</v>
      </c>
      <c r="G256" s="10">
        <v>1378.95</v>
      </c>
      <c r="H256" s="20">
        <f t="shared" si="20"/>
        <v>7.4915155900065443E-3</v>
      </c>
      <c r="I256" s="20">
        <f t="shared" si="21"/>
        <v>-1.0393692904601889E-2</v>
      </c>
      <c r="J256" s="20">
        <f t="shared" si="22"/>
        <v>-3.6529348593876028E-3</v>
      </c>
      <c r="K256" s="20">
        <f t="shared" si="23"/>
        <v>-2.8304557222649367E-4</v>
      </c>
      <c r="L256" s="20">
        <f t="shared" si="24"/>
        <v>1.3433310235467151E-2</v>
      </c>
      <c r="M256" s="20">
        <v>1.7613123556929056E-2</v>
      </c>
      <c r="N256" s="20">
        <v>1.2637138712285616E-3</v>
      </c>
      <c r="O256" s="20">
        <v>7.1748424811986997E-2</v>
      </c>
      <c r="P256" s="20"/>
      <c r="Q256" s="20">
        <v>0.89</v>
      </c>
      <c r="R256" s="20">
        <v>0.10999999999999999</v>
      </c>
      <c r="S256" s="20"/>
      <c r="T256" s="20"/>
      <c r="U256" s="25">
        <f t="shared" si="25"/>
        <v>1</v>
      </c>
    </row>
    <row r="257" spans="2:21" x14ac:dyDescent="0.2">
      <c r="B257" s="19">
        <v>37922</v>
      </c>
      <c r="C257" s="10">
        <v>17750</v>
      </c>
      <c r="D257" s="10">
        <v>3531.98</v>
      </c>
      <c r="E257" s="10">
        <v>11844.02</v>
      </c>
      <c r="F257" s="10">
        <v>4251.3</v>
      </c>
      <c r="G257" s="10">
        <v>1385.57</v>
      </c>
      <c r="H257" s="20">
        <f t="shared" si="20"/>
        <v>-3.9359061212384866E-3</v>
      </c>
      <c r="I257" s="20">
        <f t="shared" si="21"/>
        <v>2.0858853398525109E-2</v>
      </c>
      <c r="J257" s="20">
        <f t="shared" si="22"/>
        <v>7.9809221574527866E-3</v>
      </c>
      <c r="K257" s="20">
        <f t="shared" si="23"/>
        <v>2.8974261462973465E-3</v>
      </c>
      <c r="L257" s="20">
        <f t="shared" si="24"/>
        <v>4.7892673256972615E-3</v>
      </c>
      <c r="M257" s="20">
        <v>1.0311235047610692E-2</v>
      </c>
      <c r="N257" s="20">
        <v>1.5426688341147188E-3</v>
      </c>
      <c r="O257" s="20">
        <v>0.14961048089696918</v>
      </c>
      <c r="P257" s="20">
        <v>0.37999999999999989</v>
      </c>
      <c r="Q257" s="20"/>
      <c r="R257" s="20"/>
      <c r="S257" s="20">
        <v>0.39</v>
      </c>
      <c r="T257" s="20">
        <v>0.23</v>
      </c>
      <c r="U257" s="25">
        <f t="shared" si="25"/>
        <v>0.99999999999999989</v>
      </c>
    </row>
    <row r="258" spans="2:21" x14ac:dyDescent="0.2">
      <c r="B258" s="19">
        <v>37923</v>
      </c>
      <c r="C258" s="10">
        <v>18228</v>
      </c>
      <c r="D258" s="10">
        <v>3597.52</v>
      </c>
      <c r="E258" s="10">
        <v>12294.91</v>
      </c>
      <c r="F258" s="10">
        <v>4272.8999999999996</v>
      </c>
      <c r="G258" s="10">
        <v>1414.18</v>
      </c>
      <c r="H258" s="20">
        <f t="shared" si="20"/>
        <v>2.6573357480211217E-2</v>
      </c>
      <c r="I258" s="20">
        <f t="shared" si="21"/>
        <v>1.838609896866835E-2</v>
      </c>
      <c r="J258" s="20">
        <f t="shared" si="22"/>
        <v>3.7362256735934914E-2</v>
      </c>
      <c r="K258" s="20">
        <f t="shared" si="23"/>
        <v>5.0679351097155682E-3</v>
      </c>
      <c r="L258" s="20">
        <f t="shared" si="24"/>
        <v>2.0438250495318208E-2</v>
      </c>
      <c r="M258" s="20">
        <v>1.5904108076560286E-2</v>
      </c>
      <c r="N258" s="20">
        <v>1.5754515887227729E-3</v>
      </c>
      <c r="O258" s="20">
        <v>9.905941163998358E-2</v>
      </c>
      <c r="P258" s="20">
        <v>4.0000000000000036E-2</v>
      </c>
      <c r="Q258" s="20"/>
      <c r="R258" s="20"/>
      <c r="S258" s="20"/>
      <c r="T258" s="20">
        <v>0.96</v>
      </c>
      <c r="U258" s="25">
        <f t="shared" si="25"/>
        <v>1</v>
      </c>
    </row>
    <row r="259" spans="2:21" x14ac:dyDescent="0.2">
      <c r="B259" s="19">
        <v>37924</v>
      </c>
      <c r="C259" s="10">
        <v>17945</v>
      </c>
      <c r="D259" s="10">
        <v>3620</v>
      </c>
      <c r="E259" s="10">
        <v>12202.46</v>
      </c>
      <c r="F259" s="10">
        <v>4265.7</v>
      </c>
      <c r="G259" s="10">
        <v>1437.65</v>
      </c>
      <c r="H259" s="20">
        <f t="shared" si="20"/>
        <v>-1.5647348802065524E-2</v>
      </c>
      <c r="I259" s="20">
        <f t="shared" si="21"/>
        <v>6.2293066574860001E-3</v>
      </c>
      <c r="J259" s="20">
        <f t="shared" si="22"/>
        <v>-7.5477848355710126E-3</v>
      </c>
      <c r="K259" s="20">
        <f t="shared" si="23"/>
        <v>-1.6864595382117293E-3</v>
      </c>
      <c r="L259" s="20">
        <f t="shared" si="24"/>
        <v>1.6459978254848021E-2</v>
      </c>
      <c r="M259" s="20">
        <v>1.73570973225694E-2</v>
      </c>
      <c r="N259" s="20">
        <v>1.2610918648413591E-3</v>
      </c>
      <c r="O259" s="20">
        <v>7.2655688990207121E-2</v>
      </c>
      <c r="P259" s="20"/>
      <c r="Q259" s="20">
        <v>0.87</v>
      </c>
      <c r="R259" s="20">
        <v>0.12999999999999989</v>
      </c>
      <c r="S259" s="20"/>
      <c r="T259" s="20"/>
      <c r="U259" s="25">
        <f t="shared" si="25"/>
        <v>0.99999999999999989</v>
      </c>
    </row>
    <row r="260" spans="2:21" x14ac:dyDescent="0.2">
      <c r="B260" s="19">
        <v>37925</v>
      </c>
      <c r="C260" s="10">
        <v>18095</v>
      </c>
      <c r="D260" s="10">
        <v>3639.36</v>
      </c>
      <c r="E260" s="10">
        <v>12139.97</v>
      </c>
      <c r="F260" s="10">
        <v>4300.8999999999996</v>
      </c>
      <c r="G260" s="10">
        <v>1423.39</v>
      </c>
      <c r="H260" s="20">
        <f t="shared" si="20"/>
        <v>8.3241324161352718E-3</v>
      </c>
      <c r="I260" s="20">
        <f t="shared" si="21"/>
        <v>5.3338161762629295E-3</v>
      </c>
      <c r="J260" s="20">
        <f t="shared" si="22"/>
        <v>-5.1342562983810215E-3</v>
      </c>
      <c r="K260" s="20">
        <f t="shared" si="23"/>
        <v>8.2180090361206933E-3</v>
      </c>
      <c r="L260" s="20">
        <f t="shared" si="24"/>
        <v>-9.9684856453085002E-3</v>
      </c>
      <c r="M260" s="20">
        <v>1.0739186444701761E-2</v>
      </c>
      <c r="N260" s="20">
        <v>9.2544854448617874E-4</v>
      </c>
      <c r="O260" s="20">
        <v>8.6174921094023277E-2</v>
      </c>
      <c r="P260" s="20"/>
      <c r="Q260" s="20">
        <v>0.2</v>
      </c>
      <c r="R260" s="20">
        <v>0.24</v>
      </c>
      <c r="S260" s="20">
        <v>0.46</v>
      </c>
      <c r="T260" s="20">
        <v>0.10000000000000009</v>
      </c>
      <c r="U260" s="25">
        <f t="shared" si="25"/>
        <v>1</v>
      </c>
    </row>
    <row r="261" spans="2:21" x14ac:dyDescent="0.2">
      <c r="B261" s="19">
        <v>37928</v>
      </c>
      <c r="C261" s="10">
        <v>17983</v>
      </c>
      <c r="D261" s="10">
        <v>3657.61</v>
      </c>
      <c r="E261" s="10">
        <v>12222.44</v>
      </c>
      <c r="F261" s="10">
        <v>4287.6000000000004</v>
      </c>
      <c r="G261" s="10">
        <v>1423.13</v>
      </c>
      <c r="H261" s="20">
        <f t="shared" si="20"/>
        <v>-6.2087898326459784E-3</v>
      </c>
      <c r="I261" s="20">
        <f t="shared" si="21"/>
        <v>5.0020866339201301E-3</v>
      </c>
      <c r="J261" s="20">
        <f t="shared" si="22"/>
        <v>6.7702920206613145E-3</v>
      </c>
      <c r="K261" s="20">
        <f t="shared" si="23"/>
        <v>-3.0971672891947286E-3</v>
      </c>
      <c r="L261" s="20">
        <f t="shared" si="24"/>
        <v>-1.8267920177835901E-4</v>
      </c>
      <c r="M261" s="20">
        <v>1.0384409819039785E-2</v>
      </c>
      <c r="N261" s="20">
        <v>8.7337787736752536E-4</v>
      </c>
      <c r="O261" s="20">
        <v>8.41047197276623E-2</v>
      </c>
      <c r="P261" s="20"/>
      <c r="Q261" s="20">
        <v>0.14000000000000001</v>
      </c>
      <c r="R261" s="20">
        <v>0.31</v>
      </c>
      <c r="S261" s="20">
        <v>0.5</v>
      </c>
      <c r="T261" s="20">
        <v>5.0000000000000044E-2</v>
      </c>
      <c r="U261" s="25">
        <f t="shared" si="25"/>
        <v>1</v>
      </c>
    </row>
    <row r="262" spans="2:21" x14ac:dyDescent="0.2">
      <c r="B262" s="19">
        <v>37929</v>
      </c>
      <c r="C262" s="10">
        <v>18519</v>
      </c>
      <c r="D262" s="10">
        <v>3742.53</v>
      </c>
      <c r="E262" s="10">
        <v>12503.58</v>
      </c>
      <c r="F262" s="10">
        <v>4332.6000000000004</v>
      </c>
      <c r="G262" s="10">
        <v>1434.35</v>
      </c>
      <c r="H262" s="20">
        <f t="shared" si="20"/>
        <v>2.9370364896808793E-2</v>
      </c>
      <c r="I262" s="20">
        <f t="shared" si="21"/>
        <v>2.2951924663719453E-2</v>
      </c>
      <c r="J262" s="20">
        <f t="shared" si="22"/>
        <v>2.2741396824331343E-2</v>
      </c>
      <c r="K262" s="20">
        <f t="shared" si="23"/>
        <v>1.0440687867826606E-2</v>
      </c>
      <c r="L262" s="20">
        <f t="shared" si="24"/>
        <v>7.8531136964700293E-3</v>
      </c>
      <c r="M262" s="20">
        <v>1.0293138345401874E-2</v>
      </c>
      <c r="N262" s="20">
        <v>1.0536414196930565E-3</v>
      </c>
      <c r="O262" s="20">
        <v>0.10236347597171241</v>
      </c>
      <c r="P262" s="20"/>
      <c r="Q262" s="20"/>
      <c r="R262" s="20">
        <v>0.85</v>
      </c>
      <c r="S262" s="20">
        <v>0.14999999999999991</v>
      </c>
      <c r="T262" s="20"/>
      <c r="U262" s="25">
        <f t="shared" si="25"/>
        <v>0.99999999999999989</v>
      </c>
    </row>
    <row r="263" spans="2:21" x14ac:dyDescent="0.2">
      <c r="B263" s="19">
        <v>37930</v>
      </c>
      <c r="C263" s="10">
        <v>18545</v>
      </c>
      <c r="D263" s="10">
        <v>3737.32</v>
      </c>
      <c r="E263" s="10">
        <v>12391.74</v>
      </c>
      <c r="F263" s="10">
        <v>4330.3</v>
      </c>
      <c r="G263" s="10">
        <v>1428.04</v>
      </c>
      <c r="H263" s="20">
        <f t="shared" si="20"/>
        <v>1.4029788616856758E-3</v>
      </c>
      <c r="I263" s="20">
        <f t="shared" si="21"/>
        <v>-1.3930762896503276E-3</v>
      </c>
      <c r="J263" s="20">
        <f t="shared" si="22"/>
        <v>-8.9848816873910851E-3</v>
      </c>
      <c r="K263" s="20">
        <f t="shared" si="23"/>
        <v>-5.3100002402024923E-4</v>
      </c>
      <c r="L263" s="20">
        <f t="shared" si="24"/>
        <v>-4.4089101914149614E-3</v>
      </c>
      <c r="M263" s="20">
        <v>9.892342209237617E-3</v>
      </c>
      <c r="N263" s="20">
        <v>9.3206800782126803E-4</v>
      </c>
      <c r="O263" s="20">
        <v>9.4221165029136272E-2</v>
      </c>
      <c r="P263" s="20"/>
      <c r="Q263" s="20">
        <v>7.0000000000000007E-2</v>
      </c>
      <c r="R263" s="20">
        <v>0.56999999999999995</v>
      </c>
      <c r="S263" s="20">
        <v>0.3600000000000001</v>
      </c>
      <c r="T263" s="20"/>
      <c r="U263" s="25">
        <f t="shared" si="25"/>
        <v>1</v>
      </c>
    </row>
    <row r="264" spans="2:21" x14ac:dyDescent="0.2">
      <c r="B264" s="19">
        <v>37931</v>
      </c>
      <c r="C264" s="10">
        <v>18307</v>
      </c>
      <c r="D264" s="10">
        <v>3719.85</v>
      </c>
      <c r="E264" s="10">
        <v>12341.04</v>
      </c>
      <c r="F264" s="10">
        <v>4303.3999999999996</v>
      </c>
      <c r="G264" s="10">
        <v>1439.22</v>
      </c>
      <c r="H264" s="20">
        <f t="shared" si="20"/>
        <v>-1.2916710572676524E-2</v>
      </c>
      <c r="I264" s="20">
        <f t="shared" si="21"/>
        <v>-4.6854321304991009E-3</v>
      </c>
      <c r="J264" s="20">
        <f t="shared" si="22"/>
        <v>-4.099827921994037E-3</v>
      </c>
      <c r="K264" s="20">
        <f t="shared" si="23"/>
        <v>-6.2314157418200782E-3</v>
      </c>
      <c r="L264" s="20">
        <f t="shared" si="24"/>
        <v>7.7984254372887715E-3</v>
      </c>
      <c r="M264" s="20">
        <v>9.2026942973642174E-3</v>
      </c>
      <c r="N264" s="20">
        <v>1.6310027256458426E-3</v>
      </c>
      <c r="O264" s="20">
        <v>0.17723100137238992</v>
      </c>
      <c r="P264" s="20">
        <v>0.52</v>
      </c>
      <c r="Q264" s="20">
        <v>0.04</v>
      </c>
      <c r="R264" s="20">
        <v>0.05</v>
      </c>
      <c r="S264" s="20">
        <v>0.01</v>
      </c>
      <c r="T264" s="20">
        <v>0.11</v>
      </c>
      <c r="U264" s="25">
        <f t="shared" si="25"/>
        <v>0.73000000000000009</v>
      </c>
    </row>
    <row r="265" spans="2:21" x14ac:dyDescent="0.2">
      <c r="B265" s="19">
        <v>37932</v>
      </c>
      <c r="C265" s="10">
        <v>18614</v>
      </c>
      <c r="D265" s="10">
        <v>3744.41</v>
      </c>
      <c r="E265" s="10">
        <v>12205.19</v>
      </c>
      <c r="F265" s="10">
        <v>4324.2</v>
      </c>
      <c r="G265" s="10">
        <v>1450.47</v>
      </c>
      <c r="H265" s="20">
        <f t="shared" si="20"/>
        <v>1.6630485394641101E-2</v>
      </c>
      <c r="I265" s="20">
        <f t="shared" si="21"/>
        <v>6.5807162752979575E-3</v>
      </c>
      <c r="J265" s="20">
        <f t="shared" si="22"/>
        <v>-1.1069022580052714E-2</v>
      </c>
      <c r="K265" s="20">
        <f t="shared" si="23"/>
        <v>4.8217442390997792E-3</v>
      </c>
      <c r="L265" s="20">
        <f t="shared" si="24"/>
        <v>7.7863416753107349E-3</v>
      </c>
      <c r="M265" s="20">
        <v>1.4111664700453743E-2</v>
      </c>
      <c r="N265" s="20">
        <v>2.4488579226379114E-3</v>
      </c>
      <c r="O265" s="20">
        <v>0.17353430474855114</v>
      </c>
      <c r="P265" s="20">
        <v>0.89</v>
      </c>
      <c r="Q265" s="20">
        <v>0.10999999999999999</v>
      </c>
      <c r="R265" s="20"/>
      <c r="S265" s="20"/>
      <c r="T265" s="20"/>
      <c r="U265" s="25">
        <f t="shared" si="25"/>
        <v>1</v>
      </c>
    </row>
    <row r="266" spans="2:21" x14ac:dyDescent="0.2">
      <c r="B266" s="19">
        <v>37935</v>
      </c>
      <c r="C266" s="10">
        <v>18672</v>
      </c>
      <c r="D266" s="10">
        <v>3778.27</v>
      </c>
      <c r="E266" s="10">
        <v>12224.79</v>
      </c>
      <c r="F266" s="10">
        <v>4376.8999999999996</v>
      </c>
      <c r="G266" s="10">
        <v>1435.87</v>
      </c>
      <c r="H266" s="20">
        <f t="shared" si="20"/>
        <v>3.1110897806814687E-3</v>
      </c>
      <c r="I266" s="20">
        <f t="shared" si="21"/>
        <v>9.0021717433168176E-3</v>
      </c>
      <c r="J266" s="20">
        <f t="shared" si="22"/>
        <v>1.604586185116612E-3</v>
      </c>
      <c r="K266" s="20">
        <f t="shared" si="23"/>
        <v>1.2113559072803147E-2</v>
      </c>
      <c r="L266" s="20">
        <f t="shared" si="24"/>
        <v>-1.0116704562065721E-2</v>
      </c>
      <c r="M266" s="20">
        <v>1.3009110546230461E-2</v>
      </c>
      <c r="N266" s="20">
        <v>2.0845028072481913E-3</v>
      </c>
      <c r="O266" s="20">
        <v>0.16023407594550726</v>
      </c>
      <c r="P266" s="20">
        <v>0.52</v>
      </c>
      <c r="Q266" s="20"/>
      <c r="R266" s="20"/>
      <c r="S266" s="20"/>
      <c r="T266" s="20">
        <v>0.48</v>
      </c>
      <c r="U266" s="25">
        <f t="shared" si="25"/>
        <v>1</v>
      </c>
    </row>
    <row r="267" spans="2:21" x14ac:dyDescent="0.2">
      <c r="B267" s="19">
        <v>37936</v>
      </c>
      <c r="C267" s="10">
        <v>18572</v>
      </c>
      <c r="D267" s="10">
        <v>3739.47</v>
      </c>
      <c r="E267" s="10">
        <v>12011.36</v>
      </c>
      <c r="F267" s="10">
        <v>4341.8</v>
      </c>
      <c r="G267" s="10">
        <v>1412.5</v>
      </c>
      <c r="H267" s="20">
        <f t="shared" si="20"/>
        <v>-5.3700053865249021E-3</v>
      </c>
      <c r="I267" s="20">
        <f t="shared" si="21"/>
        <v>-1.0322342755538874E-2</v>
      </c>
      <c r="J267" s="20">
        <f t="shared" si="22"/>
        <v>-1.7612988650911935E-2</v>
      </c>
      <c r="K267" s="20">
        <f t="shared" si="23"/>
        <v>-8.0517025765983619E-3</v>
      </c>
      <c r="L267" s="20">
        <f t="shared" si="24"/>
        <v>-1.6409753241642878E-2</v>
      </c>
      <c r="M267" s="20">
        <v>1.0526202932202378E-2</v>
      </c>
      <c r="N267" s="20">
        <v>1.5704140745656265E-3</v>
      </c>
      <c r="O267" s="20">
        <v>0.14919093662552557</v>
      </c>
      <c r="P267" s="20">
        <v>0.28000000000000003</v>
      </c>
      <c r="Q267" s="20">
        <v>0.14000000000000001</v>
      </c>
      <c r="R267" s="20">
        <v>0.57999999999999985</v>
      </c>
      <c r="S267" s="20"/>
      <c r="T267" s="20"/>
      <c r="U267" s="25">
        <f t="shared" si="25"/>
        <v>0.99999999999999989</v>
      </c>
    </row>
    <row r="268" spans="2:21" x14ac:dyDescent="0.2">
      <c r="B268" s="19">
        <v>37937</v>
      </c>
      <c r="C268" s="10">
        <v>18409</v>
      </c>
      <c r="D268" s="10">
        <v>3730.14</v>
      </c>
      <c r="E268" s="10">
        <v>12021.36</v>
      </c>
      <c r="F268" s="10">
        <v>4345.1000000000004</v>
      </c>
      <c r="G268" s="10">
        <v>1414.21</v>
      </c>
      <c r="H268" s="20">
        <f t="shared" si="20"/>
        <v>-8.8153946932502808E-3</v>
      </c>
      <c r="I268" s="20">
        <f t="shared" si="21"/>
        <v>-2.4981236910850526E-3</v>
      </c>
      <c r="J268" s="20">
        <f t="shared" si="22"/>
        <v>8.3219881704011561E-4</v>
      </c>
      <c r="K268" s="20">
        <f t="shared" si="23"/>
        <v>7.597647397212232E-4</v>
      </c>
      <c r="L268" s="20">
        <f t="shared" si="24"/>
        <v>1.2098872601685679E-3</v>
      </c>
      <c r="M268" s="20">
        <v>1.4598173478091841E-2</v>
      </c>
      <c r="N268" s="20">
        <v>1.8963818924834291E-3</v>
      </c>
      <c r="O268" s="20">
        <v>0.12990542243722597</v>
      </c>
      <c r="P268" s="20">
        <v>0.47</v>
      </c>
      <c r="Q268" s="20">
        <v>0.53000000000000014</v>
      </c>
      <c r="R268" s="20"/>
      <c r="S268" s="20"/>
      <c r="T268" s="20"/>
      <c r="U268" s="25">
        <f t="shared" si="25"/>
        <v>1</v>
      </c>
    </row>
    <row r="269" spans="2:21" x14ac:dyDescent="0.2">
      <c r="B269" s="19">
        <v>37938</v>
      </c>
      <c r="C269" s="10">
        <v>18795</v>
      </c>
      <c r="D269" s="10">
        <v>3756.3</v>
      </c>
      <c r="E269" s="10">
        <v>12116.86</v>
      </c>
      <c r="F269" s="10">
        <v>4371.2</v>
      </c>
      <c r="G269" s="10">
        <v>1434.75</v>
      </c>
      <c r="H269" s="20">
        <f t="shared" si="20"/>
        <v>2.0751201551716249E-2</v>
      </c>
      <c r="I269" s="20">
        <f t="shared" si="21"/>
        <v>6.9886638974509365E-3</v>
      </c>
      <c r="J269" s="20">
        <f t="shared" si="22"/>
        <v>7.9128037022056074E-3</v>
      </c>
      <c r="K269" s="20">
        <f t="shared" si="23"/>
        <v>5.9887975420400219E-3</v>
      </c>
      <c r="L269" s="20">
        <f t="shared" si="24"/>
        <v>1.4419546707707554E-2</v>
      </c>
      <c r="M269" s="20">
        <v>1.5017412479529058E-2</v>
      </c>
      <c r="N269" s="20">
        <v>9.6157190377293045E-4</v>
      </c>
      <c r="O269" s="20">
        <v>6.403046497415546E-2</v>
      </c>
      <c r="P269" s="20"/>
      <c r="Q269" s="20">
        <v>0.57999999999999996</v>
      </c>
      <c r="R269" s="20">
        <v>0</v>
      </c>
      <c r="S269" s="20">
        <v>0.41999999999999993</v>
      </c>
      <c r="T269" s="20"/>
      <c r="U269" s="25">
        <f t="shared" si="25"/>
        <v>0.99999999999999989</v>
      </c>
    </row>
    <row r="270" spans="2:21" x14ac:dyDescent="0.2">
      <c r="B270" s="19">
        <v>37939</v>
      </c>
      <c r="C270" s="10">
        <v>18763</v>
      </c>
      <c r="D270" s="10">
        <v>3752.18</v>
      </c>
      <c r="E270" s="10">
        <v>12219.58</v>
      </c>
      <c r="F270" s="10">
        <v>4373</v>
      </c>
      <c r="G270" s="10">
        <v>1438.99</v>
      </c>
      <c r="H270" s="20">
        <f t="shared" si="20"/>
        <v>-1.7040315109038053E-3</v>
      </c>
      <c r="I270" s="20">
        <f t="shared" si="21"/>
        <v>-1.0974259539857747E-3</v>
      </c>
      <c r="J270" s="20">
        <f t="shared" si="22"/>
        <v>8.4417120997404178E-3</v>
      </c>
      <c r="K270" s="20">
        <f t="shared" si="23"/>
        <v>4.1170147650433739E-4</v>
      </c>
      <c r="L270" s="20">
        <f t="shared" si="24"/>
        <v>2.9508606044228911E-3</v>
      </c>
      <c r="M270" s="20">
        <v>1.2104896698148375E-2</v>
      </c>
      <c r="N270" s="20">
        <v>1.6005671480184543E-3</v>
      </c>
      <c r="O270" s="20">
        <v>0.13222476721038726</v>
      </c>
      <c r="P270" s="20">
        <v>0.28000000000000003</v>
      </c>
      <c r="Q270" s="20">
        <v>0.37</v>
      </c>
      <c r="R270" s="20">
        <v>0.35</v>
      </c>
      <c r="S270" s="20"/>
      <c r="T270" s="20"/>
      <c r="U270" s="25">
        <f t="shared" si="25"/>
        <v>1</v>
      </c>
    </row>
    <row r="271" spans="2:21" x14ac:dyDescent="0.2">
      <c r="B271" s="19">
        <v>37942</v>
      </c>
      <c r="C271" s="10">
        <v>18985</v>
      </c>
      <c r="D271" s="10">
        <v>3792.89</v>
      </c>
      <c r="E271" s="10">
        <v>11950.48</v>
      </c>
      <c r="F271" s="10">
        <v>4397</v>
      </c>
      <c r="G271" s="10">
        <v>1399.38</v>
      </c>
      <c r="H271" s="20">
        <f t="shared" si="20"/>
        <v>1.17623481785282E-2</v>
      </c>
      <c r="I271" s="20">
        <f t="shared" si="21"/>
        <v>1.0791257088411246E-2</v>
      </c>
      <c r="J271" s="20">
        <f t="shared" si="22"/>
        <v>-2.2268138332508083E-2</v>
      </c>
      <c r="K271" s="20">
        <f t="shared" si="23"/>
        <v>5.4732177678894463E-3</v>
      </c>
      <c r="L271" s="20">
        <f t="shared" si="24"/>
        <v>-2.7912197222587563E-2</v>
      </c>
      <c r="M271" s="20">
        <v>1.1443542192633299E-2</v>
      </c>
      <c r="N271" s="20">
        <v>1.177187660450882E-3</v>
      </c>
      <c r="O271" s="20">
        <v>0.10286916766110132</v>
      </c>
      <c r="P271" s="20"/>
      <c r="Q271" s="20">
        <v>0.23</v>
      </c>
      <c r="R271" s="20">
        <v>0.77</v>
      </c>
      <c r="S271" s="20"/>
      <c r="T271" s="20"/>
      <c r="U271" s="25">
        <f t="shared" si="25"/>
        <v>1</v>
      </c>
    </row>
    <row r="272" spans="2:21" x14ac:dyDescent="0.2">
      <c r="B272" s="19">
        <v>37943</v>
      </c>
      <c r="C272" s="10">
        <v>18669</v>
      </c>
      <c r="D272" s="10">
        <v>3693.08</v>
      </c>
      <c r="E272" s="10">
        <v>11966.96</v>
      </c>
      <c r="F272" s="10">
        <v>4338.8999999999996</v>
      </c>
      <c r="G272" s="10">
        <v>1401.46</v>
      </c>
      <c r="H272" s="20">
        <f t="shared" si="20"/>
        <v>-1.678479942857514E-2</v>
      </c>
      <c r="I272" s="20">
        <f t="shared" si="21"/>
        <v>-2.6667463254576623E-2</v>
      </c>
      <c r="J272" s="20">
        <f t="shared" si="22"/>
        <v>1.3780741256656862E-3</v>
      </c>
      <c r="K272" s="20">
        <f t="shared" si="23"/>
        <v>-1.3301630433014213E-2</v>
      </c>
      <c r="L272" s="20">
        <f t="shared" si="24"/>
        <v>1.4852689781475544E-3</v>
      </c>
      <c r="M272" s="20">
        <v>1.1103742306070523E-2</v>
      </c>
      <c r="N272" s="20">
        <v>1.1408083758443876E-3</v>
      </c>
      <c r="O272" s="20">
        <v>0.10274089080946129</v>
      </c>
      <c r="P272" s="20"/>
      <c r="Q272" s="20"/>
      <c r="R272" s="20">
        <v>0.99</v>
      </c>
      <c r="S272" s="20">
        <v>9.9999999999998979E-3</v>
      </c>
      <c r="T272" s="20"/>
      <c r="U272" s="25">
        <f t="shared" si="25"/>
        <v>0.99999999999999989</v>
      </c>
    </row>
    <row r="273" spans="2:21" x14ac:dyDescent="0.2">
      <c r="B273" s="19">
        <v>37944</v>
      </c>
      <c r="C273" s="10">
        <v>18819</v>
      </c>
      <c r="D273" s="10">
        <v>3659.97</v>
      </c>
      <c r="E273" s="10">
        <v>11839.3</v>
      </c>
      <c r="F273" s="10">
        <v>4354.7</v>
      </c>
      <c r="G273" s="10">
        <v>1368.47</v>
      </c>
      <c r="H273" s="20">
        <f t="shared" si="20"/>
        <v>8.0026035275253329E-3</v>
      </c>
      <c r="I273" s="20">
        <f t="shared" si="21"/>
        <v>-9.0058475823534736E-3</v>
      </c>
      <c r="J273" s="20">
        <f t="shared" si="22"/>
        <v>-1.0725012974029075E-2</v>
      </c>
      <c r="K273" s="20">
        <f t="shared" si="23"/>
        <v>3.634861828491574E-3</v>
      </c>
      <c r="L273" s="20">
        <f t="shared" si="24"/>
        <v>-2.3821222920210796E-2</v>
      </c>
      <c r="M273" s="20">
        <v>1.0666632172008018E-2</v>
      </c>
      <c r="N273" s="20">
        <v>1.0972248977687219E-3</v>
      </c>
      <c r="O273" s="20">
        <v>0.1028651668188317</v>
      </c>
      <c r="P273" s="20"/>
      <c r="Q273" s="20"/>
      <c r="R273" s="20">
        <v>0.92</v>
      </c>
      <c r="S273" s="20">
        <v>7.999999999999996E-2</v>
      </c>
      <c r="T273" s="20"/>
      <c r="U273" s="25">
        <f t="shared" si="25"/>
        <v>1</v>
      </c>
    </row>
    <row r="274" spans="2:21" x14ac:dyDescent="0.2">
      <c r="B274" s="19">
        <v>37945</v>
      </c>
      <c r="C274" s="10">
        <v>18815</v>
      </c>
      <c r="D274" s="10">
        <v>3663.63</v>
      </c>
      <c r="E274" s="10">
        <v>11926.04</v>
      </c>
      <c r="F274" s="10">
        <v>4327.3999999999996</v>
      </c>
      <c r="G274" s="10">
        <v>1365.73</v>
      </c>
      <c r="H274" s="20">
        <f t="shared" si="20"/>
        <v>-2.1257373731534463E-4</v>
      </c>
      <c r="I274" s="20">
        <f t="shared" si="21"/>
        <v>9.9950852168359267E-4</v>
      </c>
      <c r="J274" s="20">
        <f t="shared" si="22"/>
        <v>7.2997386252382388E-3</v>
      </c>
      <c r="K274" s="20">
        <f t="shared" si="23"/>
        <v>-6.288821822958166E-3</v>
      </c>
      <c r="L274" s="20">
        <f t="shared" si="24"/>
        <v>-2.0042432281565884E-3</v>
      </c>
      <c r="M274" s="20">
        <v>1.2886241582534257E-2</v>
      </c>
      <c r="N274" s="20">
        <v>1.8002085159265449E-3</v>
      </c>
      <c r="O274" s="20">
        <v>0.13970004398850555</v>
      </c>
      <c r="P274" s="20">
        <v>0.3</v>
      </c>
      <c r="Q274" s="20">
        <v>0.19999999999999996</v>
      </c>
      <c r="R274" s="20"/>
      <c r="S274" s="20"/>
      <c r="T274" s="20">
        <v>0.5</v>
      </c>
      <c r="U274" s="25">
        <f t="shared" si="25"/>
        <v>1</v>
      </c>
    </row>
    <row r="275" spans="2:21" x14ac:dyDescent="0.2">
      <c r="B275" s="19">
        <v>37946</v>
      </c>
      <c r="C275" s="10">
        <v>19197</v>
      </c>
      <c r="D275" s="10">
        <v>3637.62</v>
      </c>
      <c r="E275" s="10">
        <v>11718.51</v>
      </c>
      <c r="F275" s="10">
        <v>4308</v>
      </c>
      <c r="G275" s="10">
        <v>1370.63</v>
      </c>
      <c r="H275" s="20">
        <f t="shared" si="20"/>
        <v>2.0099592780032212E-2</v>
      </c>
      <c r="I275" s="20">
        <f t="shared" si="21"/>
        <v>-7.1248375358688928E-3</v>
      </c>
      <c r="J275" s="20">
        <f t="shared" si="22"/>
        <v>-1.7554601750758007E-2</v>
      </c>
      <c r="K275" s="20">
        <f t="shared" si="23"/>
        <v>-4.4931404770500154E-3</v>
      </c>
      <c r="L275" s="20">
        <f t="shared" si="24"/>
        <v>3.5814039362275642E-3</v>
      </c>
      <c r="M275" s="20">
        <v>1.2000009016157286E-2</v>
      </c>
      <c r="N275" s="20">
        <v>9.0575110348088846E-4</v>
      </c>
      <c r="O275" s="20">
        <v>7.5479201912377697E-2</v>
      </c>
      <c r="P275" s="20"/>
      <c r="Q275" s="20">
        <v>0.31</v>
      </c>
      <c r="R275" s="20">
        <v>0.14000000000000001</v>
      </c>
      <c r="S275" s="20">
        <v>0.49</v>
      </c>
      <c r="T275" s="20">
        <v>6.0000000000000053E-2</v>
      </c>
      <c r="U275" s="25">
        <f t="shared" si="25"/>
        <v>1</v>
      </c>
    </row>
    <row r="276" spans="2:21" x14ac:dyDescent="0.2">
      <c r="B276" s="19">
        <v>37949</v>
      </c>
      <c r="C276" s="10">
        <v>19258</v>
      </c>
      <c r="D276" s="10">
        <v>3642.7</v>
      </c>
      <c r="E276" s="10">
        <v>11854.97</v>
      </c>
      <c r="F276" s="10">
        <v>4319</v>
      </c>
      <c r="G276" s="10">
        <v>1385.2</v>
      </c>
      <c r="H276" s="20">
        <f t="shared" si="20"/>
        <v>3.1725419926593593E-3</v>
      </c>
      <c r="I276" s="20">
        <f t="shared" si="21"/>
        <v>1.3955432795424313E-3</v>
      </c>
      <c r="J276" s="20">
        <f t="shared" si="22"/>
        <v>1.1577545975385342E-2</v>
      </c>
      <c r="K276" s="20">
        <f t="shared" si="23"/>
        <v>2.5501346844219713E-3</v>
      </c>
      <c r="L276" s="20">
        <f t="shared" si="24"/>
        <v>1.0574045391951791E-2</v>
      </c>
      <c r="M276" s="20">
        <v>1.0444953040813672E-2</v>
      </c>
      <c r="N276" s="20">
        <v>1.0723200531540561E-3</v>
      </c>
      <c r="O276" s="20">
        <v>0.10266394199801222</v>
      </c>
      <c r="P276" s="20"/>
      <c r="Q276" s="20"/>
      <c r="R276" s="20">
        <v>0.88</v>
      </c>
      <c r="S276" s="20">
        <v>0.12000000000000011</v>
      </c>
      <c r="T276" s="20"/>
      <c r="U276" s="25">
        <f t="shared" si="25"/>
        <v>1</v>
      </c>
    </row>
    <row r="277" spans="2:21" x14ac:dyDescent="0.2">
      <c r="B277" s="19">
        <v>37950</v>
      </c>
      <c r="C277" s="10">
        <v>19694</v>
      </c>
      <c r="D277" s="10">
        <v>3744.47</v>
      </c>
      <c r="E277" s="10">
        <v>12006.31</v>
      </c>
      <c r="F277" s="10">
        <v>4382.3999999999996</v>
      </c>
      <c r="G277" s="10">
        <v>1418.26</v>
      </c>
      <c r="H277" s="20">
        <f t="shared" si="20"/>
        <v>2.2387462007518191E-2</v>
      </c>
      <c r="I277" s="20">
        <f t="shared" si="21"/>
        <v>2.7554920000895902E-2</v>
      </c>
      <c r="J277" s="20">
        <f t="shared" si="22"/>
        <v>1.2685155983080039E-2</v>
      </c>
      <c r="K277" s="20">
        <f t="shared" si="23"/>
        <v>1.457262554811262E-2</v>
      </c>
      <c r="L277" s="20">
        <f t="shared" si="24"/>
        <v>2.3586234596615484E-2</v>
      </c>
      <c r="M277" s="20">
        <v>1.5199720240778335E-2</v>
      </c>
      <c r="N277" s="20">
        <v>1.5419057377296201E-3</v>
      </c>
      <c r="O277" s="20">
        <v>0.10144303403643852</v>
      </c>
      <c r="P277" s="20">
        <v>0.03</v>
      </c>
      <c r="Q277" s="20">
        <v>8.9999999999999969E-2</v>
      </c>
      <c r="R277" s="20"/>
      <c r="S277" s="20"/>
      <c r="T277" s="20">
        <v>0.88</v>
      </c>
      <c r="U277" s="25">
        <f t="shared" si="25"/>
        <v>1</v>
      </c>
    </row>
    <row r="278" spans="2:21" x14ac:dyDescent="0.2">
      <c r="B278" s="19">
        <v>37951</v>
      </c>
      <c r="C278" s="10">
        <v>19810</v>
      </c>
      <c r="D278" s="10">
        <v>3731.29</v>
      </c>
      <c r="E278" s="10">
        <v>12010.71</v>
      </c>
      <c r="F278" s="10">
        <v>4388.7</v>
      </c>
      <c r="G278" s="10">
        <v>1422.01</v>
      </c>
      <c r="H278" s="20">
        <f t="shared" si="20"/>
        <v>5.8728398848492715E-3</v>
      </c>
      <c r="I278" s="20">
        <f t="shared" si="21"/>
        <v>-3.5260665553027079E-3</v>
      </c>
      <c r="J278" s="20">
        <f t="shared" si="22"/>
        <v>3.6640682726050527E-4</v>
      </c>
      <c r="K278" s="20">
        <f t="shared" si="23"/>
        <v>1.4365361433363384E-3</v>
      </c>
      <c r="L278" s="20">
        <f t="shared" si="24"/>
        <v>2.6405955623814417E-3</v>
      </c>
      <c r="M278" s="20">
        <v>1.1545579285161931E-2</v>
      </c>
      <c r="N278" s="20">
        <v>1.1497561246042386E-3</v>
      </c>
      <c r="O278" s="20">
        <v>9.9584100217636931E-2</v>
      </c>
      <c r="P278" s="20"/>
      <c r="Q278" s="20"/>
      <c r="R278" s="20"/>
      <c r="S278" s="20">
        <v>0.38</v>
      </c>
      <c r="T278" s="20">
        <v>0.62</v>
      </c>
      <c r="U278" s="25">
        <f t="shared" si="25"/>
        <v>1</v>
      </c>
    </row>
    <row r="279" spans="2:21" x14ac:dyDescent="0.2">
      <c r="B279" s="19">
        <v>37952</v>
      </c>
      <c r="C279" s="10">
        <v>19695</v>
      </c>
      <c r="D279" s="10">
        <v>3741.63</v>
      </c>
      <c r="E279" s="10">
        <v>12075.97</v>
      </c>
      <c r="F279" s="10">
        <v>4370.3</v>
      </c>
      <c r="G279" s="10">
        <v>1422.01</v>
      </c>
      <c r="H279" s="20">
        <f t="shared" si="20"/>
        <v>-5.8220642875903388E-3</v>
      </c>
      <c r="I279" s="20">
        <f t="shared" si="21"/>
        <v>2.7673269883064324E-3</v>
      </c>
      <c r="J279" s="20">
        <f t="shared" si="22"/>
        <v>5.4187758285009786E-3</v>
      </c>
      <c r="K279" s="20">
        <f t="shared" si="23"/>
        <v>-4.2013990332262427E-3</v>
      </c>
      <c r="L279" s="20">
        <f t="shared" si="24"/>
        <v>0</v>
      </c>
      <c r="M279" s="20">
        <v>1.3012197457991469E-2</v>
      </c>
      <c r="N279" s="20">
        <v>1.3538898013726916E-3</v>
      </c>
      <c r="O279" s="20">
        <v>0.10404774487503625</v>
      </c>
      <c r="P279" s="20">
        <v>0.01</v>
      </c>
      <c r="Q279" s="20">
        <v>6.0000000000000164E-2</v>
      </c>
      <c r="R279" s="20">
        <v>0.06</v>
      </c>
      <c r="S279" s="20">
        <v>0.15</v>
      </c>
      <c r="T279" s="20">
        <v>0.72</v>
      </c>
      <c r="U279" s="25">
        <f t="shared" si="25"/>
        <v>1</v>
      </c>
    </row>
    <row r="280" spans="2:21" x14ac:dyDescent="0.2">
      <c r="B280" s="19">
        <v>37953</v>
      </c>
      <c r="C280" s="10">
        <v>19962</v>
      </c>
      <c r="D280" s="10">
        <v>3748.23</v>
      </c>
      <c r="E280" s="10">
        <v>12108.79</v>
      </c>
      <c r="F280" s="10">
        <v>4361.1000000000004</v>
      </c>
      <c r="G280" s="10">
        <v>1417.41</v>
      </c>
      <c r="H280" s="20">
        <f t="shared" si="20"/>
        <v>1.3465669841525368E-2</v>
      </c>
      <c r="I280" s="20">
        <f t="shared" si="21"/>
        <v>1.762383197628944E-3</v>
      </c>
      <c r="J280" s="20">
        <f t="shared" si="22"/>
        <v>2.7141075741127308E-3</v>
      </c>
      <c r="K280" s="20">
        <f t="shared" si="23"/>
        <v>-2.1073375185348517E-3</v>
      </c>
      <c r="L280" s="20">
        <f t="shared" si="24"/>
        <v>-3.2401011645551382E-3</v>
      </c>
      <c r="M280" s="20">
        <v>1.383981491350712E-2</v>
      </c>
      <c r="N280" s="20">
        <v>2.2910076283080591E-3</v>
      </c>
      <c r="O280" s="20">
        <v>0.16553744704144308</v>
      </c>
      <c r="P280" s="20">
        <v>0.77</v>
      </c>
      <c r="Q280" s="20">
        <v>0.22999999999999998</v>
      </c>
      <c r="R280" s="20"/>
      <c r="S280" s="20"/>
      <c r="T280" s="20"/>
      <c r="U280" s="25">
        <f t="shared" si="25"/>
        <v>1</v>
      </c>
    </row>
    <row r="281" spans="2:21" x14ac:dyDescent="0.2">
      <c r="B281" s="19">
        <v>37956</v>
      </c>
      <c r="C281" s="10">
        <v>20184</v>
      </c>
      <c r="D281" s="10">
        <v>3752.72</v>
      </c>
      <c r="E281" s="10">
        <v>12306.26</v>
      </c>
      <c r="F281" s="10">
        <v>4342.6000000000004</v>
      </c>
      <c r="G281" s="10">
        <v>1434.1</v>
      </c>
      <c r="H281" s="20">
        <f t="shared" si="20"/>
        <v>1.1059745074361894E-2</v>
      </c>
      <c r="I281" s="20">
        <f t="shared" si="21"/>
        <v>1.1971818333070116E-3</v>
      </c>
      <c r="J281" s="20">
        <f t="shared" si="22"/>
        <v>1.6176440850888762E-2</v>
      </c>
      <c r="K281" s="20">
        <f t="shared" si="23"/>
        <v>-4.2510720407172888E-3</v>
      </c>
      <c r="L281" s="20">
        <f t="shared" si="24"/>
        <v>1.1706212212457765E-2</v>
      </c>
      <c r="M281" s="20">
        <v>1.2783432032757516E-2</v>
      </c>
      <c r="N281" s="20">
        <v>1.78110352456618E-3</v>
      </c>
      <c r="O281" s="20">
        <v>0.13932905654773353</v>
      </c>
      <c r="P281" s="20">
        <v>0.30999999999999994</v>
      </c>
      <c r="Q281" s="20"/>
      <c r="R281" s="20"/>
      <c r="S281" s="20">
        <v>0.08</v>
      </c>
      <c r="T281" s="20">
        <v>0.61</v>
      </c>
      <c r="U281" s="25">
        <f t="shared" si="25"/>
        <v>1</v>
      </c>
    </row>
    <row r="282" spans="2:21" x14ac:dyDescent="0.2">
      <c r="B282" s="19">
        <v>37957</v>
      </c>
      <c r="C282" s="10">
        <v>20523</v>
      </c>
      <c r="D282" s="10">
        <v>3821.64</v>
      </c>
      <c r="E282" s="10">
        <v>12526.23</v>
      </c>
      <c r="F282" s="10">
        <v>4410</v>
      </c>
      <c r="G282" s="10">
        <v>1441.71</v>
      </c>
      <c r="H282" s="20">
        <f t="shared" si="20"/>
        <v>1.6655997108214096E-2</v>
      </c>
      <c r="I282" s="20">
        <f t="shared" si="21"/>
        <v>1.8198739470455506E-2</v>
      </c>
      <c r="J282" s="20">
        <f t="shared" si="22"/>
        <v>1.7716769741891219E-2</v>
      </c>
      <c r="K282" s="20">
        <f t="shared" si="23"/>
        <v>1.5401442381220135E-2</v>
      </c>
      <c r="L282" s="20">
        <f t="shared" si="24"/>
        <v>5.2924343144449435E-3</v>
      </c>
      <c r="M282" s="20">
        <v>1.0283284436038655E-2</v>
      </c>
      <c r="N282" s="20">
        <v>9.3794651633924571E-4</v>
      </c>
      <c r="O282" s="20">
        <v>9.1210791860636603E-2</v>
      </c>
      <c r="P282" s="20"/>
      <c r="Q282" s="20"/>
      <c r="R282" s="20"/>
      <c r="S282" s="20">
        <v>0.59</v>
      </c>
      <c r="T282" s="20">
        <v>0.40999999999999992</v>
      </c>
      <c r="U282" s="25">
        <f t="shared" si="25"/>
        <v>0.99999999999999989</v>
      </c>
    </row>
    <row r="283" spans="2:21" x14ac:dyDescent="0.2">
      <c r="B283" s="19">
        <v>37958</v>
      </c>
      <c r="C283" s="10">
        <v>20462</v>
      </c>
      <c r="D283" s="10">
        <v>3808.3</v>
      </c>
      <c r="E283" s="10">
        <v>12386.01</v>
      </c>
      <c r="F283" s="10">
        <v>4378.8999999999996</v>
      </c>
      <c r="G283" s="10">
        <v>1440.37</v>
      </c>
      <c r="H283" s="20">
        <f t="shared" si="20"/>
        <v>-2.9767009902224415E-3</v>
      </c>
      <c r="I283" s="20">
        <f t="shared" si="21"/>
        <v>-3.4967545203946947E-3</v>
      </c>
      <c r="J283" s="20">
        <f t="shared" si="22"/>
        <v>-1.1257235863390468E-2</v>
      </c>
      <c r="K283" s="20">
        <f t="shared" si="23"/>
        <v>-7.0771381642320145E-3</v>
      </c>
      <c r="L283" s="20">
        <f t="shared" si="24"/>
        <v>-9.2988403969114768E-4</v>
      </c>
      <c r="M283" s="20">
        <v>1.1905639869225444E-2</v>
      </c>
      <c r="N283" s="20">
        <v>1.3624854276231744E-3</v>
      </c>
      <c r="O283" s="20">
        <v>0.11444033605829325</v>
      </c>
      <c r="P283" s="20">
        <v>2.0000000000000018E-2</v>
      </c>
      <c r="Q283" s="20"/>
      <c r="R283" s="20">
        <v>0.34</v>
      </c>
      <c r="S283" s="20">
        <v>0.06</v>
      </c>
      <c r="T283" s="20">
        <v>0.57999999999999996</v>
      </c>
      <c r="U283" s="25">
        <f t="shared" si="25"/>
        <v>1</v>
      </c>
    </row>
    <row r="284" spans="2:21" x14ac:dyDescent="0.2">
      <c r="B284" s="19">
        <v>37959</v>
      </c>
      <c r="C284" s="10">
        <v>20540</v>
      </c>
      <c r="D284" s="10">
        <v>3871.5</v>
      </c>
      <c r="E284" s="10">
        <v>12379.94</v>
      </c>
      <c r="F284" s="10">
        <v>4392</v>
      </c>
      <c r="G284" s="10">
        <v>1424.65</v>
      </c>
      <c r="H284" s="20">
        <f t="shared" si="20"/>
        <v>3.8046970436638452E-3</v>
      </c>
      <c r="I284" s="20">
        <f t="shared" si="21"/>
        <v>1.6459133506017649E-2</v>
      </c>
      <c r="J284" s="20">
        <f t="shared" si="22"/>
        <v>-4.9018916064544847E-4</v>
      </c>
      <c r="K284" s="20">
        <f t="shared" si="23"/>
        <v>2.9871529127068449E-3</v>
      </c>
      <c r="L284" s="20">
        <f t="shared" si="24"/>
        <v>-1.097385551032411E-2</v>
      </c>
      <c r="M284" s="20">
        <v>1.0237955221876791E-2</v>
      </c>
      <c r="N284" s="20">
        <v>9.1777417269496087E-4</v>
      </c>
      <c r="O284" s="20">
        <v>8.9644284703827529E-2</v>
      </c>
      <c r="P284" s="20"/>
      <c r="Q284" s="20"/>
      <c r="R284" s="20"/>
      <c r="S284" s="20">
        <v>0.61</v>
      </c>
      <c r="T284" s="20">
        <v>0.39000000000000012</v>
      </c>
      <c r="U284" s="25">
        <f t="shared" si="25"/>
        <v>1</v>
      </c>
    </row>
    <row r="285" spans="2:21" x14ac:dyDescent="0.2">
      <c r="B285" s="19">
        <v>37960</v>
      </c>
      <c r="C285" s="10">
        <v>20418</v>
      </c>
      <c r="D285" s="10">
        <v>3856.48</v>
      </c>
      <c r="E285" s="10">
        <v>12309.57</v>
      </c>
      <c r="F285" s="10">
        <v>4378.2</v>
      </c>
      <c r="G285" s="10">
        <v>1415.78</v>
      </c>
      <c r="H285" s="20">
        <f t="shared" si="20"/>
        <v>-5.9573397535884675E-3</v>
      </c>
      <c r="I285" s="20">
        <f t="shared" si="21"/>
        <v>-3.8871785156987197E-3</v>
      </c>
      <c r="J285" s="20">
        <f t="shared" si="22"/>
        <v>-5.7004120822342647E-3</v>
      </c>
      <c r="K285" s="20">
        <f t="shared" si="23"/>
        <v>-3.147023189737135E-3</v>
      </c>
      <c r="L285" s="20">
        <f t="shared" si="24"/>
        <v>-6.2455535483082322E-3</v>
      </c>
      <c r="M285" s="20">
        <v>1.4123718142303426E-2</v>
      </c>
      <c r="N285" s="20">
        <v>2.0279238044249724E-3</v>
      </c>
      <c r="O285" s="20">
        <v>0.14358285714800026</v>
      </c>
      <c r="P285" s="20">
        <v>0.56999999999999995</v>
      </c>
      <c r="Q285" s="20">
        <v>0.43000000000000005</v>
      </c>
      <c r="R285" s="20"/>
      <c r="S285" s="20"/>
      <c r="T285" s="20"/>
      <c r="U285" s="25">
        <f t="shared" si="25"/>
        <v>1</v>
      </c>
    </row>
    <row r="286" spans="2:21" x14ac:dyDescent="0.2">
      <c r="B286" s="19">
        <v>37963</v>
      </c>
      <c r="C286" s="10">
        <v>20882</v>
      </c>
      <c r="D286" s="10">
        <v>3834.89</v>
      </c>
      <c r="E286" s="10">
        <v>12214.19</v>
      </c>
      <c r="F286" s="10">
        <v>4367</v>
      </c>
      <c r="G286" s="10">
        <v>1406.02</v>
      </c>
      <c r="H286" s="20">
        <f t="shared" si="20"/>
        <v>2.2470679121094891E-2</v>
      </c>
      <c r="I286" s="20">
        <f t="shared" si="21"/>
        <v>-5.6140991023188487E-3</v>
      </c>
      <c r="J286" s="20">
        <f t="shared" si="22"/>
        <v>-7.7786180364277603E-3</v>
      </c>
      <c r="K286" s="20">
        <f t="shared" si="23"/>
        <v>-2.5614065140683851E-3</v>
      </c>
      <c r="L286" s="20">
        <f t="shared" si="24"/>
        <v>-6.9175979307817591E-3</v>
      </c>
      <c r="M286" s="20">
        <v>1.3410873831396029E-2</v>
      </c>
      <c r="N286" s="20">
        <v>2.381449351388018E-3</v>
      </c>
      <c r="O286" s="20">
        <v>0.17757600148417149</v>
      </c>
      <c r="P286" s="20">
        <v>0.79999999999999993</v>
      </c>
      <c r="Q286" s="20"/>
      <c r="R286" s="20"/>
      <c r="S286" s="20"/>
      <c r="T286" s="20">
        <v>0.2</v>
      </c>
      <c r="U286" s="25">
        <f t="shared" si="25"/>
        <v>1</v>
      </c>
    </row>
    <row r="287" spans="2:21" x14ac:dyDescent="0.2">
      <c r="B287" s="19">
        <v>37964</v>
      </c>
      <c r="C287" s="10">
        <v>20889</v>
      </c>
      <c r="D287" s="10">
        <v>3812.92</v>
      </c>
      <c r="E287" s="10">
        <v>12244.66</v>
      </c>
      <c r="F287" s="10">
        <v>4359.8</v>
      </c>
      <c r="G287" s="10">
        <v>1423.75</v>
      </c>
      <c r="H287" s="20">
        <f t="shared" si="20"/>
        <v>3.3516076060083924E-4</v>
      </c>
      <c r="I287" s="20">
        <f t="shared" si="21"/>
        <v>-5.7454514262679683E-3</v>
      </c>
      <c r="J287" s="20">
        <f t="shared" si="22"/>
        <v>2.491532983969058E-3</v>
      </c>
      <c r="K287" s="20">
        <f t="shared" si="23"/>
        <v>-1.6500897542460647E-3</v>
      </c>
      <c r="L287" s="20">
        <f t="shared" si="24"/>
        <v>1.2531217740885739E-2</v>
      </c>
      <c r="M287" s="20">
        <v>1.3882356534975661E-2</v>
      </c>
      <c r="N287" s="20">
        <v>2.1463115251723615E-3</v>
      </c>
      <c r="O287" s="20">
        <v>0.15460714611131576</v>
      </c>
      <c r="P287" s="20">
        <v>0.66</v>
      </c>
      <c r="Q287" s="20">
        <v>0.33999999999999997</v>
      </c>
      <c r="R287" s="20"/>
      <c r="S287" s="20"/>
      <c r="T287" s="20"/>
      <c r="U287" s="25">
        <f t="shared" si="25"/>
        <v>1</v>
      </c>
    </row>
    <row r="288" spans="2:21" x14ac:dyDescent="0.2">
      <c r="B288" s="19">
        <v>37965</v>
      </c>
      <c r="C288" s="10">
        <v>21258</v>
      </c>
      <c r="D288" s="10">
        <v>3841.87</v>
      </c>
      <c r="E288" s="10">
        <v>12321.59</v>
      </c>
      <c r="F288" s="10">
        <v>4379.6000000000004</v>
      </c>
      <c r="G288" s="10">
        <v>1387.25</v>
      </c>
      <c r="H288" s="20">
        <f t="shared" si="20"/>
        <v>1.7510590482870566E-2</v>
      </c>
      <c r="I288" s="20">
        <f t="shared" si="21"/>
        <v>7.5639274300734602E-3</v>
      </c>
      <c r="J288" s="20">
        <f t="shared" si="22"/>
        <v>6.2630846362511476E-3</v>
      </c>
      <c r="K288" s="20">
        <f t="shared" si="23"/>
        <v>4.531211267955134E-3</v>
      </c>
      <c r="L288" s="20">
        <f t="shared" si="24"/>
        <v>-2.5970865555381282E-2</v>
      </c>
      <c r="M288" s="20">
        <v>1.378489049450435E-2</v>
      </c>
      <c r="N288" s="20">
        <v>1.651325840036851E-3</v>
      </c>
      <c r="O288" s="20">
        <v>0.11979245251858826</v>
      </c>
      <c r="P288" s="20">
        <v>0.15</v>
      </c>
      <c r="Q288" s="20">
        <v>0.16000000000000003</v>
      </c>
      <c r="R288" s="20"/>
      <c r="S288" s="20"/>
      <c r="T288" s="20">
        <v>0.69</v>
      </c>
      <c r="U288" s="25">
        <f t="shared" si="25"/>
        <v>1</v>
      </c>
    </row>
    <row r="289" spans="2:21" x14ac:dyDescent="0.2">
      <c r="B289" s="19">
        <v>37966</v>
      </c>
      <c r="C289" s="10">
        <v>20971</v>
      </c>
      <c r="D289" s="10">
        <v>3833.22</v>
      </c>
      <c r="E289" s="10">
        <v>12343.89</v>
      </c>
      <c r="F289" s="10">
        <v>4335.3999999999996</v>
      </c>
      <c r="G289" s="10">
        <v>1388.88</v>
      </c>
      <c r="H289" s="20">
        <f t="shared" si="20"/>
        <v>-1.3592764162407766E-2</v>
      </c>
      <c r="I289" s="20">
        <f t="shared" si="21"/>
        <v>-2.2540461837855081E-3</v>
      </c>
      <c r="J289" s="20">
        <f t="shared" si="22"/>
        <v>1.808195589621808E-3</v>
      </c>
      <c r="K289" s="20">
        <f t="shared" si="23"/>
        <v>-1.0143517838446844E-2</v>
      </c>
      <c r="L289" s="20">
        <f t="shared" si="24"/>
        <v>1.1742967276825614E-3</v>
      </c>
      <c r="M289" s="20">
        <v>1.0154326017134094E-2</v>
      </c>
      <c r="N289" s="20">
        <v>1.0349627862320568E-3</v>
      </c>
      <c r="O289" s="20">
        <v>0.10192333636774049</v>
      </c>
      <c r="P289" s="20"/>
      <c r="Q289" s="20"/>
      <c r="R289" s="20">
        <v>0.82</v>
      </c>
      <c r="S289" s="20">
        <v>0.18000000000000016</v>
      </c>
      <c r="T289" s="20"/>
      <c r="U289" s="25">
        <f t="shared" si="25"/>
        <v>1</v>
      </c>
    </row>
    <row r="290" spans="2:21" x14ac:dyDescent="0.2">
      <c r="B290" s="19">
        <v>37967</v>
      </c>
      <c r="C290" s="10">
        <v>21296</v>
      </c>
      <c r="D290" s="10">
        <v>3864.59</v>
      </c>
      <c r="E290" s="10">
        <v>12631.63</v>
      </c>
      <c r="F290" s="10">
        <v>4331.3</v>
      </c>
      <c r="G290" s="10">
        <v>1419.7</v>
      </c>
      <c r="H290" s="20">
        <f t="shared" si="20"/>
        <v>1.5378730703773545E-2</v>
      </c>
      <c r="I290" s="20">
        <f t="shared" si="21"/>
        <v>8.1504151588528018E-3</v>
      </c>
      <c r="J290" s="20">
        <f t="shared" si="22"/>
        <v>2.3042782024820185E-2</v>
      </c>
      <c r="K290" s="20">
        <f t="shared" si="23"/>
        <v>-9.4615027769728215E-4</v>
      </c>
      <c r="L290" s="20">
        <f t="shared" si="24"/>
        <v>2.1947914735835131E-2</v>
      </c>
      <c r="M290" s="20">
        <v>1.6852964635850839E-2</v>
      </c>
      <c r="N290" s="20">
        <v>1.2558478520669544E-3</v>
      </c>
      <c r="O290" s="20">
        <v>7.4517918906411545E-2</v>
      </c>
      <c r="P290" s="20"/>
      <c r="Q290" s="20">
        <v>0.83</v>
      </c>
      <c r="R290" s="20">
        <v>0.16999999999999993</v>
      </c>
      <c r="S290" s="20"/>
      <c r="T290" s="20"/>
      <c r="U290" s="25">
        <f t="shared" si="25"/>
        <v>0.99999999999999989</v>
      </c>
    </row>
    <row r="291" spans="2:21" x14ac:dyDescent="0.2">
      <c r="B291" s="19">
        <v>37970</v>
      </c>
      <c r="C291" s="10">
        <v>20974</v>
      </c>
      <c r="D291" s="10">
        <v>3866.92</v>
      </c>
      <c r="E291" s="10">
        <v>12705.42</v>
      </c>
      <c r="F291" s="10">
        <v>4347.6000000000004</v>
      </c>
      <c r="G291" s="10">
        <v>1442.05</v>
      </c>
      <c r="H291" s="20">
        <f t="shared" si="20"/>
        <v>-1.5235686240542445E-2</v>
      </c>
      <c r="I291" s="20">
        <f t="shared" si="21"/>
        <v>6.0272833393132635E-4</v>
      </c>
      <c r="J291" s="20">
        <f t="shared" si="22"/>
        <v>5.8246882429184663E-3</v>
      </c>
      <c r="K291" s="20">
        <f t="shared" si="23"/>
        <v>3.7562408059062043E-3</v>
      </c>
      <c r="L291" s="20">
        <f t="shared" si="24"/>
        <v>1.5620130638034824E-2</v>
      </c>
      <c r="M291" s="20">
        <v>9.9903983160641897E-3</v>
      </c>
      <c r="N291" s="20">
        <v>1.0100579416173908E-3</v>
      </c>
      <c r="O291" s="20">
        <v>0.10110286994195768</v>
      </c>
      <c r="P291" s="20"/>
      <c r="Q291" s="20"/>
      <c r="R291" s="20">
        <v>0.78</v>
      </c>
      <c r="S291" s="20">
        <v>0.21999999999999997</v>
      </c>
      <c r="T291" s="20"/>
      <c r="U291" s="25">
        <f t="shared" si="25"/>
        <v>1</v>
      </c>
    </row>
    <row r="292" spans="2:21" x14ac:dyDescent="0.2">
      <c r="B292" s="19">
        <v>37971</v>
      </c>
      <c r="C292" s="10">
        <v>20710</v>
      </c>
      <c r="D292" s="10">
        <v>3862.82</v>
      </c>
      <c r="E292" s="10">
        <v>12400.85</v>
      </c>
      <c r="F292" s="10">
        <v>4348</v>
      </c>
      <c r="G292" s="10">
        <v>1397.41</v>
      </c>
      <c r="H292" s="20">
        <f t="shared" si="20"/>
        <v>-1.2666900004720644E-2</v>
      </c>
      <c r="I292" s="20">
        <f t="shared" si="21"/>
        <v>-1.0608378508212854E-3</v>
      </c>
      <c r="J292" s="20">
        <f t="shared" si="22"/>
        <v>-2.4263655428213699E-2</v>
      </c>
      <c r="K292" s="20">
        <f t="shared" si="23"/>
        <v>9.2000552068178837E-5</v>
      </c>
      <c r="L292" s="20">
        <f t="shared" si="24"/>
        <v>-3.1445189067687472E-2</v>
      </c>
      <c r="M292" s="20">
        <v>1.0186518218423176E-2</v>
      </c>
      <c r="N292" s="20">
        <v>1.3282639163640407E-3</v>
      </c>
      <c r="O292" s="20">
        <v>0.13039430037652744</v>
      </c>
      <c r="P292" s="20">
        <v>0.32999999999999996</v>
      </c>
      <c r="Q292" s="20"/>
      <c r="R292" s="20"/>
      <c r="S292" s="20">
        <v>0.55000000000000004</v>
      </c>
      <c r="T292" s="20">
        <v>0.12</v>
      </c>
      <c r="U292" s="25">
        <f t="shared" si="25"/>
        <v>1</v>
      </c>
    </row>
    <row r="293" spans="2:21" x14ac:dyDescent="0.2">
      <c r="B293" s="19">
        <v>37972</v>
      </c>
      <c r="C293" s="10">
        <v>20763</v>
      </c>
      <c r="D293" s="10">
        <v>3870.16</v>
      </c>
      <c r="E293" s="10">
        <v>12315.23</v>
      </c>
      <c r="F293" s="10">
        <v>4333</v>
      </c>
      <c r="G293" s="10">
        <v>1400.78</v>
      </c>
      <c r="H293" s="20">
        <f t="shared" si="20"/>
        <v>2.5558811203432669E-3</v>
      </c>
      <c r="I293" s="20">
        <f t="shared" si="21"/>
        <v>1.89836316770848E-3</v>
      </c>
      <c r="J293" s="20">
        <f t="shared" si="22"/>
        <v>-6.9283108397744297E-3</v>
      </c>
      <c r="K293" s="20">
        <f t="shared" si="23"/>
        <v>-3.4558265011906523E-3</v>
      </c>
      <c r="L293" s="20">
        <f t="shared" si="24"/>
        <v>2.4087010741586992E-3</v>
      </c>
      <c r="M293" s="20">
        <v>1.1303081540850851E-2</v>
      </c>
      <c r="N293" s="20">
        <v>6.8417172902772536E-4</v>
      </c>
      <c r="O293" s="20">
        <v>6.0529664105760619E-2</v>
      </c>
      <c r="P293" s="20">
        <v>0.02</v>
      </c>
      <c r="Q293" s="20">
        <v>5.0000000000000044E-2</v>
      </c>
      <c r="R293" s="20"/>
      <c r="S293" s="20">
        <v>0.85</v>
      </c>
      <c r="T293" s="20">
        <v>0.08</v>
      </c>
      <c r="U293" s="25">
        <f t="shared" si="25"/>
        <v>1</v>
      </c>
    </row>
    <row r="294" spans="2:21" x14ac:dyDescent="0.2">
      <c r="B294" s="19">
        <v>37973</v>
      </c>
      <c r="C294" s="10">
        <v>21199</v>
      </c>
      <c r="D294" s="10">
        <v>3847.32</v>
      </c>
      <c r="E294" s="10">
        <v>12225.78</v>
      </c>
      <c r="F294" s="10">
        <v>4354.2</v>
      </c>
      <c r="G294" s="10">
        <v>1404.08</v>
      </c>
      <c r="H294" s="20">
        <f t="shared" si="20"/>
        <v>2.0781454226279437E-2</v>
      </c>
      <c r="I294" s="20">
        <f t="shared" si="21"/>
        <v>-5.9190478455368274E-3</v>
      </c>
      <c r="J294" s="20">
        <f t="shared" si="22"/>
        <v>-7.2898708024311558E-3</v>
      </c>
      <c r="K294" s="20">
        <f t="shared" si="23"/>
        <v>4.880753772236757E-3</v>
      </c>
      <c r="L294" s="20">
        <f t="shared" si="24"/>
        <v>2.3530597054003568E-3</v>
      </c>
      <c r="M294" s="20">
        <v>1.7613123556929056E-2</v>
      </c>
      <c r="N294" s="20">
        <v>1.2637138712285618E-3</v>
      </c>
      <c r="O294" s="20">
        <v>7.174842481198701E-2</v>
      </c>
      <c r="P294" s="20"/>
      <c r="Q294" s="20">
        <v>0.89</v>
      </c>
      <c r="R294" s="20">
        <v>0.1100000000000001</v>
      </c>
      <c r="S294" s="20"/>
      <c r="T294" s="20"/>
      <c r="U294" s="25">
        <f t="shared" si="25"/>
        <v>1</v>
      </c>
    </row>
    <row r="295" spans="2:21" x14ac:dyDescent="0.2">
      <c r="B295" s="19">
        <v>37974</v>
      </c>
      <c r="C295" s="10">
        <v>21489</v>
      </c>
      <c r="D295" s="10">
        <v>3881.97</v>
      </c>
      <c r="E295" s="10">
        <v>12385.19</v>
      </c>
      <c r="F295" s="10">
        <v>4397.3</v>
      </c>
      <c r="G295" s="10">
        <v>1434.93</v>
      </c>
      <c r="H295" s="20">
        <f t="shared" si="20"/>
        <v>1.3587165546308356E-2</v>
      </c>
      <c r="I295" s="20">
        <f t="shared" si="21"/>
        <v>8.9659547309086738E-3</v>
      </c>
      <c r="J295" s="20">
        <f t="shared" si="22"/>
        <v>1.2954566955573716E-2</v>
      </c>
      <c r="K295" s="20">
        <f t="shared" si="23"/>
        <v>9.8498196787197029E-3</v>
      </c>
      <c r="L295" s="20">
        <f t="shared" si="24"/>
        <v>2.1733783496675284E-2</v>
      </c>
      <c r="M295" s="20">
        <v>1.1456515705688709E-2</v>
      </c>
      <c r="N295" s="20">
        <v>1.1396699527820961E-3</v>
      </c>
      <c r="O295" s="20">
        <v>9.9477885079509401E-2</v>
      </c>
      <c r="P295" s="20"/>
      <c r="Q295" s="20"/>
      <c r="R295" s="20"/>
      <c r="S295" s="20">
        <v>0.39</v>
      </c>
      <c r="T295" s="20">
        <v>0.61</v>
      </c>
      <c r="U295" s="25">
        <f t="shared" si="25"/>
        <v>1</v>
      </c>
    </row>
    <row r="296" spans="2:21" x14ac:dyDescent="0.2">
      <c r="B296" s="19">
        <v>37977</v>
      </c>
      <c r="C296" s="10">
        <v>21386</v>
      </c>
      <c r="D296" s="10">
        <v>3891.67</v>
      </c>
      <c r="E296" s="10">
        <v>12422.32</v>
      </c>
      <c r="F296" s="10">
        <v>4412.3</v>
      </c>
      <c r="G296" s="10">
        <v>1422.79</v>
      </c>
      <c r="H296" s="20">
        <f t="shared" si="20"/>
        <v>-4.8046739659590113E-3</v>
      </c>
      <c r="I296" s="20">
        <f t="shared" si="21"/>
        <v>2.4956146758467615E-3</v>
      </c>
      <c r="J296" s="20">
        <f t="shared" si="22"/>
        <v>2.9934505902477456E-3</v>
      </c>
      <c r="K296" s="20">
        <f t="shared" si="23"/>
        <v>3.4053792444053771E-3</v>
      </c>
      <c r="L296" s="20">
        <f t="shared" si="24"/>
        <v>-8.4963348612237307E-3</v>
      </c>
      <c r="M296" s="20">
        <v>1.0683555184416627E-2</v>
      </c>
      <c r="N296" s="20">
        <v>1.051260656868004E-3</v>
      </c>
      <c r="O296" s="20">
        <v>9.8399890179011407E-2</v>
      </c>
      <c r="P296" s="20"/>
      <c r="Q296" s="20"/>
      <c r="R296" s="20">
        <v>0.02</v>
      </c>
      <c r="S296" s="20">
        <v>0.47</v>
      </c>
      <c r="T296" s="20">
        <v>0.5099999999999999</v>
      </c>
      <c r="U296" s="25">
        <f t="shared" si="25"/>
        <v>0.99999999999999989</v>
      </c>
    </row>
    <row r="297" spans="2:21" x14ac:dyDescent="0.2">
      <c r="B297" s="19">
        <v>37978</v>
      </c>
      <c r="C297" s="10">
        <v>21631</v>
      </c>
      <c r="D297" s="10">
        <v>3884.1</v>
      </c>
      <c r="E297" s="10">
        <v>12515.5</v>
      </c>
      <c r="F297" s="10">
        <v>4424</v>
      </c>
      <c r="G297" s="10">
        <v>1431.64</v>
      </c>
      <c r="H297" s="20">
        <f t="shared" si="20"/>
        <v>1.1390968646899707E-2</v>
      </c>
      <c r="I297" s="20">
        <f t="shared" si="21"/>
        <v>-1.9470746669595532E-3</v>
      </c>
      <c r="J297" s="20">
        <f t="shared" si="22"/>
        <v>7.4730215908357222E-3</v>
      </c>
      <c r="K297" s="20">
        <f t="shared" si="23"/>
        <v>2.6481687668995636E-3</v>
      </c>
      <c r="L297" s="20">
        <f t="shared" si="24"/>
        <v>6.2009076122257287E-3</v>
      </c>
      <c r="M297" s="20">
        <v>1.0737484730818526E-2</v>
      </c>
      <c r="N297" s="20">
        <v>6.8579222078568288E-4</v>
      </c>
      <c r="O297" s="20">
        <v>6.3868982166497057E-2</v>
      </c>
      <c r="P297" s="20"/>
      <c r="Q297" s="20"/>
      <c r="R297" s="20"/>
      <c r="S297" s="20">
        <v>0.84</v>
      </c>
      <c r="T297" s="20">
        <v>0.16000000000000014</v>
      </c>
      <c r="U297" s="25">
        <f t="shared" si="25"/>
        <v>1</v>
      </c>
    </row>
    <row r="298" spans="2:21" x14ac:dyDescent="0.2">
      <c r="B298" s="19">
        <v>37979</v>
      </c>
      <c r="C298" s="10">
        <v>21631</v>
      </c>
      <c r="D298" s="10">
        <v>3884.1</v>
      </c>
      <c r="E298" s="10">
        <v>12468.73</v>
      </c>
      <c r="F298" s="10">
        <v>4440.8999999999996</v>
      </c>
      <c r="G298" s="10">
        <v>1442.58</v>
      </c>
      <c r="H298" s="20">
        <f t="shared" si="20"/>
        <v>0</v>
      </c>
      <c r="I298" s="20">
        <f t="shared" si="21"/>
        <v>0</v>
      </c>
      <c r="J298" s="20">
        <f t="shared" si="22"/>
        <v>-3.74396606438089E-3</v>
      </c>
      <c r="K298" s="20">
        <f t="shared" si="23"/>
        <v>3.8127943853852389E-3</v>
      </c>
      <c r="L298" s="20">
        <f t="shared" si="24"/>
        <v>7.6125368494311492E-3</v>
      </c>
      <c r="M298" s="20">
        <v>1.3307530022220166E-2</v>
      </c>
      <c r="N298" s="20">
        <v>1.8940180041209394E-3</v>
      </c>
      <c r="O298" s="20">
        <v>0.14232678798833553</v>
      </c>
      <c r="P298" s="20">
        <v>0.35</v>
      </c>
      <c r="Q298" s="20">
        <v>4.0000000000000036E-2</v>
      </c>
      <c r="R298" s="20"/>
      <c r="S298" s="20"/>
      <c r="T298" s="20">
        <v>0.61</v>
      </c>
      <c r="U298" s="25">
        <f t="shared" si="25"/>
        <v>1</v>
      </c>
    </row>
    <row r="299" spans="2:21" x14ac:dyDescent="0.2">
      <c r="B299" s="19">
        <v>37980</v>
      </c>
      <c r="C299" s="10">
        <v>21631</v>
      </c>
      <c r="D299" s="10">
        <v>3884.1</v>
      </c>
      <c r="E299" s="10">
        <v>12468.73</v>
      </c>
      <c r="F299" s="10">
        <v>4440.8999999999996</v>
      </c>
      <c r="G299" s="10">
        <v>1442.58</v>
      </c>
      <c r="H299" s="20">
        <f t="shared" si="20"/>
        <v>0</v>
      </c>
      <c r="I299" s="20">
        <f t="shared" si="21"/>
        <v>0</v>
      </c>
      <c r="J299" s="20">
        <f t="shared" si="22"/>
        <v>0</v>
      </c>
      <c r="K299" s="20">
        <f t="shared" si="23"/>
        <v>0</v>
      </c>
      <c r="L299" s="20">
        <f t="shared" si="24"/>
        <v>0</v>
      </c>
      <c r="M299" s="20">
        <v>1.1025655766326E-2</v>
      </c>
      <c r="N299" s="20">
        <v>1.2874868812464755E-3</v>
      </c>
      <c r="O299" s="20">
        <v>0.11677190985579769</v>
      </c>
      <c r="P299" s="20"/>
      <c r="Q299" s="20"/>
      <c r="R299" s="20">
        <v>0.61</v>
      </c>
      <c r="S299" s="20">
        <v>0.01</v>
      </c>
      <c r="T299" s="20">
        <v>0.37999999999999989</v>
      </c>
      <c r="U299" s="25">
        <f t="shared" si="25"/>
        <v>0.99999999999999989</v>
      </c>
    </row>
    <row r="300" spans="2:21" x14ac:dyDescent="0.2">
      <c r="B300" s="19">
        <v>37981</v>
      </c>
      <c r="C300" s="10">
        <v>21688</v>
      </c>
      <c r="D300" s="10">
        <v>3884.1</v>
      </c>
      <c r="E300" s="10">
        <v>12468.73</v>
      </c>
      <c r="F300" s="10">
        <v>4440.8999999999996</v>
      </c>
      <c r="G300" s="10">
        <v>1444.41</v>
      </c>
      <c r="H300" s="20">
        <f t="shared" si="20"/>
        <v>2.6316412149999724E-3</v>
      </c>
      <c r="I300" s="20">
        <f t="shared" si="21"/>
        <v>0</v>
      </c>
      <c r="J300" s="20">
        <f t="shared" si="22"/>
        <v>0</v>
      </c>
      <c r="K300" s="20">
        <f t="shared" si="23"/>
        <v>0</v>
      </c>
      <c r="L300" s="20">
        <f t="shared" si="24"/>
        <v>1.2677565527412047E-3</v>
      </c>
      <c r="M300" s="20">
        <v>1.0211542800587916E-2</v>
      </c>
      <c r="N300" s="20">
        <v>8.2699862629567809E-4</v>
      </c>
      <c r="O300" s="20">
        <v>8.098664838853388E-2</v>
      </c>
      <c r="P300" s="20"/>
      <c r="Q300" s="20"/>
      <c r="R300" s="20"/>
      <c r="S300" s="20">
        <v>0.7</v>
      </c>
      <c r="T300" s="20">
        <v>0.30000000000000004</v>
      </c>
      <c r="U300" s="25">
        <f t="shared" si="25"/>
        <v>1</v>
      </c>
    </row>
    <row r="301" spans="2:21" x14ac:dyDescent="0.2">
      <c r="B301" s="19">
        <v>37984</v>
      </c>
      <c r="C301" s="10">
        <v>21815</v>
      </c>
      <c r="D301" s="10">
        <v>3907.57</v>
      </c>
      <c r="E301" s="10">
        <v>12443.56</v>
      </c>
      <c r="F301" s="10">
        <v>4444.7</v>
      </c>
      <c r="G301" s="10">
        <v>1447.62</v>
      </c>
      <c r="H301" s="20">
        <f t="shared" ref="H301:H303" si="26">LN(C301/C300)</f>
        <v>5.83869437920844E-3</v>
      </c>
      <c r="I301" s="20">
        <f t="shared" ref="I301:I303" si="27">LN(D301/D300)</f>
        <v>6.0244006698962505E-3</v>
      </c>
      <c r="J301" s="20">
        <f t="shared" ref="J301:J303" si="28">LN(E301/E300)</f>
        <v>-2.0206900742153564E-3</v>
      </c>
      <c r="K301" s="20">
        <f t="shared" ref="K301:K303" si="29">LN(F301/F300)</f>
        <v>8.5531651923626494E-4</v>
      </c>
      <c r="L301" s="20">
        <f t="shared" ref="L301:L303" si="30">LN(G301/G300)</f>
        <v>2.2198948961261425E-3</v>
      </c>
      <c r="M301" s="20">
        <v>1.303126045561365E-2</v>
      </c>
      <c r="N301" s="20">
        <v>1.1850578956762461E-3</v>
      </c>
      <c r="O301" s="20">
        <v>9.0939621666892761E-2</v>
      </c>
      <c r="P301" s="20"/>
      <c r="Q301" s="20">
        <v>0.48</v>
      </c>
      <c r="R301" s="20">
        <v>0.48</v>
      </c>
      <c r="S301" s="20">
        <v>4.0000000000000036E-2</v>
      </c>
      <c r="T301" s="20"/>
      <c r="U301" s="25">
        <f t="shared" ref="U301:U364" si="31">SUM(P301:T301)</f>
        <v>1</v>
      </c>
    </row>
    <row r="302" spans="2:21" x14ac:dyDescent="0.2">
      <c r="B302" s="19">
        <v>37985</v>
      </c>
      <c r="C302" s="10">
        <v>22051</v>
      </c>
      <c r="D302" s="10">
        <v>3957.93</v>
      </c>
      <c r="E302" s="10">
        <v>12560.34</v>
      </c>
      <c r="F302" s="10">
        <v>4457.5</v>
      </c>
      <c r="G302" s="10">
        <v>1467.74</v>
      </c>
      <c r="H302" s="20">
        <f t="shared" si="26"/>
        <v>1.0760145762857963E-2</v>
      </c>
      <c r="I302" s="20">
        <f t="shared" si="27"/>
        <v>1.280546390366114E-2</v>
      </c>
      <c r="J302" s="20">
        <f t="shared" si="28"/>
        <v>9.3410107327492505E-3</v>
      </c>
      <c r="K302" s="20">
        <f t="shared" si="29"/>
        <v>2.8756956305032349E-3</v>
      </c>
      <c r="L302" s="20">
        <f t="shared" si="30"/>
        <v>1.380297420629696E-2</v>
      </c>
      <c r="M302" s="20">
        <v>1.2204741121999492E-2</v>
      </c>
      <c r="N302" s="20">
        <v>1.195541705161299E-3</v>
      </c>
      <c r="O302" s="20">
        <v>9.7957153962593371E-2</v>
      </c>
      <c r="P302" s="20"/>
      <c r="Q302" s="20">
        <v>0.37</v>
      </c>
      <c r="R302" s="20">
        <v>0.63</v>
      </c>
      <c r="S302" s="20"/>
      <c r="T302" s="20"/>
      <c r="U302" s="25">
        <f t="shared" si="31"/>
        <v>1</v>
      </c>
    </row>
    <row r="303" spans="2:21" x14ac:dyDescent="0.2">
      <c r="B303" s="19">
        <v>37986</v>
      </c>
      <c r="C303" s="10">
        <v>22051</v>
      </c>
      <c r="D303" s="10">
        <v>3957.93</v>
      </c>
      <c r="E303" s="10">
        <v>12529.83</v>
      </c>
      <c r="F303" s="10">
        <v>4470.3999999999996</v>
      </c>
      <c r="G303" s="10">
        <v>1471.56</v>
      </c>
      <c r="H303" s="20">
        <f t="shared" si="26"/>
        <v>0</v>
      </c>
      <c r="I303" s="20">
        <f t="shared" si="27"/>
        <v>0</v>
      </c>
      <c r="J303" s="20">
        <f t="shared" si="28"/>
        <v>-2.4320293595693249E-3</v>
      </c>
      <c r="K303" s="20">
        <f t="shared" si="29"/>
        <v>2.8898193253471993E-3</v>
      </c>
      <c r="L303" s="20">
        <f t="shared" si="30"/>
        <v>2.5992597902275085E-3</v>
      </c>
      <c r="M303" s="20">
        <v>1.0293227629356378E-2</v>
      </c>
      <c r="N303" s="20">
        <v>7.8665393900710819E-4</v>
      </c>
      <c r="O303" s="20">
        <v>7.6424418786150625E-2</v>
      </c>
      <c r="P303" s="20"/>
      <c r="Q303" s="20"/>
      <c r="R303" s="20"/>
      <c r="S303" s="20">
        <v>0.74</v>
      </c>
      <c r="T303" s="20">
        <v>0.26000000000000012</v>
      </c>
      <c r="U303" s="25">
        <f t="shared" si="31"/>
        <v>1</v>
      </c>
    </row>
    <row r="304" spans="2:21" x14ac:dyDescent="0.2">
      <c r="M304" s="20">
        <v>1.1722975086811303E-2</v>
      </c>
      <c r="N304" s="20">
        <v>1.2283306191167129E-3</v>
      </c>
      <c r="O304" s="20">
        <v>0.1047797687891209</v>
      </c>
      <c r="P304" s="20"/>
      <c r="Q304" s="20"/>
      <c r="R304" s="20">
        <v>0.11</v>
      </c>
      <c r="S304" s="20">
        <v>0.26</v>
      </c>
      <c r="T304" s="20">
        <v>0.62999999999999989</v>
      </c>
      <c r="U304" s="25">
        <f t="shared" si="31"/>
        <v>0.99999999999999989</v>
      </c>
    </row>
    <row r="305" spans="13:21" x14ac:dyDescent="0.2">
      <c r="M305" s="20">
        <v>1.0450698961831933E-2</v>
      </c>
      <c r="N305" s="20">
        <v>1.2783521191504651E-3</v>
      </c>
      <c r="O305" s="20">
        <v>0.12232216465322231</v>
      </c>
      <c r="P305" s="20">
        <v>0.33999999999999997</v>
      </c>
      <c r="Q305" s="20"/>
      <c r="R305" s="20"/>
      <c r="S305" s="20">
        <v>0.61</v>
      </c>
      <c r="T305" s="20">
        <v>0.05</v>
      </c>
      <c r="U305" s="25">
        <f t="shared" si="31"/>
        <v>1</v>
      </c>
    </row>
    <row r="306" spans="13:21" x14ac:dyDescent="0.2">
      <c r="M306" s="20">
        <v>1.378489049450435E-2</v>
      </c>
      <c r="N306" s="20">
        <v>1.651325840036851E-3</v>
      </c>
      <c r="O306" s="20">
        <v>0.11979245251858826</v>
      </c>
      <c r="P306" s="20">
        <v>0.15</v>
      </c>
      <c r="Q306" s="20">
        <v>0.16000000000000003</v>
      </c>
      <c r="R306" s="20"/>
      <c r="S306" s="20"/>
      <c r="T306" s="20">
        <v>0.69</v>
      </c>
      <c r="U306" s="25">
        <f t="shared" si="31"/>
        <v>1</v>
      </c>
    </row>
    <row r="307" spans="13:21" x14ac:dyDescent="0.2">
      <c r="M307" s="20">
        <v>1.1004230292705927E-2</v>
      </c>
      <c r="N307" s="20">
        <v>6.4544753349711265E-4</v>
      </c>
      <c r="O307" s="20">
        <v>5.8654491620821751E-2</v>
      </c>
      <c r="P307" s="20"/>
      <c r="Q307" s="20"/>
      <c r="R307" s="20"/>
      <c r="S307" s="20">
        <v>0.88</v>
      </c>
      <c r="T307" s="20">
        <v>0.12</v>
      </c>
      <c r="U307" s="25">
        <f t="shared" si="31"/>
        <v>1</v>
      </c>
    </row>
    <row r="308" spans="13:21" x14ac:dyDescent="0.2">
      <c r="M308" s="20">
        <v>1.774207684011481E-2</v>
      </c>
      <c r="N308" s="20">
        <v>1.2650248744221632E-3</v>
      </c>
      <c r="O308" s="20">
        <v>7.1300833934049027E-2</v>
      </c>
      <c r="P308" s="20"/>
      <c r="Q308" s="20">
        <v>0.9</v>
      </c>
      <c r="R308" s="20">
        <v>0.10000000000000009</v>
      </c>
      <c r="S308" s="20"/>
      <c r="T308" s="20"/>
      <c r="U308" s="25">
        <f t="shared" si="31"/>
        <v>1</v>
      </c>
    </row>
    <row r="309" spans="13:21" x14ac:dyDescent="0.2">
      <c r="M309" s="20">
        <v>1.0245395744649558E-2</v>
      </c>
      <c r="N309" s="20">
        <v>1.0474152085393899E-3</v>
      </c>
      <c r="O309" s="20">
        <v>0.10223277212950806</v>
      </c>
      <c r="P309" s="20"/>
      <c r="Q309" s="20"/>
      <c r="R309" s="20">
        <v>0.84</v>
      </c>
      <c r="S309" s="20">
        <v>0.16000000000000003</v>
      </c>
      <c r="T309" s="20"/>
      <c r="U309" s="25">
        <f t="shared" si="31"/>
        <v>1</v>
      </c>
    </row>
    <row r="310" spans="13:21" x14ac:dyDescent="0.2">
      <c r="M310" s="20">
        <v>1.0186518218423176E-2</v>
      </c>
      <c r="N310" s="20">
        <v>1.3282639163640407E-3</v>
      </c>
      <c r="O310" s="20">
        <v>0.13039430037652744</v>
      </c>
      <c r="P310" s="20">
        <v>0.32999999999999996</v>
      </c>
      <c r="Q310" s="20"/>
      <c r="R310" s="20"/>
      <c r="S310" s="20">
        <v>0.55000000000000004</v>
      </c>
      <c r="T310" s="20">
        <v>0.12</v>
      </c>
      <c r="U310" s="25">
        <f t="shared" si="31"/>
        <v>1</v>
      </c>
    </row>
    <row r="311" spans="13:21" x14ac:dyDescent="0.2">
      <c r="M311" s="20">
        <v>1.1234592652910182E-2</v>
      </c>
      <c r="N311" s="20">
        <v>6.1518901803068505E-4</v>
      </c>
      <c r="O311" s="20">
        <v>5.4758462281347418E-2</v>
      </c>
      <c r="P311" s="20"/>
      <c r="Q311" s="20"/>
      <c r="R311" s="20"/>
      <c r="S311" s="20">
        <v>0.91</v>
      </c>
      <c r="T311" s="20">
        <v>8.9999999999999969E-2</v>
      </c>
      <c r="U311" s="25">
        <f t="shared" si="31"/>
        <v>1</v>
      </c>
    </row>
    <row r="312" spans="13:21" x14ac:dyDescent="0.2">
      <c r="M312" s="20">
        <v>1.1455371067726944E-2</v>
      </c>
      <c r="N312" s="20">
        <v>5.7422316086073446E-4</v>
      </c>
      <c r="O312" s="20">
        <v>5.0126980389005933E-2</v>
      </c>
      <c r="P312" s="20"/>
      <c r="Q312" s="20"/>
      <c r="R312" s="20">
        <v>0.08</v>
      </c>
      <c r="S312" s="20">
        <v>0.91999999999999993</v>
      </c>
      <c r="T312" s="20"/>
      <c r="U312" s="25">
        <f t="shared" si="31"/>
        <v>0.99999999999999989</v>
      </c>
    </row>
    <row r="313" spans="13:21" x14ac:dyDescent="0.2">
      <c r="M313" s="20">
        <v>1.293078296579264E-2</v>
      </c>
      <c r="N313" s="20">
        <v>9.5927448613631065E-4</v>
      </c>
      <c r="O313" s="20">
        <v>7.4185336547214126E-2</v>
      </c>
      <c r="P313" s="20"/>
      <c r="Q313" s="20">
        <v>0.42</v>
      </c>
      <c r="R313" s="20">
        <v>0.19</v>
      </c>
      <c r="S313" s="20">
        <v>0.3899999999999999</v>
      </c>
      <c r="T313" s="20"/>
      <c r="U313" s="25">
        <f t="shared" si="31"/>
        <v>0.99999999999999989</v>
      </c>
    </row>
    <row r="314" spans="13:21" x14ac:dyDescent="0.2">
      <c r="M314" s="20">
        <v>1.3823512354188865E-2</v>
      </c>
      <c r="N314" s="20">
        <v>2.2515450547255962E-3</v>
      </c>
      <c r="O314" s="20">
        <v>0.16287792834672168</v>
      </c>
      <c r="P314" s="20">
        <v>0.74</v>
      </c>
      <c r="Q314" s="20">
        <v>0.26</v>
      </c>
      <c r="R314" s="20"/>
      <c r="S314" s="20"/>
      <c r="T314" s="20"/>
      <c r="U314" s="25">
        <f t="shared" si="31"/>
        <v>1</v>
      </c>
    </row>
    <row r="315" spans="13:21" x14ac:dyDescent="0.2">
      <c r="M315" s="20">
        <v>1.0345406250637361E-2</v>
      </c>
      <c r="N315" s="20">
        <v>6.8629496162673186E-4</v>
      </c>
      <c r="O315" s="20">
        <v>6.6338135497042511E-2</v>
      </c>
      <c r="P315" s="20"/>
      <c r="Q315" s="20"/>
      <c r="R315" s="20">
        <v>0.26</v>
      </c>
      <c r="S315" s="20">
        <v>0.73999999999999988</v>
      </c>
      <c r="T315" s="20"/>
      <c r="U315" s="25">
        <f t="shared" si="31"/>
        <v>0.99999999999999989</v>
      </c>
    </row>
    <row r="316" spans="13:21" x14ac:dyDescent="0.2">
      <c r="M316" s="20">
        <v>1.6482271217304091E-2</v>
      </c>
      <c r="N316" s="20">
        <v>1.2519148424861505E-3</v>
      </c>
      <c r="O316" s="20">
        <v>7.595523857002269E-2</v>
      </c>
      <c r="P316" s="20"/>
      <c r="Q316" s="20">
        <v>0.8</v>
      </c>
      <c r="R316" s="20">
        <v>0.19999999999999984</v>
      </c>
      <c r="S316" s="20"/>
      <c r="T316" s="20"/>
      <c r="U316" s="25">
        <f t="shared" si="31"/>
        <v>0.99999999999999989</v>
      </c>
    </row>
    <row r="317" spans="13:21" x14ac:dyDescent="0.2">
      <c r="M317" s="20">
        <v>1.0410444988919692E-2</v>
      </c>
      <c r="N317" s="20">
        <v>1.0008297977572912E-3</v>
      </c>
      <c r="O317" s="20">
        <v>9.6137081442966149E-2</v>
      </c>
      <c r="P317" s="20"/>
      <c r="Q317" s="20"/>
      <c r="R317" s="20">
        <v>0.02</v>
      </c>
      <c r="S317" s="20">
        <v>0.52</v>
      </c>
      <c r="T317" s="20">
        <v>0.45999999999999985</v>
      </c>
      <c r="U317" s="25">
        <f t="shared" si="31"/>
        <v>0.99999999999999989</v>
      </c>
    </row>
    <row r="318" spans="13:21" x14ac:dyDescent="0.2">
      <c r="M318" s="20">
        <v>1.1785079881954262E-2</v>
      </c>
      <c r="N318" s="20">
        <v>1.847221380755262E-3</v>
      </c>
      <c r="O318" s="20">
        <v>0.15674237249624365</v>
      </c>
      <c r="P318" s="20">
        <v>0.47</v>
      </c>
      <c r="Q318" s="20">
        <v>0.25</v>
      </c>
      <c r="R318" s="20">
        <v>0.26</v>
      </c>
      <c r="S318" s="20">
        <v>2.0000000000000018E-2</v>
      </c>
      <c r="T318" s="20"/>
      <c r="U318" s="25">
        <f t="shared" si="31"/>
        <v>1</v>
      </c>
    </row>
    <row r="319" spans="13:21" x14ac:dyDescent="0.2">
      <c r="M319" s="20">
        <v>1.2026988114448998E-2</v>
      </c>
      <c r="N319" s="20">
        <v>1.2001869837149513E-3</v>
      </c>
      <c r="O319" s="20">
        <v>9.9791150726512234E-2</v>
      </c>
      <c r="P319" s="20"/>
      <c r="Q319" s="20"/>
      <c r="R319" s="20"/>
      <c r="S319" s="20">
        <v>0.33</v>
      </c>
      <c r="T319" s="20">
        <v>0.66999999999999993</v>
      </c>
      <c r="U319" s="25">
        <f t="shared" si="31"/>
        <v>1</v>
      </c>
    </row>
    <row r="320" spans="13:21" x14ac:dyDescent="0.2">
      <c r="M320" s="20">
        <v>1.4851456369378523E-2</v>
      </c>
      <c r="N320" s="20">
        <v>1.4321689356242293E-3</v>
      </c>
      <c r="O320" s="20">
        <v>9.6432895199230886E-2</v>
      </c>
      <c r="P320" s="20"/>
      <c r="Q320" s="20"/>
      <c r="R320" s="20"/>
      <c r="S320" s="20">
        <v>0.1</v>
      </c>
      <c r="T320" s="20">
        <v>0.89999999999999991</v>
      </c>
      <c r="U320" s="25">
        <f t="shared" si="31"/>
        <v>0.99999999999999989</v>
      </c>
    </row>
    <row r="321" spans="13:21" x14ac:dyDescent="0.2">
      <c r="M321" s="20">
        <v>1.8132536690980541E-2</v>
      </c>
      <c r="N321" s="20">
        <v>1.2689578840029666E-3</v>
      </c>
      <c r="O321" s="20">
        <v>6.9982369572932926E-2</v>
      </c>
      <c r="P321" s="20"/>
      <c r="Q321" s="20">
        <v>0.93</v>
      </c>
      <c r="R321" s="20">
        <v>7.0000000000000062E-2</v>
      </c>
      <c r="S321" s="20"/>
      <c r="T321" s="20"/>
      <c r="U321" s="25">
        <f t="shared" si="31"/>
        <v>1</v>
      </c>
    </row>
    <row r="322" spans="13:21" x14ac:dyDescent="0.2">
      <c r="M322" s="20">
        <v>1.5347089117426063E-2</v>
      </c>
      <c r="N322" s="20">
        <v>1.7516857893477311E-3</v>
      </c>
      <c r="O322" s="20">
        <v>0.11413798251544362</v>
      </c>
      <c r="P322" s="20">
        <v>0.36</v>
      </c>
      <c r="Q322" s="20">
        <v>0.64</v>
      </c>
      <c r="R322" s="20"/>
      <c r="S322" s="20"/>
      <c r="T322" s="20"/>
      <c r="U322" s="25">
        <f t="shared" si="31"/>
        <v>1</v>
      </c>
    </row>
    <row r="323" spans="13:21" x14ac:dyDescent="0.2">
      <c r="M323" s="20">
        <v>1.6100360939876667E-2</v>
      </c>
      <c r="N323" s="20">
        <v>1.5542411212842138E-3</v>
      </c>
      <c r="O323" s="20">
        <v>9.6534551435722024E-2</v>
      </c>
      <c r="P323" s="20">
        <v>2.0000000000000018E-2</v>
      </c>
      <c r="Q323" s="20"/>
      <c r="R323" s="20"/>
      <c r="S323" s="20"/>
      <c r="T323" s="20">
        <v>0.98</v>
      </c>
      <c r="U323" s="25">
        <f t="shared" si="31"/>
        <v>1</v>
      </c>
    </row>
    <row r="324" spans="13:21" x14ac:dyDescent="0.2">
      <c r="M324" s="20">
        <v>1.1137192194739328E-2</v>
      </c>
      <c r="N324" s="20">
        <v>1.1211517600678833E-3</v>
      </c>
      <c r="O324" s="20">
        <v>0.10066736215591766</v>
      </c>
      <c r="P324" s="20"/>
      <c r="Q324" s="20">
        <v>0.23</v>
      </c>
      <c r="R324" s="20">
        <v>0.68</v>
      </c>
      <c r="S324" s="20">
        <v>8.9999999999999858E-2</v>
      </c>
      <c r="T324" s="20"/>
      <c r="U324" s="25">
        <f t="shared" si="31"/>
        <v>0.99999999999999989</v>
      </c>
    </row>
    <row r="325" spans="13:21" x14ac:dyDescent="0.2">
      <c r="M325" s="20">
        <v>9.305357717029351E-3</v>
      </c>
      <c r="N325" s="20">
        <v>8.9897711019362985E-4</v>
      </c>
      <c r="O325" s="20">
        <v>9.6608549346625217E-2</v>
      </c>
      <c r="P325" s="20">
        <v>0</v>
      </c>
      <c r="Q325" s="20"/>
      <c r="R325" s="20">
        <v>0.31</v>
      </c>
      <c r="S325" s="20">
        <v>0.51</v>
      </c>
      <c r="T325" s="20">
        <v>0.18</v>
      </c>
      <c r="U325" s="25">
        <f t="shared" si="31"/>
        <v>1</v>
      </c>
    </row>
    <row r="326" spans="13:21" x14ac:dyDescent="0.2">
      <c r="M326" s="20">
        <v>1.561852098904238E-2</v>
      </c>
      <c r="N326" s="20">
        <v>1.6072672898806109E-3</v>
      </c>
      <c r="O326" s="20">
        <v>0.10290777795210157</v>
      </c>
      <c r="P326" s="20">
        <v>6.999999999999984E-2</v>
      </c>
      <c r="Q326" s="20"/>
      <c r="R326" s="20"/>
      <c r="S326" s="20"/>
      <c r="T326" s="20">
        <v>0.93</v>
      </c>
      <c r="U326" s="25">
        <f t="shared" si="31"/>
        <v>0.99999999999999989</v>
      </c>
    </row>
    <row r="327" spans="13:21" x14ac:dyDescent="0.2">
      <c r="M327" s="20">
        <v>1.3429607498338993E-2</v>
      </c>
      <c r="N327" s="20">
        <v>1.9360295351782773E-3</v>
      </c>
      <c r="O327" s="20">
        <v>0.14416128955501717</v>
      </c>
      <c r="P327" s="20">
        <v>0.38</v>
      </c>
      <c r="Q327" s="20"/>
      <c r="R327" s="20"/>
      <c r="S327" s="20"/>
      <c r="T327" s="20">
        <v>0.62</v>
      </c>
      <c r="U327" s="25">
        <f t="shared" si="31"/>
        <v>1</v>
      </c>
    </row>
    <row r="328" spans="13:21" x14ac:dyDescent="0.2">
      <c r="M328" s="20">
        <v>1.0293138345401874E-2</v>
      </c>
      <c r="N328" s="20">
        <v>1.0536414196930565E-3</v>
      </c>
      <c r="O328" s="20">
        <v>0.10236347597171241</v>
      </c>
      <c r="P328" s="20"/>
      <c r="Q328" s="20"/>
      <c r="R328" s="20">
        <v>0.85</v>
      </c>
      <c r="S328" s="20">
        <v>0.15000000000000002</v>
      </c>
      <c r="T328" s="20"/>
      <c r="U328" s="25">
        <f t="shared" si="31"/>
        <v>1</v>
      </c>
    </row>
    <row r="329" spans="13:21" x14ac:dyDescent="0.2">
      <c r="M329" s="20">
        <v>1.1011496179443497E-2</v>
      </c>
      <c r="N329" s="20">
        <v>1.7716754706736059E-3</v>
      </c>
      <c r="O329" s="20">
        <v>0.16089325572132593</v>
      </c>
      <c r="P329" s="20">
        <v>0.47</v>
      </c>
      <c r="Q329" s="20">
        <v>3.0000000000000138E-2</v>
      </c>
      <c r="R329" s="20"/>
      <c r="S329" s="20">
        <v>0.25</v>
      </c>
      <c r="T329" s="20">
        <v>0.25</v>
      </c>
      <c r="U329" s="25">
        <f t="shared" si="31"/>
        <v>1</v>
      </c>
    </row>
    <row r="330" spans="13:21" x14ac:dyDescent="0.2">
      <c r="M330" s="20">
        <v>1.5413130945862857E-2</v>
      </c>
      <c r="N330" s="20">
        <v>1.2401158137437399E-3</v>
      </c>
      <c r="O330" s="20">
        <v>8.0458397330141915E-2</v>
      </c>
      <c r="P330" s="20"/>
      <c r="Q330" s="20">
        <v>0.71</v>
      </c>
      <c r="R330" s="20">
        <v>0.28999999999999992</v>
      </c>
      <c r="S330" s="20"/>
      <c r="T330" s="20"/>
      <c r="U330" s="25">
        <f t="shared" si="31"/>
        <v>0.99999999999999989</v>
      </c>
    </row>
    <row r="331" spans="13:21" x14ac:dyDescent="0.2">
      <c r="M331" s="20">
        <v>1.0602495561197557E-2</v>
      </c>
      <c r="N331" s="20">
        <v>1.0186358909163862E-3</v>
      </c>
      <c r="O331" s="20">
        <v>9.6075106566828938E-2</v>
      </c>
      <c r="P331" s="20"/>
      <c r="Q331" s="20"/>
      <c r="R331" s="20"/>
      <c r="S331" s="20">
        <v>0.51</v>
      </c>
      <c r="T331" s="20">
        <v>0.4900000000000001</v>
      </c>
      <c r="U331" s="25">
        <f t="shared" si="31"/>
        <v>1</v>
      </c>
    </row>
    <row r="332" spans="13:21" x14ac:dyDescent="0.2">
      <c r="M332" s="20">
        <v>1.4227492800594427E-2</v>
      </c>
      <c r="N332" s="20">
        <v>1.7875562631083641E-3</v>
      </c>
      <c r="O332" s="20">
        <v>0.12564098876463181</v>
      </c>
      <c r="P332" s="20">
        <v>0.2400000000000001</v>
      </c>
      <c r="Q332" s="20"/>
      <c r="R332" s="20"/>
      <c r="S332" s="20"/>
      <c r="T332" s="20">
        <v>0.76</v>
      </c>
      <c r="U332" s="25">
        <f t="shared" si="31"/>
        <v>1</v>
      </c>
    </row>
    <row r="333" spans="13:21" x14ac:dyDescent="0.2">
      <c r="M333" s="20">
        <v>1.0190149252564945E-2</v>
      </c>
      <c r="N333" s="20">
        <v>8.7742948540639064E-4</v>
      </c>
      <c r="O333" s="20">
        <v>8.6105655928987931E-2</v>
      </c>
      <c r="P333" s="20"/>
      <c r="Q333" s="20"/>
      <c r="R333" s="20"/>
      <c r="S333" s="20">
        <v>0.65</v>
      </c>
      <c r="T333" s="20">
        <v>0.35</v>
      </c>
      <c r="U333" s="25">
        <f t="shared" si="31"/>
        <v>1</v>
      </c>
    </row>
    <row r="334" spans="13:21" x14ac:dyDescent="0.2">
      <c r="M334" s="20">
        <v>1.1731097917938284E-2</v>
      </c>
      <c r="N334" s="20">
        <v>1.1699284682485237E-3</v>
      </c>
      <c r="O334" s="20">
        <v>9.9728812804431549E-2</v>
      </c>
      <c r="P334" s="20"/>
      <c r="Q334" s="20"/>
      <c r="R334" s="20">
        <v>0</v>
      </c>
      <c r="S334" s="20">
        <v>0.36</v>
      </c>
      <c r="T334" s="20">
        <v>0.64</v>
      </c>
      <c r="U334" s="25">
        <f t="shared" si="31"/>
        <v>1</v>
      </c>
    </row>
    <row r="335" spans="13:21" x14ac:dyDescent="0.2">
      <c r="M335" s="20">
        <v>1.0972784808687778E-2</v>
      </c>
      <c r="N335" s="20">
        <v>1.1283559535370546E-3</v>
      </c>
      <c r="O335" s="20">
        <v>0.10283223203681814</v>
      </c>
      <c r="P335" s="20"/>
      <c r="Q335" s="20"/>
      <c r="R335" s="20">
        <v>0.97</v>
      </c>
      <c r="S335" s="20">
        <v>3.0000000000000027E-2</v>
      </c>
      <c r="T335" s="20"/>
      <c r="U335" s="25">
        <f t="shared" si="31"/>
        <v>1</v>
      </c>
    </row>
    <row r="336" spans="13:21" x14ac:dyDescent="0.2">
      <c r="M336" s="20">
        <v>1.0695326473710852E-2</v>
      </c>
      <c r="N336" s="20">
        <v>7.8494091266910915E-4</v>
      </c>
      <c r="O336" s="20">
        <v>7.3391019395106505E-2</v>
      </c>
      <c r="P336" s="20"/>
      <c r="Q336" s="20">
        <v>0.08</v>
      </c>
      <c r="R336" s="20">
        <v>0.03</v>
      </c>
      <c r="S336" s="20">
        <v>0.71</v>
      </c>
      <c r="T336" s="20">
        <v>0.18000000000000005</v>
      </c>
      <c r="U336" s="25">
        <f t="shared" si="31"/>
        <v>1</v>
      </c>
    </row>
    <row r="337" spans="13:21" x14ac:dyDescent="0.2">
      <c r="M337" s="20">
        <v>9.6089874853925138E-3</v>
      </c>
      <c r="N337" s="20">
        <v>9.1666477431239315E-4</v>
      </c>
      <c r="O337" s="20">
        <v>9.5396604034077237E-2</v>
      </c>
      <c r="P337" s="20"/>
      <c r="Q337" s="20"/>
      <c r="R337" s="20">
        <v>0.63</v>
      </c>
      <c r="S337" s="20">
        <v>0.37000000000000011</v>
      </c>
      <c r="T337" s="20"/>
      <c r="U337" s="25">
        <f t="shared" si="31"/>
        <v>1</v>
      </c>
    </row>
    <row r="338" spans="13:21" x14ac:dyDescent="0.2">
      <c r="M338" s="20">
        <v>9.7939735866188482E-3</v>
      </c>
      <c r="N338" s="20">
        <v>7.734619177780631E-4</v>
      </c>
      <c r="O338" s="20">
        <v>7.8973249308617308E-2</v>
      </c>
      <c r="P338" s="20"/>
      <c r="Q338" s="20"/>
      <c r="R338" s="20">
        <v>0.4</v>
      </c>
      <c r="S338" s="20">
        <v>0.6</v>
      </c>
      <c r="T338" s="20"/>
      <c r="U338" s="25">
        <f t="shared" si="31"/>
        <v>1</v>
      </c>
    </row>
    <row r="339" spans="13:21" x14ac:dyDescent="0.2">
      <c r="M339" s="20">
        <v>1.1103742306070523E-2</v>
      </c>
      <c r="N339" s="20">
        <v>1.1408083758443876E-3</v>
      </c>
      <c r="O339" s="20">
        <v>0.10274089080946129</v>
      </c>
      <c r="P339" s="20"/>
      <c r="Q339" s="20"/>
      <c r="R339" s="20">
        <v>0.99</v>
      </c>
      <c r="S339" s="20">
        <v>1.0000000000000009E-2</v>
      </c>
      <c r="T339" s="20"/>
      <c r="U339" s="25">
        <f t="shared" si="31"/>
        <v>1</v>
      </c>
    </row>
    <row r="340" spans="13:21" x14ac:dyDescent="0.2">
      <c r="M340" s="20">
        <v>1.0520100903489369E-2</v>
      </c>
      <c r="N340" s="20">
        <v>7.26136908074253E-4</v>
      </c>
      <c r="O340" s="20">
        <v>6.9023758872256036E-2</v>
      </c>
      <c r="P340" s="20"/>
      <c r="Q340" s="20"/>
      <c r="R340" s="20"/>
      <c r="S340" s="20">
        <v>0.8</v>
      </c>
      <c r="T340" s="20">
        <v>0.20000000000000007</v>
      </c>
      <c r="U340" s="25">
        <f t="shared" si="31"/>
        <v>1</v>
      </c>
    </row>
    <row r="341" spans="13:21" x14ac:dyDescent="0.2">
      <c r="M341" s="20">
        <v>1.4161652659714672E-2</v>
      </c>
      <c r="N341" s="20">
        <v>2.0147696132308181E-3</v>
      </c>
      <c r="O341" s="20">
        <v>0.14226938491170504</v>
      </c>
      <c r="P341" s="20">
        <v>0.56000000000000005</v>
      </c>
      <c r="Q341" s="20">
        <v>0.43999999999999984</v>
      </c>
      <c r="R341" s="20"/>
      <c r="S341" s="20"/>
      <c r="T341" s="20"/>
      <c r="U341" s="25">
        <f t="shared" si="31"/>
        <v>0.99999999999999989</v>
      </c>
    </row>
    <row r="342" spans="13:21" x14ac:dyDescent="0.2">
      <c r="M342" s="20">
        <v>1.6766106517757347E-2</v>
      </c>
      <c r="N342" s="20">
        <v>1.5267535358535061E-3</v>
      </c>
      <c r="O342" s="20">
        <v>9.1061901237266277E-2</v>
      </c>
      <c r="P342" s="20">
        <v>0.19</v>
      </c>
      <c r="Q342" s="20">
        <v>0.8</v>
      </c>
      <c r="R342" s="20">
        <v>1.000000000000012E-2</v>
      </c>
      <c r="S342" s="20"/>
      <c r="T342" s="20"/>
      <c r="U342" s="25">
        <f t="shared" si="31"/>
        <v>1</v>
      </c>
    </row>
    <row r="343" spans="13:21" x14ac:dyDescent="0.2">
      <c r="M343" s="20">
        <v>1.1863708145930605E-2</v>
      </c>
      <c r="N343" s="20">
        <v>5.4458581527568766E-4</v>
      </c>
      <c r="O343" s="20">
        <v>4.5903507451208428E-2</v>
      </c>
      <c r="P343" s="20"/>
      <c r="Q343" s="20"/>
      <c r="R343" s="20"/>
      <c r="S343" s="20">
        <v>0.98</v>
      </c>
      <c r="T343" s="20">
        <v>2.0000000000000129E-2</v>
      </c>
      <c r="U343" s="25">
        <f t="shared" si="31"/>
        <v>1</v>
      </c>
    </row>
    <row r="344" spans="13:21" x14ac:dyDescent="0.2">
      <c r="M344" s="20">
        <v>1.4076638263943288E-2</v>
      </c>
      <c r="N344" s="20">
        <v>2.4357037314437571E-3</v>
      </c>
      <c r="O344" s="20">
        <v>0.17303163481033032</v>
      </c>
      <c r="P344" s="20">
        <v>0.88</v>
      </c>
      <c r="Q344" s="20">
        <v>0.12000000000000011</v>
      </c>
      <c r="R344" s="20"/>
      <c r="S344" s="20"/>
      <c r="T344" s="20"/>
      <c r="U344" s="25">
        <f t="shared" si="31"/>
        <v>1</v>
      </c>
    </row>
    <row r="345" spans="13:21" x14ac:dyDescent="0.2">
      <c r="M345" s="20">
        <v>9.8517444126806422E-3</v>
      </c>
      <c r="N345" s="20">
        <v>9.8515309700272476E-4</v>
      </c>
      <c r="O345" s="20">
        <v>9.9997833453199209E-2</v>
      </c>
      <c r="P345" s="20"/>
      <c r="Q345" s="20"/>
      <c r="R345" s="20">
        <v>0.74</v>
      </c>
      <c r="S345" s="20">
        <v>0.26</v>
      </c>
      <c r="T345" s="20"/>
      <c r="U345" s="25">
        <f t="shared" si="31"/>
        <v>1</v>
      </c>
    </row>
    <row r="346" spans="13:21" x14ac:dyDescent="0.2">
      <c r="M346" s="20">
        <v>1.1088520222955187E-2</v>
      </c>
      <c r="N346" s="20">
        <v>1.2932424058249043E-3</v>
      </c>
      <c r="O346" s="20">
        <v>0.1166289441532212</v>
      </c>
      <c r="P346" s="20"/>
      <c r="Q346" s="20">
        <v>0.08</v>
      </c>
      <c r="R346" s="20">
        <v>0.49</v>
      </c>
      <c r="S346" s="20">
        <v>0.03</v>
      </c>
      <c r="T346" s="20">
        <v>0.39999999999999991</v>
      </c>
      <c r="U346" s="25">
        <f t="shared" si="31"/>
        <v>0.99999999999999989</v>
      </c>
    </row>
    <row r="347" spans="13:21" x14ac:dyDescent="0.2">
      <c r="M347" s="20">
        <v>1.086401582268819E-2</v>
      </c>
      <c r="N347" s="20">
        <v>8.4383260278060178E-4</v>
      </c>
      <c r="O347" s="20">
        <v>7.7672254583646599E-2</v>
      </c>
      <c r="P347" s="20">
        <v>0.13</v>
      </c>
      <c r="Q347" s="20"/>
      <c r="R347" s="20">
        <v>0</v>
      </c>
      <c r="S347" s="20">
        <v>0.82</v>
      </c>
      <c r="T347" s="20">
        <v>0.05</v>
      </c>
      <c r="U347" s="25">
        <f t="shared" si="31"/>
        <v>1</v>
      </c>
    </row>
    <row r="348" spans="13:21" x14ac:dyDescent="0.2">
      <c r="M348" s="20">
        <v>1.0904073929013512E-2</v>
      </c>
      <c r="N348" s="20">
        <v>1.00031579908411E-3</v>
      </c>
      <c r="O348" s="20">
        <v>9.1737804200178255E-2</v>
      </c>
      <c r="P348" s="20">
        <v>0.22999999999999998</v>
      </c>
      <c r="Q348" s="20"/>
      <c r="R348" s="20"/>
      <c r="S348" s="20">
        <v>0.77</v>
      </c>
      <c r="T348" s="20">
        <v>0</v>
      </c>
      <c r="U348" s="25">
        <f t="shared" si="31"/>
        <v>1</v>
      </c>
    </row>
    <row r="349" spans="13:21" x14ac:dyDescent="0.2">
      <c r="M349" s="20">
        <v>1.2468554249007568E-2</v>
      </c>
      <c r="N349" s="20">
        <v>1.8425424430294948E-3</v>
      </c>
      <c r="O349" s="20">
        <v>0.1477751474816057</v>
      </c>
      <c r="P349" s="20">
        <v>0.45</v>
      </c>
      <c r="Q349" s="20">
        <v>0.34</v>
      </c>
      <c r="R349" s="20">
        <v>0.20999999999999996</v>
      </c>
      <c r="S349" s="20"/>
      <c r="T349" s="20"/>
      <c r="U349" s="25">
        <f t="shared" si="31"/>
        <v>1</v>
      </c>
    </row>
    <row r="350" spans="13:21" x14ac:dyDescent="0.2">
      <c r="M350" s="20">
        <v>1.1545579285161933E-2</v>
      </c>
      <c r="N350" s="20">
        <v>1.1497561246042389E-3</v>
      </c>
      <c r="O350" s="20">
        <v>9.9584100217636931E-2</v>
      </c>
      <c r="P350" s="20"/>
      <c r="Q350" s="20"/>
      <c r="R350" s="20"/>
      <c r="S350" s="20">
        <v>0.38</v>
      </c>
      <c r="T350" s="20">
        <v>0.62000000000000011</v>
      </c>
      <c r="U350" s="25">
        <f t="shared" si="31"/>
        <v>1</v>
      </c>
    </row>
    <row r="351" spans="13:21" x14ac:dyDescent="0.2">
      <c r="M351" s="20">
        <v>1.8528130402520309E-2</v>
      </c>
      <c r="N351" s="20">
        <v>1.27289089358377E-3</v>
      </c>
      <c r="O351" s="20">
        <v>6.8700449852761386E-2</v>
      </c>
      <c r="P351" s="20"/>
      <c r="Q351" s="20">
        <v>0.96</v>
      </c>
      <c r="R351" s="20">
        <v>3.9999999999999925E-2</v>
      </c>
      <c r="S351" s="20"/>
      <c r="T351" s="20"/>
      <c r="U351" s="25">
        <f t="shared" si="31"/>
        <v>0.99999999999999989</v>
      </c>
    </row>
    <row r="352" spans="13:21" x14ac:dyDescent="0.2">
      <c r="M352" s="20">
        <v>1.4123718142303426E-2</v>
      </c>
      <c r="N352" s="20">
        <v>2.0279238044249724E-3</v>
      </c>
      <c r="O352" s="20">
        <v>0.14358285714800026</v>
      </c>
      <c r="P352" s="20">
        <v>0.56999999999999995</v>
      </c>
      <c r="Q352" s="20">
        <v>0.43000000000000005</v>
      </c>
      <c r="R352" s="20"/>
      <c r="S352" s="20"/>
      <c r="T352" s="20"/>
      <c r="U352" s="25">
        <f t="shared" si="31"/>
        <v>1</v>
      </c>
    </row>
    <row r="353" spans="13:21" x14ac:dyDescent="0.2">
      <c r="M353" s="20">
        <v>1.0215281154175082E-2</v>
      </c>
      <c r="N353" s="20">
        <v>1.6535369275940735E-3</v>
      </c>
      <c r="O353" s="20">
        <v>0.16186895912485555</v>
      </c>
      <c r="P353" s="20">
        <v>0.34000000000000008</v>
      </c>
      <c r="Q353" s="20"/>
      <c r="R353" s="20">
        <v>0.23</v>
      </c>
      <c r="S353" s="20">
        <v>0.15</v>
      </c>
      <c r="T353" s="20">
        <v>0.28000000000000003</v>
      </c>
      <c r="U353" s="25">
        <f t="shared" si="31"/>
        <v>1</v>
      </c>
    </row>
    <row r="354" spans="13:21" x14ac:dyDescent="0.2">
      <c r="M354" s="20">
        <v>1.0933102399933914E-2</v>
      </c>
      <c r="N354" s="20">
        <v>6.5553370531925507E-4</v>
      </c>
      <c r="O354" s="20">
        <v>5.9958617539630603E-2</v>
      </c>
      <c r="P354" s="20"/>
      <c r="Q354" s="20"/>
      <c r="R354" s="20"/>
      <c r="S354" s="20">
        <v>0.87</v>
      </c>
      <c r="T354" s="20">
        <v>0.12999999999999989</v>
      </c>
      <c r="U354" s="25">
        <f t="shared" si="31"/>
        <v>0.99999999999999989</v>
      </c>
    </row>
    <row r="355" spans="13:21" x14ac:dyDescent="0.2">
      <c r="M355" s="20">
        <v>1.0416425364298374E-2</v>
      </c>
      <c r="N355" s="20">
        <v>1.1793356909286126E-3</v>
      </c>
      <c r="O355" s="20">
        <v>0.11321884904688219</v>
      </c>
      <c r="P355" s="20">
        <v>0.18</v>
      </c>
      <c r="Q355" s="20">
        <v>0.16</v>
      </c>
      <c r="R355" s="20">
        <v>0.26</v>
      </c>
      <c r="S355" s="20">
        <v>0.39999999999999991</v>
      </c>
      <c r="T355" s="20"/>
      <c r="U355" s="25">
        <f t="shared" si="31"/>
        <v>0.99999999999999989</v>
      </c>
    </row>
    <row r="356" spans="13:21" x14ac:dyDescent="0.2">
      <c r="M356" s="20">
        <v>1.4830630810695749E-2</v>
      </c>
      <c r="N356" s="20">
        <v>1.7027143933541276E-3</v>
      </c>
      <c r="O356" s="20">
        <v>0.11481065202743378</v>
      </c>
      <c r="P356" s="20">
        <v>0.16000000000000014</v>
      </c>
      <c r="Q356" s="20"/>
      <c r="R356" s="20"/>
      <c r="S356" s="20"/>
      <c r="T356" s="20">
        <v>0.84</v>
      </c>
      <c r="U356" s="25">
        <f t="shared" si="31"/>
        <v>1</v>
      </c>
    </row>
    <row r="357" spans="13:21" x14ac:dyDescent="0.2">
      <c r="M357" s="20">
        <v>9.8911012086936884E-3</v>
      </c>
      <c r="N357" s="20">
        <v>1.3063030534803115E-3</v>
      </c>
      <c r="O357" s="20">
        <v>0.1320685155189949</v>
      </c>
      <c r="P357" s="20">
        <v>0.23</v>
      </c>
      <c r="Q357" s="20">
        <v>0.28999999999999998</v>
      </c>
      <c r="R357" s="20">
        <v>0.13</v>
      </c>
      <c r="S357" s="20">
        <v>7.0000000000000007E-2</v>
      </c>
      <c r="T357" s="20">
        <v>0.1</v>
      </c>
      <c r="U357" s="25">
        <f t="shared" si="31"/>
        <v>0.82</v>
      </c>
    </row>
    <row r="358" spans="13:21" x14ac:dyDescent="0.2">
      <c r="M358" s="20">
        <v>1.3993973667379783E-2</v>
      </c>
      <c r="N358" s="20">
        <v>2.0805405692015896E-3</v>
      </c>
      <c r="O358" s="20">
        <v>0.14867403774321578</v>
      </c>
      <c r="P358" s="20">
        <v>0.61</v>
      </c>
      <c r="Q358" s="20">
        <v>0.3899999999999999</v>
      </c>
      <c r="R358" s="20"/>
      <c r="S358" s="20"/>
      <c r="T358" s="20"/>
      <c r="U358" s="25">
        <f t="shared" si="31"/>
        <v>0.99999999999999989</v>
      </c>
    </row>
    <row r="359" spans="13:21" x14ac:dyDescent="0.2">
      <c r="M359" s="20">
        <v>1.3315331776181161E-2</v>
      </c>
      <c r="N359" s="20">
        <v>9.5698128456344787E-4</v>
      </c>
      <c r="O359" s="20">
        <v>7.1870630086388304E-2</v>
      </c>
      <c r="P359" s="20"/>
      <c r="Q359" s="20">
        <v>0.45</v>
      </c>
      <c r="R359" s="20">
        <v>0.15</v>
      </c>
      <c r="S359" s="20">
        <v>0.40000000000000013</v>
      </c>
      <c r="T359" s="20"/>
      <c r="U359" s="25">
        <f t="shared" si="31"/>
        <v>1</v>
      </c>
    </row>
    <row r="360" spans="13:21" x14ac:dyDescent="0.2">
      <c r="M360" s="20">
        <v>1.3149501142675957E-2</v>
      </c>
      <c r="N360" s="20">
        <v>1.7267767286693084E-3</v>
      </c>
      <c r="O360" s="20">
        <v>0.13131880136997387</v>
      </c>
      <c r="P360" s="20">
        <v>0.36</v>
      </c>
      <c r="Q360" s="20">
        <v>0.45</v>
      </c>
      <c r="R360" s="20">
        <v>0.19000000000000006</v>
      </c>
      <c r="S360" s="20"/>
      <c r="T360" s="20"/>
      <c r="U360" s="25">
        <f t="shared" si="31"/>
        <v>1</v>
      </c>
    </row>
    <row r="361" spans="13:21" x14ac:dyDescent="0.2">
      <c r="M361" s="20">
        <v>1.2510775846695479E-2</v>
      </c>
      <c r="N361" s="20">
        <v>8.4031886458796768E-4</v>
      </c>
      <c r="O361" s="20">
        <v>6.7167606140903266E-2</v>
      </c>
      <c r="P361" s="20"/>
      <c r="Q361" s="20">
        <v>0.32</v>
      </c>
      <c r="R361" s="20">
        <v>0.12</v>
      </c>
      <c r="S361" s="20">
        <v>0.55999999999999994</v>
      </c>
      <c r="T361" s="20"/>
      <c r="U361" s="25">
        <f t="shared" si="31"/>
        <v>1</v>
      </c>
    </row>
    <row r="362" spans="13:21" x14ac:dyDescent="0.2">
      <c r="M362" s="20">
        <v>1.2361821084465869E-2</v>
      </c>
      <c r="N362" s="20">
        <v>1.4131621303962361E-3</v>
      </c>
      <c r="O362" s="20">
        <v>0.11431666262926635</v>
      </c>
      <c r="P362" s="20">
        <v>0.05</v>
      </c>
      <c r="Q362" s="20">
        <v>0.33</v>
      </c>
      <c r="R362" s="20">
        <v>0.22999999999999998</v>
      </c>
      <c r="S362" s="20"/>
      <c r="T362" s="20">
        <v>0.39</v>
      </c>
      <c r="U362" s="25">
        <f t="shared" si="31"/>
        <v>1</v>
      </c>
    </row>
    <row r="363" spans="13:21" x14ac:dyDescent="0.2">
      <c r="M363" s="20">
        <v>1.0467875189160642E-2</v>
      </c>
      <c r="N363" s="20">
        <v>1.6111876513416907E-3</v>
      </c>
      <c r="O363" s="20">
        <v>0.15391735402138307</v>
      </c>
      <c r="P363" s="20">
        <v>0.31</v>
      </c>
      <c r="Q363" s="20">
        <v>0.12</v>
      </c>
      <c r="R363" s="20">
        <v>0.56999999999999995</v>
      </c>
      <c r="S363" s="20"/>
      <c r="T363" s="20"/>
      <c r="U363" s="25">
        <f t="shared" si="31"/>
        <v>1</v>
      </c>
    </row>
    <row r="364" spans="13:21" x14ac:dyDescent="0.2">
      <c r="M364" s="20">
        <v>1.2594021430082361E-2</v>
      </c>
      <c r="N364" s="20">
        <v>9.5534147655550715E-4</v>
      </c>
      <c r="O364" s="20">
        <v>7.5856745350103755E-2</v>
      </c>
      <c r="P364" s="20"/>
      <c r="Q364" s="20">
        <v>0.39</v>
      </c>
      <c r="R364" s="20">
        <v>0.22</v>
      </c>
      <c r="S364" s="20">
        <v>0.39</v>
      </c>
      <c r="T364" s="20"/>
      <c r="U364" s="25">
        <f t="shared" si="31"/>
        <v>1</v>
      </c>
    </row>
    <row r="365" spans="13:21" x14ac:dyDescent="0.2">
      <c r="M365" s="20">
        <v>1.4087966762898614E-2</v>
      </c>
      <c r="N365" s="20">
        <v>2.0410779956191267E-3</v>
      </c>
      <c r="O365" s="20">
        <v>0.14488094910859745</v>
      </c>
      <c r="P365" s="20">
        <v>0.57999999999999996</v>
      </c>
      <c r="Q365" s="20">
        <v>0.41999999999999993</v>
      </c>
      <c r="R365" s="20"/>
      <c r="S365" s="20"/>
      <c r="T365" s="20"/>
      <c r="U365" s="25">
        <f t="shared" ref="U365:U428" si="32">SUM(P365:T365)</f>
        <v>0.99999999999999989</v>
      </c>
    </row>
    <row r="366" spans="13:21" x14ac:dyDescent="0.2">
      <c r="M366" s="20">
        <v>1.4229806726489977E-2</v>
      </c>
      <c r="N366" s="20">
        <v>2.4883204962203743E-3</v>
      </c>
      <c r="O366" s="20">
        <v>0.17486678097940409</v>
      </c>
      <c r="P366" s="20">
        <v>0.92</v>
      </c>
      <c r="Q366" s="20">
        <v>7.9999999999999849E-2</v>
      </c>
      <c r="R366" s="20"/>
      <c r="S366" s="20"/>
      <c r="T366" s="20"/>
      <c r="U366" s="25">
        <f t="shared" si="32"/>
        <v>0.99999999999999989</v>
      </c>
    </row>
    <row r="367" spans="13:21" x14ac:dyDescent="0.2">
      <c r="M367" s="20">
        <v>1.0472854233528233E-2</v>
      </c>
      <c r="N367" s="20">
        <v>9.7630909552561278E-4</v>
      </c>
      <c r="O367" s="20">
        <v>9.3222828634434346E-2</v>
      </c>
      <c r="P367" s="20"/>
      <c r="Q367" s="20">
        <v>0.17</v>
      </c>
      <c r="R367" s="20">
        <v>0.52</v>
      </c>
      <c r="S367" s="20">
        <v>0.31000000000000005</v>
      </c>
      <c r="T367" s="20"/>
      <c r="U367" s="25">
        <f t="shared" si="32"/>
        <v>1</v>
      </c>
    </row>
    <row r="368" spans="13:21" x14ac:dyDescent="0.2">
      <c r="M368" s="20">
        <v>1.446912698500487E-2</v>
      </c>
      <c r="N368" s="20">
        <v>2.5540914521911462E-3</v>
      </c>
      <c r="O368" s="20">
        <v>0.17652007994940452</v>
      </c>
      <c r="P368" s="20">
        <v>0.97</v>
      </c>
      <c r="Q368" s="20">
        <v>3.0000000000000027E-2</v>
      </c>
      <c r="R368" s="20"/>
      <c r="S368" s="20"/>
      <c r="T368" s="20"/>
      <c r="U368" s="25">
        <f t="shared" si="32"/>
        <v>1</v>
      </c>
    </row>
    <row r="369" spans="13:21" x14ac:dyDescent="0.2">
      <c r="M369" s="20">
        <v>1.1380187014692003E-2</v>
      </c>
      <c r="N369" s="20">
        <v>1.8295802380650396E-3</v>
      </c>
      <c r="O369" s="20">
        <v>0.16076890790133963</v>
      </c>
      <c r="P369" s="20">
        <v>0.52</v>
      </c>
      <c r="Q369" s="20">
        <v>8.9999999999999969E-2</v>
      </c>
      <c r="R369" s="20"/>
      <c r="S369" s="20">
        <v>0.23</v>
      </c>
      <c r="T369" s="20">
        <v>0.16</v>
      </c>
      <c r="U369" s="25">
        <f t="shared" si="32"/>
        <v>1</v>
      </c>
    </row>
    <row r="370" spans="13:21" x14ac:dyDescent="0.2">
      <c r="M370" s="20">
        <v>1.6023001798703872E-2</v>
      </c>
      <c r="N370" s="20">
        <v>1.6464522597944965E-3</v>
      </c>
      <c r="O370" s="20">
        <v>0.10275554359156851</v>
      </c>
      <c r="P370" s="20">
        <v>0.28000000000000003</v>
      </c>
      <c r="Q370" s="20">
        <v>0.72</v>
      </c>
      <c r="R370" s="20"/>
      <c r="S370" s="20"/>
      <c r="T370" s="20"/>
      <c r="U370" s="25">
        <f t="shared" si="32"/>
        <v>1</v>
      </c>
    </row>
    <row r="371" spans="13:21" x14ac:dyDescent="0.2">
      <c r="M371" s="20">
        <v>1.0311232922207451E-2</v>
      </c>
      <c r="N371" s="20">
        <v>9.4803268816138857E-4</v>
      </c>
      <c r="O371" s="20">
        <v>9.1941739199741773E-2</v>
      </c>
      <c r="P371" s="20"/>
      <c r="Q371" s="20"/>
      <c r="R371" s="20"/>
      <c r="S371" s="20">
        <v>0.57999999999999996</v>
      </c>
      <c r="T371" s="20">
        <v>0.42000000000000015</v>
      </c>
      <c r="U371" s="25">
        <f t="shared" si="32"/>
        <v>1</v>
      </c>
    </row>
    <row r="372" spans="13:21" x14ac:dyDescent="0.2">
      <c r="M372" s="20">
        <v>1.4027511296019176E-2</v>
      </c>
      <c r="N372" s="20">
        <v>1.8193719642662022E-3</v>
      </c>
      <c r="O372" s="20">
        <v>0.12970026727282097</v>
      </c>
      <c r="P372" s="20">
        <v>0.27</v>
      </c>
      <c r="Q372" s="20"/>
      <c r="R372" s="20"/>
      <c r="S372" s="20"/>
      <c r="T372" s="20">
        <v>0.73</v>
      </c>
      <c r="U372" s="25">
        <f t="shared" si="32"/>
        <v>1</v>
      </c>
    </row>
    <row r="373" spans="13:21" x14ac:dyDescent="0.2">
      <c r="M373" s="20">
        <v>1.0609423841950221E-2</v>
      </c>
      <c r="N373" s="20">
        <v>1.310624333837302E-3</v>
      </c>
      <c r="O373" s="20">
        <v>0.12353397822179789</v>
      </c>
      <c r="P373" s="20">
        <v>5.0000000000000044E-2</v>
      </c>
      <c r="Q373" s="20"/>
      <c r="R373" s="20">
        <v>0.4</v>
      </c>
      <c r="S373" s="20">
        <v>0.12</v>
      </c>
      <c r="T373" s="20">
        <v>0.43</v>
      </c>
      <c r="U373" s="25">
        <f t="shared" si="32"/>
        <v>1</v>
      </c>
    </row>
    <row r="374" spans="13:21" x14ac:dyDescent="0.2">
      <c r="M374" s="20">
        <v>1.4027511296019176E-2</v>
      </c>
      <c r="N374" s="20">
        <v>1.8193719642662027E-3</v>
      </c>
      <c r="O374" s="20">
        <v>0.129700267272821</v>
      </c>
      <c r="P374" s="20">
        <v>0.27000000000000013</v>
      </c>
      <c r="Q374" s="20"/>
      <c r="R374" s="20"/>
      <c r="S374" s="20"/>
      <c r="T374" s="20">
        <v>0.73</v>
      </c>
      <c r="U374" s="25">
        <f t="shared" si="32"/>
        <v>1</v>
      </c>
    </row>
    <row r="375" spans="13:21" x14ac:dyDescent="0.2">
      <c r="M375" s="20">
        <v>1.3834362163160021E-2</v>
      </c>
      <c r="N375" s="20">
        <v>2.1989282899489786E-3</v>
      </c>
      <c r="O375" s="20">
        <v>0.15894685017026497</v>
      </c>
      <c r="P375" s="20">
        <v>0.7</v>
      </c>
      <c r="Q375" s="20">
        <v>0.30000000000000004</v>
      </c>
      <c r="R375" s="20"/>
      <c r="S375" s="20"/>
      <c r="T375" s="20"/>
      <c r="U375" s="25">
        <f t="shared" si="32"/>
        <v>1</v>
      </c>
    </row>
    <row r="376" spans="13:21" x14ac:dyDescent="0.2">
      <c r="M376" s="20">
        <v>1.5546131243015434E-2</v>
      </c>
      <c r="N376" s="20">
        <v>1.6977580213775128E-3</v>
      </c>
      <c r="O376" s="20">
        <v>0.10920775045819078</v>
      </c>
      <c r="P376" s="20">
        <v>0.32</v>
      </c>
      <c r="Q376" s="20">
        <v>0.67</v>
      </c>
      <c r="R376" s="20">
        <v>1.0000000000000009E-2</v>
      </c>
      <c r="S376" s="20"/>
      <c r="T376" s="20"/>
      <c r="U376" s="25">
        <f t="shared" si="32"/>
        <v>1</v>
      </c>
    </row>
    <row r="377" spans="13:21" x14ac:dyDescent="0.2">
      <c r="M377" s="20">
        <v>1.3545034331299156E-2</v>
      </c>
      <c r="N377" s="20">
        <v>1.4784766975129203E-3</v>
      </c>
      <c r="O377" s="20">
        <v>0.10915267258470758</v>
      </c>
      <c r="P377" s="20">
        <v>7.0000000000000007E-2</v>
      </c>
      <c r="Q377" s="20">
        <v>7.0000000000000062E-2</v>
      </c>
      <c r="R377" s="20"/>
      <c r="S377" s="20">
        <v>0.11</v>
      </c>
      <c r="T377" s="20">
        <v>0.75</v>
      </c>
      <c r="U377" s="25">
        <f t="shared" si="32"/>
        <v>1</v>
      </c>
    </row>
    <row r="378" spans="13:21" x14ac:dyDescent="0.2">
      <c r="M378" s="20">
        <v>1.3728471703233706E-2</v>
      </c>
      <c r="N378" s="20">
        <v>1.8723981328625998E-3</v>
      </c>
      <c r="O378" s="20">
        <v>0.13638795150239202</v>
      </c>
      <c r="P378" s="20">
        <v>0.31999999999999984</v>
      </c>
      <c r="Q378" s="20"/>
      <c r="R378" s="20"/>
      <c r="S378" s="20"/>
      <c r="T378" s="20">
        <v>0.68</v>
      </c>
      <c r="U378" s="25">
        <f t="shared" si="32"/>
        <v>0.99999999999999989</v>
      </c>
    </row>
    <row r="379" spans="13:21" x14ac:dyDescent="0.2">
      <c r="M379" s="20">
        <v>1.2691568540173228E-2</v>
      </c>
      <c r="N379" s="20">
        <v>1.8875993431556562E-3</v>
      </c>
      <c r="O379" s="20">
        <v>0.1487286096419641</v>
      </c>
      <c r="P379" s="20">
        <v>0.38</v>
      </c>
      <c r="Q379" s="20">
        <v>0.19000000000000006</v>
      </c>
      <c r="R379" s="20"/>
      <c r="S379" s="20"/>
      <c r="T379" s="20">
        <v>0.43</v>
      </c>
      <c r="U379" s="25">
        <f t="shared" si="32"/>
        <v>1</v>
      </c>
    </row>
    <row r="380" spans="13:21" x14ac:dyDescent="0.2">
      <c r="M380" s="20">
        <v>1.05531112465891E-2</v>
      </c>
      <c r="N380" s="20">
        <v>1.0847724754613891E-3</v>
      </c>
      <c r="O380" s="20">
        <v>0.10279172180734865</v>
      </c>
      <c r="P380" s="20"/>
      <c r="Q380" s="20"/>
      <c r="R380" s="20">
        <v>0.9</v>
      </c>
      <c r="S380" s="20">
        <v>9.9999999999999978E-2</v>
      </c>
      <c r="T380" s="20"/>
      <c r="U380" s="25">
        <f t="shared" si="32"/>
        <v>1</v>
      </c>
    </row>
    <row r="381" spans="13:21" x14ac:dyDescent="0.2">
      <c r="M381" s="20">
        <v>9.995422879383653E-3</v>
      </c>
      <c r="N381" s="20">
        <v>1.140484080799831E-3</v>
      </c>
      <c r="O381" s="20">
        <v>0.11410063331609203</v>
      </c>
      <c r="P381" s="20">
        <v>0.20999999999999996</v>
      </c>
      <c r="Q381" s="20"/>
      <c r="R381" s="20"/>
      <c r="S381" s="20">
        <v>0.61</v>
      </c>
      <c r="T381" s="20">
        <v>0.18</v>
      </c>
      <c r="U381" s="25">
        <f t="shared" si="32"/>
        <v>1</v>
      </c>
    </row>
    <row r="382" spans="13:21" x14ac:dyDescent="0.2">
      <c r="M382" s="20">
        <v>1.6001662566933018E-2</v>
      </c>
      <c r="N382" s="20">
        <v>1.5648463550034933E-3</v>
      </c>
      <c r="O382" s="20">
        <v>9.7792735502197373E-2</v>
      </c>
      <c r="P382" s="20">
        <v>3.0000000000000027E-2</v>
      </c>
      <c r="Q382" s="20"/>
      <c r="R382" s="20"/>
      <c r="S382" s="20"/>
      <c r="T382" s="20">
        <v>0.97</v>
      </c>
      <c r="U382" s="25">
        <f t="shared" si="32"/>
        <v>1</v>
      </c>
    </row>
    <row r="383" spans="13:21" x14ac:dyDescent="0.2">
      <c r="M383" s="20">
        <v>1.2065651840284257E-2</v>
      </c>
      <c r="N383" s="20">
        <v>1.8030649386546872E-3</v>
      </c>
      <c r="O383" s="20">
        <v>0.14943783912566538</v>
      </c>
      <c r="P383" s="20">
        <v>0.32</v>
      </c>
      <c r="Q383" s="20">
        <v>6.0000000000000053E-2</v>
      </c>
      <c r="R383" s="20">
        <v>0.14000000000000001</v>
      </c>
      <c r="S383" s="20">
        <v>0</v>
      </c>
      <c r="T383" s="20">
        <v>0.48</v>
      </c>
      <c r="U383" s="25">
        <f t="shared" si="32"/>
        <v>1</v>
      </c>
    </row>
    <row r="384" spans="13:21" x14ac:dyDescent="0.2">
      <c r="M384" s="20">
        <v>1.3909761283769747E-2</v>
      </c>
      <c r="N384" s="20">
        <v>1.5031694372305254E-3</v>
      </c>
      <c r="O384" s="20">
        <v>0.10806579685766862</v>
      </c>
      <c r="P384" s="20">
        <v>0.08</v>
      </c>
      <c r="Q384" s="20">
        <v>0.45000000000000018</v>
      </c>
      <c r="R384" s="20"/>
      <c r="S384" s="20"/>
      <c r="T384" s="20">
        <v>0.47</v>
      </c>
      <c r="U384" s="25">
        <f t="shared" si="32"/>
        <v>1</v>
      </c>
    </row>
    <row r="385" spans="13:21" x14ac:dyDescent="0.2">
      <c r="M385" s="20">
        <v>1.0071806873128787E-2</v>
      </c>
      <c r="N385" s="20">
        <v>7.2365222854873091E-4</v>
      </c>
      <c r="O385" s="20">
        <v>7.1849295530021395E-2</v>
      </c>
      <c r="P385" s="20"/>
      <c r="Q385" s="20"/>
      <c r="R385" s="20">
        <v>0.32</v>
      </c>
      <c r="S385" s="20">
        <v>0.67999999999999994</v>
      </c>
      <c r="T385" s="20"/>
      <c r="U385" s="25">
        <f t="shared" si="32"/>
        <v>1</v>
      </c>
    </row>
    <row r="386" spans="13:21" x14ac:dyDescent="0.2">
      <c r="M386" s="20">
        <v>1.0342325803158046E-2</v>
      </c>
      <c r="N386" s="20">
        <v>1.0598676308467231E-3</v>
      </c>
      <c r="O386" s="20">
        <v>0.10247865432000708</v>
      </c>
      <c r="P386" s="20"/>
      <c r="Q386" s="20"/>
      <c r="R386" s="20">
        <v>0.86</v>
      </c>
      <c r="S386" s="20">
        <v>0.1399999999999999</v>
      </c>
      <c r="T386" s="20"/>
      <c r="U386" s="25">
        <f t="shared" si="32"/>
        <v>0.99999999999999989</v>
      </c>
    </row>
    <row r="387" spans="13:21" x14ac:dyDescent="0.2">
      <c r="M387" s="20">
        <v>9.8865427488498102E-3</v>
      </c>
      <c r="N387" s="20">
        <v>9.1715300281358029E-4</v>
      </c>
      <c r="O387" s="20">
        <v>9.276781844900038E-2</v>
      </c>
      <c r="P387" s="20"/>
      <c r="Q387" s="20"/>
      <c r="R387" s="20">
        <v>0.08</v>
      </c>
      <c r="S387" s="20">
        <v>0.57999999999999996</v>
      </c>
      <c r="T387" s="20">
        <v>0.34000000000000008</v>
      </c>
      <c r="U387" s="25">
        <f t="shared" si="32"/>
        <v>1</v>
      </c>
    </row>
    <row r="388" spans="13:21" x14ac:dyDescent="0.2">
      <c r="M388" s="20">
        <v>1.265153124435878E-2</v>
      </c>
      <c r="N388" s="20">
        <v>1.9543309885507358E-3</v>
      </c>
      <c r="O388" s="20">
        <v>0.15447386966871354</v>
      </c>
      <c r="P388" s="20">
        <v>0.53</v>
      </c>
      <c r="Q388" s="20">
        <v>0.31</v>
      </c>
      <c r="R388" s="20">
        <v>0.15999999999999992</v>
      </c>
      <c r="S388" s="20"/>
      <c r="T388" s="20"/>
      <c r="U388" s="25">
        <f t="shared" si="32"/>
        <v>1</v>
      </c>
    </row>
    <row r="389" spans="13:21" x14ac:dyDescent="0.2">
      <c r="M389" s="20">
        <v>1.1719600580907156E-2</v>
      </c>
      <c r="N389" s="20">
        <v>1.1850536796124893E-3</v>
      </c>
      <c r="O389" s="20">
        <v>0.10111724127724155</v>
      </c>
      <c r="P389" s="20"/>
      <c r="Q389" s="20">
        <v>0.28999999999999998</v>
      </c>
      <c r="R389" s="20">
        <v>0.71000000000000008</v>
      </c>
      <c r="S389" s="20"/>
      <c r="T389" s="20"/>
      <c r="U389" s="25">
        <f t="shared" si="32"/>
        <v>1</v>
      </c>
    </row>
    <row r="390" spans="13:21" x14ac:dyDescent="0.2">
      <c r="M390" s="20">
        <v>1.5880644244461183E-2</v>
      </c>
      <c r="N390" s="20">
        <v>1.2742902152936559E-3</v>
      </c>
      <c r="O390" s="20">
        <v>8.0241720403635391E-2</v>
      </c>
      <c r="P390" s="20">
        <v>0.02</v>
      </c>
      <c r="Q390" s="20">
        <v>0.75</v>
      </c>
      <c r="R390" s="20">
        <v>0.22999999999999998</v>
      </c>
      <c r="S390" s="20"/>
      <c r="T390" s="20"/>
      <c r="U390" s="25">
        <f t="shared" si="32"/>
        <v>1</v>
      </c>
    </row>
    <row r="391" spans="13:21" x14ac:dyDescent="0.2">
      <c r="M391" s="20">
        <v>1.8928536094734424E-2</v>
      </c>
      <c r="N391" s="20">
        <v>1.2768239031645736E-3</v>
      </c>
      <c r="O391" s="20">
        <v>6.7454973632100512E-2</v>
      </c>
      <c r="P391" s="20"/>
      <c r="Q391" s="20">
        <v>0.99</v>
      </c>
      <c r="R391" s="20">
        <v>9.9999999999998979E-3</v>
      </c>
      <c r="S391" s="20"/>
      <c r="T391" s="20"/>
      <c r="U391" s="25">
        <f t="shared" si="32"/>
        <v>0.99999999999999989</v>
      </c>
    </row>
    <row r="392" spans="13:21" x14ac:dyDescent="0.2">
      <c r="M392" s="20">
        <v>1.256971973009853E-2</v>
      </c>
      <c r="N392" s="20">
        <v>1.2020967211293049E-3</v>
      </c>
      <c r="O392" s="20">
        <v>9.5634329717857749E-2</v>
      </c>
      <c r="P392" s="20"/>
      <c r="Q392" s="20">
        <v>0.42</v>
      </c>
      <c r="R392" s="20">
        <v>0.58000000000000007</v>
      </c>
      <c r="S392" s="20"/>
      <c r="T392" s="20"/>
      <c r="U392" s="25">
        <f t="shared" si="32"/>
        <v>1</v>
      </c>
    </row>
    <row r="393" spans="13:21" x14ac:dyDescent="0.2">
      <c r="M393" s="20">
        <v>1.2343820312469412E-2</v>
      </c>
      <c r="N393" s="20">
        <v>2.0277488169461321E-3</v>
      </c>
      <c r="O393" s="20">
        <v>0.16427238615080553</v>
      </c>
      <c r="P393" s="20">
        <v>0.57999999999999996</v>
      </c>
      <c r="Q393" s="20">
        <v>0.23</v>
      </c>
      <c r="R393" s="20">
        <v>0.16000000000000014</v>
      </c>
      <c r="S393" s="20"/>
      <c r="T393" s="20">
        <v>0.03</v>
      </c>
      <c r="U393" s="25">
        <f t="shared" si="32"/>
        <v>1</v>
      </c>
    </row>
    <row r="394" spans="13:21" x14ac:dyDescent="0.2">
      <c r="M394" s="20">
        <v>1.5761864063279733E-2</v>
      </c>
      <c r="N394" s="20">
        <v>1.2440488233245437E-3</v>
      </c>
      <c r="O394" s="20">
        <v>7.8927772649860159E-2</v>
      </c>
      <c r="P394" s="20"/>
      <c r="Q394" s="20">
        <v>0.74</v>
      </c>
      <c r="R394" s="20">
        <v>0.26000000000000012</v>
      </c>
      <c r="S394" s="20"/>
      <c r="T394" s="20"/>
      <c r="U394" s="25">
        <f t="shared" si="32"/>
        <v>1</v>
      </c>
    </row>
    <row r="395" spans="13:21" x14ac:dyDescent="0.2">
      <c r="M395" s="20">
        <v>9.5686920218671177E-3</v>
      </c>
      <c r="N395" s="20">
        <v>1.04392504733177E-3</v>
      </c>
      <c r="O395" s="20">
        <v>0.10909798799523608</v>
      </c>
      <c r="P395" s="20"/>
      <c r="Q395" s="20"/>
      <c r="R395" s="20">
        <v>0.64</v>
      </c>
      <c r="S395" s="20">
        <v>0.24</v>
      </c>
      <c r="T395" s="20">
        <v>0.12000000000000011</v>
      </c>
      <c r="U395" s="25">
        <f t="shared" si="32"/>
        <v>1</v>
      </c>
    </row>
    <row r="396" spans="13:21" x14ac:dyDescent="0.2">
      <c r="M396" s="20">
        <v>1.6200182288353199E-2</v>
      </c>
      <c r="N396" s="20">
        <v>1.5436358875649341E-3</v>
      </c>
      <c r="O396" s="20">
        <v>9.5285093716180005E-2</v>
      </c>
      <c r="P396" s="20">
        <v>1.0000000000000009E-2</v>
      </c>
      <c r="Q396" s="20"/>
      <c r="R396" s="20"/>
      <c r="S396" s="20"/>
      <c r="T396" s="20">
        <v>0.99</v>
      </c>
      <c r="U396" s="25">
        <f t="shared" si="32"/>
        <v>1</v>
      </c>
    </row>
    <row r="397" spans="13:21" x14ac:dyDescent="0.2">
      <c r="M397" s="20">
        <v>1.3728471703233706E-2</v>
      </c>
      <c r="N397" s="20">
        <v>1.8723981328625998E-3</v>
      </c>
      <c r="O397" s="20">
        <v>0.13638795150239202</v>
      </c>
      <c r="P397" s="20">
        <v>0.31999999999999984</v>
      </c>
      <c r="Q397" s="20"/>
      <c r="R397" s="20"/>
      <c r="S397" s="20"/>
      <c r="T397" s="20">
        <v>0.68</v>
      </c>
      <c r="U397" s="25">
        <f t="shared" si="32"/>
        <v>0.99999999999999989</v>
      </c>
    </row>
    <row r="398" spans="13:21" x14ac:dyDescent="0.2">
      <c r="M398" s="20">
        <v>1.0609211937929573E-2</v>
      </c>
      <c r="N398" s="20">
        <v>1.0909986866150558E-3</v>
      </c>
      <c r="O398" s="20">
        <v>0.10283503553308863</v>
      </c>
      <c r="P398" s="20"/>
      <c r="Q398" s="20"/>
      <c r="R398" s="20">
        <v>0.91</v>
      </c>
      <c r="S398" s="20">
        <v>9.000000000000008E-2</v>
      </c>
      <c r="T398" s="20"/>
      <c r="U398" s="25">
        <f t="shared" si="32"/>
        <v>1</v>
      </c>
    </row>
    <row r="399" spans="13:21" x14ac:dyDescent="0.2">
      <c r="M399" s="20">
        <v>1.3114755289460723E-2</v>
      </c>
      <c r="N399" s="20">
        <v>1.7649325150980782E-3</v>
      </c>
      <c r="O399" s="20">
        <v>0.13457609205384205</v>
      </c>
      <c r="P399" s="20">
        <v>0.31</v>
      </c>
      <c r="Q399" s="20">
        <v>0.38000000000000012</v>
      </c>
      <c r="R399" s="20"/>
      <c r="S399" s="20"/>
      <c r="T399" s="20">
        <v>0.31</v>
      </c>
      <c r="U399" s="25">
        <f t="shared" si="32"/>
        <v>1.0000000000000002</v>
      </c>
    </row>
    <row r="400" spans="13:21" x14ac:dyDescent="0.2">
      <c r="M400" s="20">
        <v>1.0446105904846863E-2</v>
      </c>
      <c r="N400" s="20">
        <v>1.2785761149270046E-3</v>
      </c>
      <c r="O400" s="20">
        <v>0.12239739158050859</v>
      </c>
      <c r="P400" s="20">
        <v>0.15000000000000002</v>
      </c>
      <c r="Q400" s="20"/>
      <c r="R400" s="20"/>
      <c r="S400" s="20">
        <v>0.41</v>
      </c>
      <c r="T400" s="20">
        <v>0.44</v>
      </c>
      <c r="U400" s="25">
        <f t="shared" si="32"/>
        <v>1</v>
      </c>
    </row>
    <row r="401" spans="13:21" x14ac:dyDescent="0.2">
      <c r="M401" s="20">
        <v>1.0342667118598622E-2</v>
      </c>
      <c r="N401" s="20">
        <v>9.5811885998353078E-4</v>
      </c>
      <c r="O401" s="20">
        <v>9.2637503363189641E-2</v>
      </c>
      <c r="P401" s="20"/>
      <c r="Q401" s="20"/>
      <c r="R401" s="20"/>
      <c r="S401" s="20">
        <v>0.56999999999999995</v>
      </c>
      <c r="T401" s="20">
        <v>0.43000000000000005</v>
      </c>
      <c r="U401" s="25">
        <f t="shared" si="32"/>
        <v>1</v>
      </c>
    </row>
    <row r="402" spans="13:21" x14ac:dyDescent="0.2">
      <c r="M402" s="20">
        <v>1.4076638263943285E-2</v>
      </c>
      <c r="N402" s="20">
        <v>2.4357037314437567E-3</v>
      </c>
      <c r="O402" s="20">
        <v>0.17303163481033032</v>
      </c>
      <c r="P402" s="20">
        <v>0.88</v>
      </c>
      <c r="Q402" s="20">
        <v>0.11999999999999988</v>
      </c>
      <c r="R402" s="20"/>
      <c r="S402" s="20"/>
      <c r="T402" s="20"/>
      <c r="U402" s="25">
        <f t="shared" si="32"/>
        <v>0.99999999999999989</v>
      </c>
    </row>
    <row r="403" spans="13:21" x14ac:dyDescent="0.2">
      <c r="M403" s="20">
        <v>1.3902640725373946E-2</v>
      </c>
      <c r="N403" s="20">
        <v>1.8405824317047612E-3</v>
      </c>
      <c r="O403" s="20">
        <v>0.13239085063497921</v>
      </c>
      <c r="P403" s="20">
        <v>0.28999999999999992</v>
      </c>
      <c r="Q403" s="20"/>
      <c r="R403" s="20"/>
      <c r="S403" s="20"/>
      <c r="T403" s="20">
        <v>0.71</v>
      </c>
      <c r="U403" s="25">
        <f t="shared" si="32"/>
        <v>0.99999999999999989</v>
      </c>
    </row>
    <row r="404" spans="13:21" x14ac:dyDescent="0.2">
      <c r="M404" s="20">
        <v>1.0709399219839891E-2</v>
      </c>
      <c r="N404" s="20">
        <v>1.0862516733048126E-3</v>
      </c>
      <c r="O404" s="20">
        <v>0.10142974885953056</v>
      </c>
      <c r="P404" s="20"/>
      <c r="Q404" s="20"/>
      <c r="R404" s="20">
        <v>0.06</v>
      </c>
      <c r="S404" s="20">
        <v>0.42</v>
      </c>
      <c r="T404" s="20">
        <v>0.52</v>
      </c>
      <c r="U404" s="25">
        <f t="shared" si="32"/>
        <v>1</v>
      </c>
    </row>
    <row r="405" spans="13:21" x14ac:dyDescent="0.2">
      <c r="M405" s="20">
        <v>1.4220141597641404E-2</v>
      </c>
      <c r="N405" s="20">
        <v>1.6460378374220346E-3</v>
      </c>
      <c r="O405" s="20">
        <v>0.11575396954521545</v>
      </c>
      <c r="P405" s="20">
        <v>0.14000000000000001</v>
      </c>
      <c r="Q405" s="20">
        <v>6.0000000000000053E-2</v>
      </c>
      <c r="R405" s="20"/>
      <c r="S405" s="20">
        <v>0.02</v>
      </c>
      <c r="T405" s="20">
        <v>0.78</v>
      </c>
      <c r="U405" s="25">
        <f t="shared" si="32"/>
        <v>1</v>
      </c>
    </row>
    <row r="406" spans="13:21" x14ac:dyDescent="0.2">
      <c r="M406" s="20">
        <v>1.2766468597508738E-2</v>
      </c>
      <c r="N406" s="20">
        <v>1.5620270497412689E-3</v>
      </c>
      <c r="O406" s="20">
        <v>0.12235388649654333</v>
      </c>
      <c r="P406" s="20">
        <v>0.16999999999999993</v>
      </c>
      <c r="Q406" s="20"/>
      <c r="R406" s="20"/>
      <c r="S406" s="20">
        <v>0.15</v>
      </c>
      <c r="T406" s="20">
        <v>0.68</v>
      </c>
      <c r="U406" s="25">
        <f t="shared" si="32"/>
        <v>1</v>
      </c>
    </row>
    <row r="407" spans="13:21" x14ac:dyDescent="0.2">
      <c r="M407" s="20">
        <v>1.0187204148936787E-2</v>
      </c>
      <c r="N407" s="20">
        <v>8.6734331358424789E-4</v>
      </c>
      <c r="O407" s="20">
        <v>8.5140466501279488E-2</v>
      </c>
      <c r="P407" s="20"/>
      <c r="Q407" s="20"/>
      <c r="R407" s="20"/>
      <c r="S407" s="20">
        <v>0.66</v>
      </c>
      <c r="T407" s="20">
        <v>0.33999999999999986</v>
      </c>
      <c r="U407" s="25">
        <f t="shared" si="32"/>
        <v>0.99999999999999989</v>
      </c>
    </row>
    <row r="408" spans="13:21" x14ac:dyDescent="0.2">
      <c r="M408" s="20">
        <v>1.0517521550950764E-2</v>
      </c>
      <c r="N408" s="20">
        <v>1.3303401639525891E-3</v>
      </c>
      <c r="O408" s="20">
        <v>0.12648799030341221</v>
      </c>
      <c r="P408" s="20">
        <v>0.37000000000000011</v>
      </c>
      <c r="Q408" s="20"/>
      <c r="R408" s="20"/>
      <c r="S408" s="20">
        <v>0.59</v>
      </c>
      <c r="T408" s="20">
        <v>0.04</v>
      </c>
      <c r="U408" s="25">
        <f t="shared" si="32"/>
        <v>1</v>
      </c>
    </row>
    <row r="409" spans="13:21" x14ac:dyDescent="0.2">
      <c r="M409" s="20">
        <v>1.3386453101100433E-2</v>
      </c>
      <c r="N409" s="20">
        <v>1.9466347688975572E-3</v>
      </c>
      <c r="O409" s="20">
        <v>0.14541826383700804</v>
      </c>
      <c r="P409" s="20">
        <v>0.39000000000000012</v>
      </c>
      <c r="Q409" s="20"/>
      <c r="R409" s="20"/>
      <c r="S409" s="20"/>
      <c r="T409" s="20">
        <v>0.61</v>
      </c>
      <c r="U409" s="25">
        <f t="shared" si="32"/>
        <v>1</v>
      </c>
    </row>
    <row r="410" spans="13:21" x14ac:dyDescent="0.2">
      <c r="M410" s="20">
        <v>1.0550017871903891E-2</v>
      </c>
      <c r="N410" s="20">
        <v>8.7357205634989239E-4</v>
      </c>
      <c r="O410" s="20">
        <v>8.2802898246867582E-2</v>
      </c>
      <c r="P410" s="20">
        <v>0.12</v>
      </c>
      <c r="Q410" s="20"/>
      <c r="R410" s="20"/>
      <c r="S410" s="20">
        <v>0.78</v>
      </c>
      <c r="T410" s="20">
        <v>0.1</v>
      </c>
      <c r="U410" s="25">
        <f t="shared" si="32"/>
        <v>1</v>
      </c>
    </row>
    <row r="411" spans="13:21" x14ac:dyDescent="0.2">
      <c r="M411" s="20">
        <v>1.1526754040348289E-2</v>
      </c>
      <c r="N411" s="20">
        <v>1.1798096668380845E-3</v>
      </c>
      <c r="O411" s="20">
        <v>0.10235402462031157</v>
      </c>
      <c r="P411" s="20"/>
      <c r="Q411" s="20">
        <v>0.25</v>
      </c>
      <c r="R411" s="20">
        <v>0.75000000000000011</v>
      </c>
      <c r="S411" s="20"/>
      <c r="T411" s="20"/>
      <c r="U411" s="25">
        <f t="shared" si="32"/>
        <v>1</v>
      </c>
    </row>
    <row r="412" spans="13:21" x14ac:dyDescent="0.2">
      <c r="M412" s="20">
        <v>1.3920174483762864E-2</v>
      </c>
      <c r="N412" s="20">
        <v>2.1200031427840529E-3</v>
      </c>
      <c r="O412" s="20">
        <v>0.15229716734204179</v>
      </c>
      <c r="P412" s="20">
        <v>0.64</v>
      </c>
      <c r="Q412" s="20">
        <v>0.36</v>
      </c>
      <c r="R412" s="20"/>
      <c r="S412" s="20"/>
      <c r="T412" s="20"/>
      <c r="U412" s="25">
        <f t="shared" si="32"/>
        <v>1</v>
      </c>
    </row>
    <row r="413" spans="13:21" x14ac:dyDescent="0.2">
      <c r="M413" s="20">
        <v>1.3323534385884239E-2</v>
      </c>
      <c r="N413" s="20">
        <v>2.243679035563989E-3</v>
      </c>
      <c r="O413" s="20">
        <v>0.16839968814439199</v>
      </c>
      <c r="P413" s="20">
        <v>0.74</v>
      </c>
      <c r="Q413" s="20">
        <v>0.2</v>
      </c>
      <c r="R413" s="20">
        <v>5.9999999999999942E-2</v>
      </c>
      <c r="S413" s="20"/>
      <c r="T413" s="20"/>
      <c r="U413" s="25">
        <f t="shared" si="32"/>
        <v>0.99999999999999989</v>
      </c>
    </row>
    <row r="414" spans="13:21" x14ac:dyDescent="0.2">
      <c r="M414" s="20">
        <v>1.0933102399933914E-2</v>
      </c>
      <c r="N414" s="20">
        <v>6.5553370531925518E-4</v>
      </c>
      <c r="O414" s="20">
        <v>5.9958617539630617E-2</v>
      </c>
      <c r="P414" s="20"/>
      <c r="Q414" s="20"/>
      <c r="R414" s="20"/>
      <c r="S414" s="20">
        <v>0.87</v>
      </c>
      <c r="T414" s="20">
        <v>0.13</v>
      </c>
      <c r="U414" s="25">
        <f t="shared" si="32"/>
        <v>1</v>
      </c>
    </row>
    <row r="415" spans="13:21" x14ac:dyDescent="0.2">
      <c r="M415" s="20">
        <v>1.0492897396006416E-2</v>
      </c>
      <c r="N415" s="20">
        <v>1.1942718660319445E-3</v>
      </c>
      <c r="O415" s="20">
        <v>0.11381716802896433</v>
      </c>
      <c r="P415" s="20"/>
      <c r="Q415" s="20">
        <v>0.14000000000000001</v>
      </c>
      <c r="R415" s="20">
        <v>0.55000000000000004</v>
      </c>
      <c r="S415" s="20">
        <v>0.09</v>
      </c>
      <c r="T415" s="20">
        <v>0.21999999999999997</v>
      </c>
      <c r="U415" s="25">
        <f t="shared" si="32"/>
        <v>1</v>
      </c>
    </row>
    <row r="416" spans="13:21" x14ac:dyDescent="0.2">
      <c r="M416" s="20">
        <v>1.105176037278419E-2</v>
      </c>
      <c r="N416" s="20">
        <v>6.2228776948625652E-4</v>
      </c>
      <c r="O416" s="20">
        <v>5.6306665046655199E-2</v>
      </c>
      <c r="P416" s="20"/>
      <c r="Q416" s="20"/>
      <c r="R416" s="20">
        <v>0.06</v>
      </c>
      <c r="S416" s="20">
        <v>0.88</v>
      </c>
      <c r="T416" s="20">
        <v>5.9999999999999942E-2</v>
      </c>
      <c r="U416" s="25">
        <f t="shared" si="32"/>
        <v>0.99999999999999989</v>
      </c>
    </row>
    <row r="417" spans="13:21" x14ac:dyDescent="0.2">
      <c r="M417" s="20">
        <v>1.5807718646568842E-2</v>
      </c>
      <c r="N417" s="20">
        <v>1.5860568224420524E-3</v>
      </c>
      <c r="O417" s="20">
        <v>0.10033432767265979</v>
      </c>
      <c r="P417" s="20">
        <v>5.0000000000000044E-2</v>
      </c>
      <c r="Q417" s="20"/>
      <c r="R417" s="20"/>
      <c r="S417" s="20"/>
      <c r="T417" s="20">
        <v>0.95</v>
      </c>
      <c r="U417" s="25">
        <f t="shared" si="32"/>
        <v>1</v>
      </c>
    </row>
    <row r="418" spans="13:21" x14ac:dyDescent="0.2">
      <c r="M418" s="20">
        <v>1.3416229671108431E-2</v>
      </c>
      <c r="N418" s="20">
        <v>1.3023238984538736E-3</v>
      </c>
      <c r="O418" s="20">
        <v>9.7070781462425371E-2</v>
      </c>
      <c r="P418" s="20">
        <v>0.13</v>
      </c>
      <c r="Q418" s="20">
        <v>0.51</v>
      </c>
      <c r="R418" s="20">
        <v>0.2</v>
      </c>
      <c r="S418" s="20">
        <v>0.15999999999999981</v>
      </c>
      <c r="T418" s="20"/>
      <c r="U418" s="25">
        <f t="shared" si="32"/>
        <v>0.99999999999999989</v>
      </c>
    </row>
    <row r="419" spans="13:21" x14ac:dyDescent="0.2">
      <c r="M419" s="20">
        <v>9.5799798832001421E-3</v>
      </c>
      <c r="N419" s="20">
        <v>8.4817645162206144E-4</v>
      </c>
      <c r="O419" s="20">
        <v>8.853634996765071E-2</v>
      </c>
      <c r="P419" s="20"/>
      <c r="Q419" s="20"/>
      <c r="R419" s="20">
        <v>0.52</v>
      </c>
      <c r="S419" s="20">
        <v>0.48000000000000009</v>
      </c>
      <c r="T419" s="20"/>
      <c r="U419" s="25">
        <f t="shared" si="32"/>
        <v>1</v>
      </c>
    </row>
    <row r="420" spans="13:21" x14ac:dyDescent="0.2">
      <c r="M420" s="20">
        <v>1.4637253852239254E-2</v>
      </c>
      <c r="N420" s="20">
        <v>2.593554025773609E-3</v>
      </c>
      <c r="O420" s="20">
        <v>0.17718856637693953</v>
      </c>
      <c r="P420" s="20">
        <v>1</v>
      </c>
      <c r="Q420" s="20">
        <v>0</v>
      </c>
      <c r="R420" s="20"/>
      <c r="S420" s="20"/>
      <c r="T420" s="20"/>
      <c r="U420" s="25">
        <f t="shared" si="32"/>
        <v>1</v>
      </c>
    </row>
    <row r="421" spans="13:21" x14ac:dyDescent="0.2">
      <c r="M421" s="20">
        <v>1.0309560008128228E-2</v>
      </c>
      <c r="N421" s="20">
        <v>1.5033622706204226E-3</v>
      </c>
      <c r="O421" s="20">
        <v>0.14582215627389986</v>
      </c>
      <c r="P421" s="20">
        <v>0.39999999999999991</v>
      </c>
      <c r="Q421" s="20"/>
      <c r="R421" s="20"/>
      <c r="S421" s="20">
        <v>0.45</v>
      </c>
      <c r="T421" s="20">
        <v>0.15</v>
      </c>
      <c r="U421" s="25">
        <f t="shared" si="32"/>
        <v>0.99999999999999989</v>
      </c>
    </row>
    <row r="422" spans="13:21" x14ac:dyDescent="0.2">
      <c r="M422" s="20">
        <v>1.0418474897274935E-2</v>
      </c>
      <c r="N422" s="20">
        <v>1.5724082876840096E-3</v>
      </c>
      <c r="O422" s="20">
        <v>0.1509249965266308</v>
      </c>
      <c r="P422" s="20">
        <v>0.37</v>
      </c>
      <c r="Q422" s="20"/>
      <c r="R422" s="20"/>
      <c r="S422" s="20">
        <v>0.35</v>
      </c>
      <c r="T422" s="20">
        <v>0.28000000000000003</v>
      </c>
      <c r="U422" s="25">
        <f t="shared" si="32"/>
        <v>1</v>
      </c>
    </row>
    <row r="423" spans="13:21" x14ac:dyDescent="0.2">
      <c r="M423" s="20">
        <v>1.4368989816425544E-2</v>
      </c>
      <c r="N423" s="20">
        <v>1.7663457956698047E-3</v>
      </c>
      <c r="O423" s="20">
        <v>0.12292762527054278</v>
      </c>
      <c r="P423" s="20">
        <v>0.21999999999999997</v>
      </c>
      <c r="Q423" s="20"/>
      <c r="R423" s="20"/>
      <c r="S423" s="20"/>
      <c r="T423" s="20">
        <v>0.78</v>
      </c>
      <c r="U423" s="25">
        <f t="shared" si="32"/>
        <v>1</v>
      </c>
    </row>
    <row r="424" spans="13:21" x14ac:dyDescent="0.2">
      <c r="M424" s="20">
        <v>1.158661924526156E-2</v>
      </c>
      <c r="N424" s="20">
        <v>1.1305202603757508E-3</v>
      </c>
      <c r="O424" s="20">
        <v>9.7571192808297902E-2</v>
      </c>
      <c r="P424" s="20"/>
      <c r="Q424" s="20">
        <v>0.33</v>
      </c>
      <c r="R424" s="20">
        <v>0.25</v>
      </c>
      <c r="S424" s="20">
        <v>0.22</v>
      </c>
      <c r="T424" s="20">
        <v>0.19999999999999996</v>
      </c>
      <c r="U424" s="25">
        <f t="shared" si="32"/>
        <v>1</v>
      </c>
    </row>
    <row r="425" spans="13:21" x14ac:dyDescent="0.2">
      <c r="M425" s="20">
        <v>1.5090269142536823E-2</v>
      </c>
      <c r="N425" s="20">
        <v>1.4011091996690202E-3</v>
      </c>
      <c r="O425" s="20">
        <v>9.284852287488625E-2</v>
      </c>
      <c r="P425" s="20">
        <v>0.09</v>
      </c>
      <c r="Q425" s="20">
        <v>0.68</v>
      </c>
      <c r="R425" s="20">
        <v>0.1399999999999999</v>
      </c>
      <c r="S425" s="20"/>
      <c r="T425" s="20">
        <v>0.09</v>
      </c>
      <c r="U425" s="25">
        <f t="shared" si="32"/>
        <v>0.99999999999999989</v>
      </c>
    </row>
    <row r="426" spans="13:21" x14ac:dyDescent="0.2">
      <c r="M426" s="20">
        <v>1.8001796391182507E-2</v>
      </c>
      <c r="N426" s="20">
        <v>1.2676468808093654E-3</v>
      </c>
      <c r="O426" s="20">
        <v>7.0417799049781155E-2</v>
      </c>
      <c r="P426" s="20"/>
      <c r="Q426" s="20">
        <v>0.92</v>
      </c>
      <c r="R426" s="20">
        <v>8.0000000000000071E-2</v>
      </c>
      <c r="S426" s="20"/>
      <c r="T426" s="20"/>
      <c r="U426" s="25">
        <f t="shared" si="32"/>
        <v>1</v>
      </c>
    </row>
    <row r="427" spans="13:21" x14ac:dyDescent="0.2">
      <c r="M427" s="20">
        <v>1.5425894668362873E-2</v>
      </c>
      <c r="N427" s="20">
        <v>1.7385315981535768E-3</v>
      </c>
      <c r="O427" s="20">
        <v>0.11270215670013289</v>
      </c>
      <c r="P427" s="20">
        <v>0.35</v>
      </c>
      <c r="Q427" s="20">
        <v>0.65</v>
      </c>
      <c r="R427" s="20"/>
      <c r="S427" s="20"/>
      <c r="T427" s="20"/>
      <c r="U427" s="25">
        <f t="shared" si="32"/>
        <v>1</v>
      </c>
    </row>
    <row r="428" spans="13:21" x14ac:dyDescent="0.2">
      <c r="M428" s="20">
        <v>1.2841391401041423E-2</v>
      </c>
      <c r="N428" s="20">
        <v>2.0050757217072918E-3</v>
      </c>
      <c r="O428" s="20">
        <v>0.15614162508469931</v>
      </c>
      <c r="P428" s="20">
        <v>0.51</v>
      </c>
      <c r="Q428" s="20">
        <v>0.27</v>
      </c>
      <c r="R428" s="20"/>
      <c r="S428" s="20"/>
      <c r="T428" s="20">
        <v>0.22</v>
      </c>
      <c r="U428" s="25">
        <f t="shared" si="32"/>
        <v>1</v>
      </c>
    </row>
    <row r="429" spans="13:21" x14ac:dyDescent="0.2">
      <c r="M429" s="20">
        <v>1.1089716597314869E-2</v>
      </c>
      <c r="N429" s="20">
        <v>1.5258348576297951E-3</v>
      </c>
      <c r="O429" s="20">
        <v>0.13759006772086874</v>
      </c>
      <c r="P429" s="20">
        <v>0.25</v>
      </c>
      <c r="Q429" s="20"/>
      <c r="R429" s="20"/>
      <c r="S429" s="20">
        <v>0.27</v>
      </c>
      <c r="T429" s="20">
        <v>0.48</v>
      </c>
      <c r="U429" s="25">
        <f t="shared" ref="U429:U492" si="33">SUM(P429:T429)</f>
        <v>1</v>
      </c>
    </row>
    <row r="430" spans="13:21" x14ac:dyDescent="0.2">
      <c r="M430" s="20">
        <v>1.034266711859862E-2</v>
      </c>
      <c r="N430" s="20">
        <v>9.5811885998353078E-4</v>
      </c>
      <c r="O430" s="20">
        <v>9.2637503363189669E-2</v>
      </c>
      <c r="P430" s="20"/>
      <c r="Q430" s="20"/>
      <c r="R430" s="20"/>
      <c r="S430" s="20">
        <v>0.56999999999999995</v>
      </c>
      <c r="T430" s="20">
        <v>0.42999999999999994</v>
      </c>
      <c r="U430" s="25">
        <f t="shared" si="33"/>
        <v>0.99999999999999989</v>
      </c>
    </row>
    <row r="431" spans="13:21" x14ac:dyDescent="0.2">
      <c r="M431" s="20">
        <v>1.4844539653459731E-2</v>
      </c>
      <c r="N431" s="20">
        <v>1.8437651277068115E-3</v>
      </c>
      <c r="O431" s="20">
        <v>0.12420493802764007</v>
      </c>
      <c r="P431" s="20">
        <v>0.43</v>
      </c>
      <c r="Q431" s="20">
        <v>0.56999999999999995</v>
      </c>
      <c r="R431" s="20"/>
      <c r="S431" s="20"/>
      <c r="T431" s="20"/>
      <c r="U431" s="25">
        <f t="shared" si="33"/>
        <v>1</v>
      </c>
    </row>
    <row r="432" spans="13:21" x14ac:dyDescent="0.2">
      <c r="M432" s="20">
        <v>1.3290228660695055E-2</v>
      </c>
      <c r="N432" s="20">
        <v>1.5185266575878996E-3</v>
      </c>
      <c r="O432" s="20">
        <v>0.11425888119433479</v>
      </c>
      <c r="P432" s="20">
        <v>0.11</v>
      </c>
      <c r="Q432" s="20">
        <v>0.39</v>
      </c>
      <c r="R432" s="20">
        <v>0.03</v>
      </c>
      <c r="S432" s="20">
        <v>1.9999999999999907E-2</v>
      </c>
      <c r="T432" s="20">
        <v>0.45</v>
      </c>
      <c r="U432" s="25">
        <f t="shared" si="33"/>
        <v>1</v>
      </c>
    </row>
    <row r="433" spans="13:21" x14ac:dyDescent="0.2">
      <c r="M433" s="20">
        <v>1.08021099346295E-2</v>
      </c>
      <c r="N433" s="20">
        <v>1.1057485265590083E-3</v>
      </c>
      <c r="O433" s="20">
        <v>0.10236412453220735</v>
      </c>
      <c r="P433" s="20"/>
      <c r="Q433" s="20">
        <v>0.16</v>
      </c>
      <c r="R433" s="20">
        <v>0.74</v>
      </c>
      <c r="S433" s="20">
        <v>9.9999999999999867E-2</v>
      </c>
      <c r="T433" s="20"/>
      <c r="U433" s="25">
        <f t="shared" si="33"/>
        <v>0.99999999999999989</v>
      </c>
    </row>
    <row r="434" spans="13:21" x14ac:dyDescent="0.2">
      <c r="M434" s="20">
        <v>1.2892704871804056E-2</v>
      </c>
      <c r="N434" s="20">
        <v>1.2073407339037098E-3</v>
      </c>
      <c r="O434" s="20">
        <v>9.364526264338266E-2</v>
      </c>
      <c r="P434" s="20"/>
      <c r="Q434" s="20">
        <v>0.46</v>
      </c>
      <c r="R434" s="20">
        <v>0.54</v>
      </c>
      <c r="S434" s="20"/>
      <c r="T434" s="20"/>
      <c r="U434" s="25">
        <f t="shared" si="33"/>
        <v>1</v>
      </c>
    </row>
    <row r="435" spans="13:21" x14ac:dyDescent="0.2">
      <c r="M435" s="20">
        <v>1.3920174483762862E-2</v>
      </c>
      <c r="N435" s="20">
        <v>2.1200031427840525E-3</v>
      </c>
      <c r="O435" s="20">
        <v>0.15229716734204177</v>
      </c>
      <c r="P435" s="20">
        <v>0.64</v>
      </c>
      <c r="Q435" s="20">
        <v>0.35999999999999988</v>
      </c>
      <c r="R435" s="20"/>
      <c r="S435" s="20"/>
      <c r="T435" s="20"/>
      <c r="U435" s="25">
        <f t="shared" si="33"/>
        <v>0.99999999999999989</v>
      </c>
    </row>
    <row r="436" spans="13:21" x14ac:dyDescent="0.2">
      <c r="M436" s="20">
        <v>1.4419974558177272E-2</v>
      </c>
      <c r="N436" s="20">
        <v>2.5646236369980982E-3</v>
      </c>
      <c r="O436" s="20">
        <v>0.17785216101811724</v>
      </c>
      <c r="P436" s="20">
        <v>0.98</v>
      </c>
      <c r="Q436" s="20">
        <v>0</v>
      </c>
      <c r="R436" s="20">
        <v>2.0000000000000018E-2</v>
      </c>
      <c r="S436" s="20"/>
      <c r="T436" s="20"/>
      <c r="U436" s="25">
        <f t="shared" si="33"/>
        <v>1</v>
      </c>
    </row>
    <row r="437" spans="13:21" x14ac:dyDescent="0.2">
      <c r="M437" s="20">
        <v>1.1606350484187197E-2</v>
      </c>
      <c r="N437" s="20">
        <v>1.5648303728544126E-3</v>
      </c>
      <c r="O437" s="20">
        <v>0.13482535918473076</v>
      </c>
      <c r="P437" s="20">
        <v>0.26</v>
      </c>
      <c r="Q437" s="20">
        <v>0.32000000000000006</v>
      </c>
      <c r="R437" s="20">
        <v>0.28999999999999998</v>
      </c>
      <c r="S437" s="20">
        <v>0.05</v>
      </c>
      <c r="T437" s="20">
        <v>0.08</v>
      </c>
      <c r="U437" s="25">
        <f t="shared" si="33"/>
        <v>1.0000000000000002</v>
      </c>
    </row>
    <row r="438" spans="13:21" x14ac:dyDescent="0.2">
      <c r="M438" s="20">
        <v>1.3431470483972901E-2</v>
      </c>
      <c r="N438" s="20">
        <v>1.6567406242501883E-3</v>
      </c>
      <c r="O438" s="20">
        <v>0.12334767263398996</v>
      </c>
      <c r="P438" s="20">
        <v>0.22</v>
      </c>
      <c r="Q438" s="20">
        <v>0.43000000000000005</v>
      </c>
      <c r="R438" s="20"/>
      <c r="S438" s="20"/>
      <c r="T438" s="20">
        <v>0.35</v>
      </c>
      <c r="U438" s="25">
        <f t="shared" si="33"/>
        <v>1</v>
      </c>
    </row>
    <row r="439" spans="13:21" x14ac:dyDescent="0.2">
      <c r="M439" s="20">
        <v>1.8661079521685268E-2</v>
      </c>
      <c r="N439" s="20">
        <v>1.2742018967773713E-3</v>
      </c>
      <c r="O439" s="20">
        <v>6.8281253252078691E-2</v>
      </c>
      <c r="P439" s="20"/>
      <c r="Q439" s="20">
        <v>0.97</v>
      </c>
      <c r="R439" s="20">
        <v>3.0000000000000027E-2</v>
      </c>
      <c r="S439" s="20"/>
      <c r="T439" s="20"/>
      <c r="U439" s="25">
        <f t="shared" si="33"/>
        <v>1</v>
      </c>
    </row>
    <row r="440" spans="13:21" x14ac:dyDescent="0.2">
      <c r="M440" s="20">
        <v>1.4468126450008594E-2</v>
      </c>
      <c r="N440" s="20">
        <v>1.6931472834291221E-3</v>
      </c>
      <c r="O440" s="20">
        <v>0.11702602194412783</v>
      </c>
      <c r="P440" s="20">
        <v>0.17000000000000004</v>
      </c>
      <c r="Q440" s="20"/>
      <c r="R440" s="20"/>
      <c r="S440" s="20">
        <v>0.02</v>
      </c>
      <c r="T440" s="20">
        <v>0.81</v>
      </c>
      <c r="U440" s="25">
        <f t="shared" si="33"/>
        <v>1</v>
      </c>
    </row>
    <row r="441" spans="13:21" x14ac:dyDescent="0.2">
      <c r="M441" s="20">
        <v>1.4912738377618208E-2</v>
      </c>
      <c r="N441" s="20">
        <v>1.6921091596348479E-3</v>
      </c>
      <c r="O441" s="20">
        <v>0.11346736707823232</v>
      </c>
      <c r="P441" s="20">
        <v>0.15000000000000002</v>
      </c>
      <c r="Q441" s="20"/>
      <c r="R441" s="20"/>
      <c r="S441" s="20"/>
      <c r="T441" s="20">
        <v>0.85</v>
      </c>
      <c r="U441" s="25">
        <f t="shared" si="33"/>
        <v>1</v>
      </c>
    </row>
    <row r="442" spans="13:21" x14ac:dyDescent="0.2">
      <c r="M442" s="20">
        <v>9.9456205049447115E-3</v>
      </c>
      <c r="N442" s="20">
        <v>1.2630753283569525E-3</v>
      </c>
      <c r="O442" s="20">
        <v>0.12699814232093246</v>
      </c>
      <c r="P442" s="20">
        <v>0.24</v>
      </c>
      <c r="Q442" s="20"/>
      <c r="R442" s="20"/>
      <c r="S442" s="20">
        <v>0.52</v>
      </c>
      <c r="T442" s="20">
        <v>0.24</v>
      </c>
      <c r="U442" s="25">
        <f t="shared" si="33"/>
        <v>1</v>
      </c>
    </row>
    <row r="443" spans="13:21" x14ac:dyDescent="0.2">
      <c r="M443" s="20">
        <v>1.0776284349146828E-2</v>
      </c>
      <c r="N443" s="20">
        <v>1.0488944063828138E-3</v>
      </c>
      <c r="O443" s="20">
        <v>9.7333586642584832E-2</v>
      </c>
      <c r="P443" s="20"/>
      <c r="Q443" s="20"/>
      <c r="R443" s="20"/>
      <c r="S443" s="20">
        <v>0.48</v>
      </c>
      <c r="T443" s="20">
        <v>0.52000000000000013</v>
      </c>
      <c r="U443" s="25">
        <f t="shared" si="33"/>
        <v>1</v>
      </c>
    </row>
    <row r="444" spans="13:21" x14ac:dyDescent="0.2">
      <c r="M444" s="20">
        <v>1.1316847661369096E-2</v>
      </c>
      <c r="N444" s="20">
        <v>6.0510284620854231E-4</v>
      </c>
      <c r="O444" s="20">
        <v>5.34692048806229E-2</v>
      </c>
      <c r="P444" s="20"/>
      <c r="Q444" s="20"/>
      <c r="R444" s="20"/>
      <c r="S444" s="20">
        <v>0.92</v>
      </c>
      <c r="T444" s="20">
        <v>7.9999999999999849E-2</v>
      </c>
      <c r="U444" s="25">
        <f t="shared" si="33"/>
        <v>0.99999999999999989</v>
      </c>
    </row>
    <row r="445" spans="13:21" x14ac:dyDescent="0.2">
      <c r="M445" s="20">
        <v>1.4015612023787392E-2</v>
      </c>
      <c r="N445" s="20">
        <v>1.011052788187923E-3</v>
      </c>
      <c r="O445" s="20">
        <v>7.2137612433332013E-2</v>
      </c>
      <c r="P445" s="20"/>
      <c r="Q445" s="20">
        <v>0.53</v>
      </c>
      <c r="R445" s="20">
        <v>0.14000000000000001</v>
      </c>
      <c r="S445" s="20">
        <v>0.32999999999999985</v>
      </c>
      <c r="T445" s="20"/>
      <c r="U445" s="25">
        <f t="shared" si="33"/>
        <v>0.99999999999999989</v>
      </c>
    </row>
    <row r="446" spans="13:21" x14ac:dyDescent="0.2">
      <c r="M446" s="20">
        <v>1.6977970946010546E-2</v>
      </c>
      <c r="N446" s="20">
        <v>1.2571588552605555E-3</v>
      </c>
      <c r="O446" s="20">
        <v>7.4046472293908622E-2</v>
      </c>
      <c r="P446" s="20"/>
      <c r="Q446" s="20">
        <v>0.84</v>
      </c>
      <c r="R446" s="20">
        <v>0.15999999999999992</v>
      </c>
      <c r="S446" s="20"/>
      <c r="T446" s="20"/>
      <c r="U446" s="25">
        <f t="shared" si="33"/>
        <v>0.99999999999999989</v>
      </c>
    </row>
    <row r="447" spans="13:21" x14ac:dyDescent="0.2">
      <c r="M447" s="20">
        <v>1.4043816940215016E-2</v>
      </c>
      <c r="N447" s="20">
        <v>2.4225495402496028E-3</v>
      </c>
      <c r="O447" s="20">
        <v>0.17249936755530743</v>
      </c>
      <c r="P447" s="20">
        <v>0.87</v>
      </c>
      <c r="Q447" s="20">
        <v>0.13000000000000012</v>
      </c>
      <c r="R447" s="20"/>
      <c r="S447" s="20"/>
      <c r="T447" s="20"/>
      <c r="U447" s="25">
        <f t="shared" si="33"/>
        <v>1</v>
      </c>
    </row>
    <row r="448" spans="13:21" x14ac:dyDescent="0.2">
      <c r="M448" s="20">
        <v>1.409250508640581E-2</v>
      </c>
      <c r="N448" s="20">
        <v>1.8087667305469227E-3</v>
      </c>
      <c r="O448" s="20">
        <v>0.12834955314592938</v>
      </c>
      <c r="P448" s="20">
        <v>0.26</v>
      </c>
      <c r="Q448" s="20"/>
      <c r="R448" s="20"/>
      <c r="S448" s="20"/>
      <c r="T448" s="20">
        <v>0.74</v>
      </c>
      <c r="U448" s="25">
        <f t="shared" si="33"/>
        <v>1</v>
      </c>
    </row>
    <row r="449" spans="13:21" x14ac:dyDescent="0.2">
      <c r="M449" s="20">
        <v>1.3704587161018342E-2</v>
      </c>
      <c r="N449" s="20">
        <v>1.9135132525165293E-3</v>
      </c>
      <c r="O449" s="20">
        <v>0.13962574939574779</v>
      </c>
      <c r="P449" s="20">
        <v>0.49</v>
      </c>
      <c r="Q449" s="20">
        <v>0.44</v>
      </c>
      <c r="R449" s="20">
        <v>7.0000000000000062E-2</v>
      </c>
      <c r="S449" s="20"/>
      <c r="T449" s="20"/>
      <c r="U449" s="25">
        <f t="shared" si="33"/>
        <v>1</v>
      </c>
    </row>
    <row r="450" spans="13:21" x14ac:dyDescent="0.2">
      <c r="M450" s="20">
        <v>1.3425866450267899E-2</v>
      </c>
      <c r="N450" s="20">
        <v>2.2396483034804291E-3</v>
      </c>
      <c r="O450" s="20">
        <v>0.16681592296307543</v>
      </c>
      <c r="P450" s="20">
        <v>0.75</v>
      </c>
      <c r="Q450" s="20">
        <v>0.18999999999999984</v>
      </c>
      <c r="R450" s="20"/>
      <c r="S450" s="20">
        <v>0.04</v>
      </c>
      <c r="T450" s="20">
        <v>0.02</v>
      </c>
      <c r="U450" s="25">
        <f t="shared" si="33"/>
        <v>0.99999999999999989</v>
      </c>
    </row>
    <row r="451" spans="13:21" x14ac:dyDescent="0.2">
      <c r="M451" s="20">
        <v>1.5073966226762544E-2</v>
      </c>
      <c r="N451" s="20">
        <v>1.4123183103307859E-3</v>
      </c>
      <c r="O451" s="20">
        <v>9.3692548403308415E-2</v>
      </c>
      <c r="P451" s="20">
        <v>0.04</v>
      </c>
      <c r="Q451" s="20">
        <v>0.64000000000000012</v>
      </c>
      <c r="R451" s="20"/>
      <c r="S451" s="20"/>
      <c r="T451" s="20">
        <v>0.32</v>
      </c>
      <c r="U451" s="25">
        <f t="shared" si="33"/>
        <v>1.0000000000000002</v>
      </c>
    </row>
    <row r="452" spans="13:21" x14ac:dyDescent="0.2">
      <c r="M452" s="20">
        <v>1.1515225279977665E-2</v>
      </c>
      <c r="N452" s="20">
        <v>1.1526116206505555E-3</v>
      </c>
      <c r="O452" s="20">
        <v>0.10009457849293514</v>
      </c>
      <c r="P452" s="20"/>
      <c r="Q452" s="20">
        <v>0.28000000000000003</v>
      </c>
      <c r="R452" s="20">
        <v>0.67</v>
      </c>
      <c r="S452" s="20">
        <v>4.9999999999999933E-2</v>
      </c>
      <c r="T452" s="20"/>
      <c r="U452" s="25">
        <f t="shared" si="33"/>
        <v>1</v>
      </c>
    </row>
    <row r="453" spans="13:21" x14ac:dyDescent="0.2">
      <c r="M453" s="20">
        <v>9.4104898892576581E-3</v>
      </c>
      <c r="N453" s="20">
        <v>9.2351215534744002E-4</v>
      </c>
      <c r="O453" s="20">
        <v>9.8136459017043889E-2</v>
      </c>
      <c r="P453" s="20"/>
      <c r="Q453" s="20"/>
      <c r="R453" s="20">
        <v>0.56000000000000005</v>
      </c>
      <c r="S453" s="20">
        <v>0.39</v>
      </c>
      <c r="T453" s="20">
        <v>4.9999999999999933E-2</v>
      </c>
      <c r="U453" s="25">
        <f t="shared" si="33"/>
        <v>1</v>
      </c>
    </row>
    <row r="454" spans="13:21" x14ac:dyDescent="0.2">
      <c r="M454" s="20">
        <v>1.8395715759419593E-2</v>
      </c>
      <c r="N454" s="20">
        <v>1.271579890390169E-3</v>
      </c>
      <c r="O454" s="20">
        <v>6.912369744238149E-2</v>
      </c>
      <c r="P454" s="20"/>
      <c r="Q454" s="20">
        <v>0.95</v>
      </c>
      <c r="R454" s="20">
        <v>5.0000000000000155E-2</v>
      </c>
      <c r="S454" s="20"/>
      <c r="T454" s="20"/>
      <c r="U454" s="25">
        <f t="shared" si="33"/>
        <v>1</v>
      </c>
    </row>
    <row r="455" spans="13:21" x14ac:dyDescent="0.2">
      <c r="M455" s="20">
        <v>1.1867485675162506E-2</v>
      </c>
      <c r="N455" s="20">
        <v>1.3382875398180445E-3</v>
      </c>
      <c r="O455" s="20">
        <v>0.11276925681224542</v>
      </c>
      <c r="P455" s="20"/>
      <c r="Q455" s="20"/>
      <c r="R455" s="20">
        <v>0.4</v>
      </c>
      <c r="S455" s="20">
        <v>0.04</v>
      </c>
      <c r="T455" s="20">
        <v>0.56000000000000005</v>
      </c>
      <c r="U455" s="25">
        <f t="shared" si="33"/>
        <v>1</v>
      </c>
    </row>
    <row r="456" spans="13:21" x14ac:dyDescent="0.2">
      <c r="M456" s="20">
        <v>1.0002904567255668E-2</v>
      </c>
      <c r="N456" s="20">
        <v>1.1647077387769553E-3</v>
      </c>
      <c r="O456" s="20">
        <v>0.11643695398130716</v>
      </c>
      <c r="P456" s="20"/>
      <c r="Q456" s="20"/>
      <c r="R456" s="20">
        <v>0.51</v>
      </c>
      <c r="S456" s="20">
        <v>0.17</v>
      </c>
      <c r="T456" s="20">
        <v>0.31999999999999984</v>
      </c>
      <c r="U456" s="25">
        <f t="shared" si="33"/>
        <v>0.99999999999999989</v>
      </c>
    </row>
    <row r="457" spans="13:21" x14ac:dyDescent="0.2">
      <c r="M457" s="20">
        <v>1.3621378205520344E-2</v>
      </c>
      <c r="N457" s="20">
        <v>1.8936086003011592E-3</v>
      </c>
      <c r="O457" s="20">
        <v>0.13901740130332299</v>
      </c>
      <c r="P457" s="20">
        <v>0.33999999999999997</v>
      </c>
      <c r="Q457" s="20"/>
      <c r="R457" s="20"/>
      <c r="S457" s="20"/>
      <c r="T457" s="20">
        <v>0.66</v>
      </c>
      <c r="U457" s="25">
        <f t="shared" si="33"/>
        <v>1</v>
      </c>
    </row>
    <row r="458" spans="13:21" x14ac:dyDescent="0.2">
      <c r="M458" s="20">
        <v>9.3478634006236225E-3</v>
      </c>
      <c r="N458" s="20">
        <v>9.5090167948762804E-4</v>
      </c>
      <c r="O458" s="20">
        <v>0.10172395966164745</v>
      </c>
      <c r="P458" s="20"/>
      <c r="Q458" s="20"/>
      <c r="R458" s="20">
        <v>0.28000000000000003</v>
      </c>
      <c r="S458" s="20">
        <v>0.47</v>
      </c>
      <c r="T458" s="20">
        <v>0.25</v>
      </c>
      <c r="U458" s="25">
        <f t="shared" si="33"/>
        <v>1</v>
      </c>
    </row>
    <row r="459" spans="13:21" x14ac:dyDescent="0.2">
      <c r="M459" s="20">
        <v>1.2782464916980584E-2</v>
      </c>
      <c r="N459" s="20">
        <v>1.5435047205326236E-3</v>
      </c>
      <c r="O459" s="20">
        <v>0.12075172750775078</v>
      </c>
      <c r="P459" s="20">
        <v>0.11</v>
      </c>
      <c r="Q459" s="20">
        <v>0.25</v>
      </c>
      <c r="R459" s="20">
        <v>0.10999999999999999</v>
      </c>
      <c r="S459" s="20"/>
      <c r="T459" s="20">
        <v>0.53</v>
      </c>
      <c r="U459" s="25">
        <f t="shared" si="33"/>
        <v>1</v>
      </c>
    </row>
    <row r="460" spans="13:21" x14ac:dyDescent="0.2">
      <c r="M460" s="20">
        <v>1.1914588792090822E-2</v>
      </c>
      <c r="N460" s="20">
        <v>1.2490011487266781E-3</v>
      </c>
      <c r="O460" s="20">
        <v>0.10482956403462232</v>
      </c>
      <c r="P460" s="20">
        <v>0.08</v>
      </c>
      <c r="Q460" s="20">
        <v>0.37</v>
      </c>
      <c r="R460" s="20">
        <v>0.45</v>
      </c>
      <c r="S460" s="20">
        <v>0.10000000000000009</v>
      </c>
      <c r="T460" s="20"/>
      <c r="U460" s="25">
        <f t="shared" si="33"/>
        <v>1</v>
      </c>
    </row>
    <row r="461" spans="13:21" x14ac:dyDescent="0.2">
      <c r="M461" s="20">
        <v>1.1006632041513526E-2</v>
      </c>
      <c r="N461" s="20">
        <v>1.5512743279097424E-3</v>
      </c>
      <c r="O461" s="20">
        <v>0.14093996438318532</v>
      </c>
      <c r="P461" s="20">
        <v>0.17</v>
      </c>
      <c r="Q461" s="20">
        <v>0.03</v>
      </c>
      <c r="R461" s="20">
        <v>0.39999999999999991</v>
      </c>
      <c r="S461" s="20"/>
      <c r="T461" s="20">
        <v>0.4</v>
      </c>
      <c r="U461" s="25">
        <f t="shared" si="33"/>
        <v>0.99999999999999989</v>
      </c>
    </row>
    <row r="462" spans="13:21" x14ac:dyDescent="0.2">
      <c r="M462" s="20">
        <v>9.8536848161496909E-3</v>
      </c>
      <c r="N462" s="20">
        <v>7.6100949547073008E-4</v>
      </c>
      <c r="O462" s="20">
        <v>7.7230955695221148E-2</v>
      </c>
      <c r="P462" s="20"/>
      <c r="Q462" s="20"/>
      <c r="R462" s="20">
        <v>0.38</v>
      </c>
      <c r="S462" s="20">
        <v>0.62</v>
      </c>
      <c r="T462" s="20"/>
      <c r="U462" s="25">
        <f t="shared" si="33"/>
        <v>1</v>
      </c>
    </row>
    <row r="463" spans="13:21" x14ac:dyDescent="0.2">
      <c r="M463" s="20">
        <v>9.8860185038424503E-3</v>
      </c>
      <c r="N463" s="20">
        <v>7.5478328431706357E-4</v>
      </c>
      <c r="O463" s="20">
        <v>7.6348560750083366E-2</v>
      </c>
      <c r="P463" s="20"/>
      <c r="Q463" s="20"/>
      <c r="R463" s="20">
        <v>0.37</v>
      </c>
      <c r="S463" s="20">
        <v>0.62999999999999989</v>
      </c>
      <c r="T463" s="20"/>
      <c r="U463" s="25">
        <f t="shared" si="33"/>
        <v>0.99999999999999989</v>
      </c>
    </row>
    <row r="464" spans="13:21" x14ac:dyDescent="0.2">
      <c r="M464" s="20">
        <v>1.4850768084664567E-2</v>
      </c>
      <c r="N464" s="20">
        <v>1.2335607977757338E-3</v>
      </c>
      <c r="O464" s="20">
        <v>8.3063770893409397E-2</v>
      </c>
      <c r="P464" s="20"/>
      <c r="Q464" s="20">
        <v>0.66</v>
      </c>
      <c r="R464" s="20">
        <v>0.33999999999999997</v>
      </c>
      <c r="S464" s="20"/>
      <c r="T464" s="20"/>
      <c r="U464" s="25">
        <f t="shared" si="33"/>
        <v>1</v>
      </c>
    </row>
    <row r="465" spans="13:21" x14ac:dyDescent="0.2">
      <c r="M465" s="20">
        <v>1.4894739502275345E-2</v>
      </c>
      <c r="N465" s="20">
        <v>1.4216083248165558E-3</v>
      </c>
      <c r="O465" s="20">
        <v>9.5443651404537047E-2</v>
      </c>
      <c r="P465" s="20">
        <v>0.13</v>
      </c>
      <c r="Q465" s="20">
        <v>0.66</v>
      </c>
      <c r="R465" s="20">
        <v>0.20999999999999985</v>
      </c>
      <c r="S465" s="20"/>
      <c r="T465" s="20"/>
      <c r="U465" s="25">
        <f t="shared" si="33"/>
        <v>0.99999999999999989</v>
      </c>
    </row>
    <row r="466" spans="13:21" x14ac:dyDescent="0.2">
      <c r="M466" s="20">
        <v>1.5419015476876895E-2</v>
      </c>
      <c r="N466" s="20">
        <v>1.4725136229127994E-3</v>
      </c>
      <c r="O466" s="20">
        <v>9.5499847258150319E-2</v>
      </c>
      <c r="P466" s="20"/>
      <c r="Q466" s="20"/>
      <c r="R466" s="20"/>
      <c r="S466" s="20">
        <v>0.06</v>
      </c>
      <c r="T466" s="20">
        <v>0.94</v>
      </c>
      <c r="U466" s="25">
        <f t="shared" si="33"/>
        <v>1</v>
      </c>
    </row>
    <row r="467" spans="13:21" x14ac:dyDescent="0.2">
      <c r="M467" s="20">
        <v>1.3844989040642075E-2</v>
      </c>
      <c r="N467" s="20">
        <v>2.0516101804260787E-3</v>
      </c>
      <c r="O467" s="20">
        <v>0.14818431234604526</v>
      </c>
      <c r="P467" s="20">
        <v>0.59</v>
      </c>
      <c r="Q467" s="20">
        <v>0.39</v>
      </c>
      <c r="R467" s="20">
        <v>2.0000000000000129E-2</v>
      </c>
      <c r="S467" s="20"/>
      <c r="T467" s="20"/>
      <c r="U467" s="25">
        <f t="shared" si="33"/>
        <v>1</v>
      </c>
    </row>
    <row r="468" spans="13:21" x14ac:dyDescent="0.2">
      <c r="M468" s="20">
        <v>1.073791125316164E-2</v>
      </c>
      <c r="N468" s="20">
        <v>1.2356361181527491E-3</v>
      </c>
      <c r="O468" s="20">
        <v>0.11507229749071841</v>
      </c>
      <c r="P468" s="20">
        <v>9.9999999999999978E-2</v>
      </c>
      <c r="Q468" s="20"/>
      <c r="R468" s="20"/>
      <c r="S468" s="20">
        <v>0.4</v>
      </c>
      <c r="T468" s="20">
        <v>0.5</v>
      </c>
      <c r="U468" s="25">
        <f t="shared" si="33"/>
        <v>1</v>
      </c>
    </row>
    <row r="469" spans="13:21" x14ac:dyDescent="0.2">
      <c r="M469" s="20">
        <v>1.4054415181796755E-2</v>
      </c>
      <c r="N469" s="20">
        <v>2.054232186813281E-3</v>
      </c>
      <c r="O469" s="20">
        <v>0.14616276524077057</v>
      </c>
      <c r="P469" s="20">
        <v>0.59</v>
      </c>
      <c r="Q469" s="20">
        <v>0.41000000000000014</v>
      </c>
      <c r="R469" s="20"/>
      <c r="S469" s="20"/>
      <c r="T469" s="20"/>
      <c r="U469" s="25">
        <f t="shared" si="33"/>
        <v>1</v>
      </c>
    </row>
    <row r="470" spans="13:21" x14ac:dyDescent="0.2">
      <c r="M470" s="20">
        <v>1.422980672648998E-2</v>
      </c>
      <c r="N470" s="20">
        <v>2.4883204962203747E-3</v>
      </c>
      <c r="O470" s="20">
        <v>0.17486678097940414</v>
      </c>
      <c r="P470" s="20">
        <v>0.92</v>
      </c>
      <c r="Q470" s="20">
        <v>8.0000000000000071E-2</v>
      </c>
      <c r="R470" s="20"/>
      <c r="S470" s="20"/>
      <c r="T470" s="20"/>
      <c r="U470" s="25">
        <f t="shared" si="33"/>
        <v>1</v>
      </c>
    </row>
    <row r="471" spans="13:21" x14ac:dyDescent="0.2">
      <c r="M471" s="20">
        <v>1.0615479114935149E-2</v>
      </c>
      <c r="N471" s="20">
        <v>6.5665761604168484E-4</v>
      </c>
      <c r="O471" s="20">
        <v>6.1858500114028665E-2</v>
      </c>
      <c r="P471" s="20"/>
      <c r="Q471" s="20"/>
      <c r="R471" s="20">
        <v>0.18</v>
      </c>
      <c r="S471" s="20">
        <v>0.8</v>
      </c>
      <c r="T471" s="20">
        <v>2.0000000000000018E-2</v>
      </c>
      <c r="U471" s="25">
        <f t="shared" si="33"/>
        <v>1</v>
      </c>
    </row>
    <row r="472" spans="13:21" x14ac:dyDescent="0.2">
      <c r="M472" s="20">
        <v>1.4469126985004868E-2</v>
      </c>
      <c r="N472" s="20">
        <v>2.5540914521911462E-3</v>
      </c>
      <c r="O472" s="20">
        <v>0.17652007994940455</v>
      </c>
      <c r="P472" s="20">
        <v>0.97</v>
      </c>
      <c r="Q472" s="20">
        <v>2.9999999999999916E-2</v>
      </c>
      <c r="R472" s="20"/>
      <c r="S472" s="20"/>
      <c r="T472" s="20"/>
      <c r="U472" s="25">
        <f t="shared" si="33"/>
        <v>0.99999999999999989</v>
      </c>
    </row>
    <row r="473" spans="13:21" x14ac:dyDescent="0.2">
      <c r="M473" s="20">
        <v>1.1420620366427671E-2</v>
      </c>
      <c r="N473" s="20">
        <v>1.9070465550648078E-3</v>
      </c>
      <c r="O473" s="20">
        <v>0.16698274646014918</v>
      </c>
      <c r="P473" s="20">
        <v>0.51</v>
      </c>
      <c r="Q473" s="20">
        <v>0.17</v>
      </c>
      <c r="R473" s="20">
        <v>0.32000000000000006</v>
      </c>
      <c r="S473" s="20"/>
      <c r="T473" s="20"/>
      <c r="U473" s="25">
        <f t="shared" si="33"/>
        <v>1</v>
      </c>
    </row>
    <row r="474" spans="13:21" x14ac:dyDescent="0.2">
      <c r="M474" s="20">
        <v>1.8001796391182504E-2</v>
      </c>
      <c r="N474" s="20">
        <v>1.2676468808093652E-3</v>
      </c>
      <c r="O474" s="20">
        <v>7.0417799049781155E-2</v>
      </c>
      <c r="P474" s="20"/>
      <c r="Q474" s="20">
        <v>0.92</v>
      </c>
      <c r="R474" s="20">
        <v>7.9999999999999849E-2</v>
      </c>
      <c r="S474" s="20"/>
      <c r="T474" s="20"/>
      <c r="U474" s="25">
        <f t="shared" si="33"/>
        <v>0.99999999999999989</v>
      </c>
    </row>
    <row r="475" spans="13:21" x14ac:dyDescent="0.2">
      <c r="M475" s="20">
        <v>1.3253436773710979E-2</v>
      </c>
      <c r="N475" s="20">
        <v>2.3390284165108999E-3</v>
      </c>
      <c r="O475" s="20">
        <v>0.17648467008576291</v>
      </c>
      <c r="P475" s="20">
        <v>0.76</v>
      </c>
      <c r="Q475" s="20">
        <v>0</v>
      </c>
      <c r="R475" s="20"/>
      <c r="S475" s="20"/>
      <c r="T475" s="20">
        <v>0.24</v>
      </c>
      <c r="U475" s="25">
        <f t="shared" si="33"/>
        <v>1</v>
      </c>
    </row>
    <row r="476" spans="13:21" x14ac:dyDescent="0.2">
      <c r="M476" s="20">
        <v>1.409250508640581E-2</v>
      </c>
      <c r="N476" s="20">
        <v>1.8087667305469227E-3</v>
      </c>
      <c r="O476" s="20">
        <v>0.12834955314592938</v>
      </c>
      <c r="P476" s="20">
        <v>0.26</v>
      </c>
      <c r="Q476" s="20"/>
      <c r="R476" s="20"/>
      <c r="S476" s="20"/>
      <c r="T476" s="20">
        <v>0.74</v>
      </c>
      <c r="U476" s="25">
        <f t="shared" si="33"/>
        <v>1</v>
      </c>
    </row>
    <row r="477" spans="13:21" x14ac:dyDescent="0.2">
      <c r="M477" s="20">
        <v>1.3783201362897049E-2</v>
      </c>
      <c r="N477" s="20">
        <v>1.6224685001736678E-3</v>
      </c>
      <c r="O477" s="20">
        <v>0.11771347290486411</v>
      </c>
      <c r="P477" s="20">
        <v>0.13</v>
      </c>
      <c r="Q477" s="20">
        <v>0.19000000000000006</v>
      </c>
      <c r="R477" s="20"/>
      <c r="S477" s="20"/>
      <c r="T477" s="20">
        <v>0.68</v>
      </c>
      <c r="U477" s="25">
        <f t="shared" si="33"/>
        <v>1</v>
      </c>
    </row>
    <row r="478" spans="13:21" x14ac:dyDescent="0.2">
      <c r="M478" s="20">
        <v>1.3834362163160021E-2</v>
      </c>
      <c r="N478" s="20">
        <v>2.1989282899489786E-3</v>
      </c>
      <c r="O478" s="20">
        <v>0.15894685017026497</v>
      </c>
      <c r="P478" s="20">
        <v>0.7</v>
      </c>
      <c r="Q478" s="20">
        <v>0.30000000000000004</v>
      </c>
      <c r="R478" s="20"/>
      <c r="S478" s="20"/>
      <c r="T478" s="20"/>
      <c r="U478" s="25">
        <f t="shared" si="33"/>
        <v>1</v>
      </c>
    </row>
    <row r="479" spans="13:21" x14ac:dyDescent="0.2">
      <c r="M479" s="20">
        <v>1.0933102399933914E-2</v>
      </c>
      <c r="N479" s="20">
        <v>6.5553370531925507E-4</v>
      </c>
      <c r="O479" s="20">
        <v>5.9958617539630603E-2</v>
      </c>
      <c r="P479" s="20"/>
      <c r="Q479" s="20"/>
      <c r="R479" s="20"/>
      <c r="S479" s="20">
        <v>0.87</v>
      </c>
      <c r="T479" s="20">
        <v>0.12999999999999989</v>
      </c>
      <c r="U479" s="25">
        <f t="shared" si="33"/>
        <v>0.99999999999999989</v>
      </c>
    </row>
    <row r="480" spans="13:21" x14ac:dyDescent="0.2">
      <c r="M480" s="20">
        <v>1.5761864063279733E-2</v>
      </c>
      <c r="N480" s="20">
        <v>1.2440488233245435E-3</v>
      </c>
      <c r="O480" s="20">
        <v>7.8927772649860145E-2</v>
      </c>
      <c r="P480" s="20"/>
      <c r="Q480" s="20">
        <v>0.74</v>
      </c>
      <c r="R480" s="20">
        <v>0.26</v>
      </c>
      <c r="S480" s="20"/>
      <c r="T480" s="20"/>
      <c r="U480" s="25">
        <f t="shared" si="33"/>
        <v>1</v>
      </c>
    </row>
    <row r="481" spans="13:21" x14ac:dyDescent="0.2">
      <c r="M481" s="20">
        <v>1.1579199744869626E-2</v>
      </c>
      <c r="N481" s="20">
        <v>5.7484433074211515E-4</v>
      </c>
      <c r="O481" s="20">
        <v>4.9644564685639034E-2</v>
      </c>
      <c r="P481" s="20"/>
      <c r="Q481" s="20"/>
      <c r="R481" s="20"/>
      <c r="S481" s="20">
        <v>0.95</v>
      </c>
      <c r="T481" s="20">
        <v>5.0000000000000155E-2</v>
      </c>
      <c r="U481" s="25">
        <f t="shared" si="33"/>
        <v>1</v>
      </c>
    </row>
    <row r="482" spans="13:21" x14ac:dyDescent="0.2">
      <c r="M482" s="20">
        <v>1.6301105982438266E-2</v>
      </c>
      <c r="N482" s="20">
        <v>1.5330306538456546E-3</v>
      </c>
      <c r="O482" s="20">
        <v>9.4044579275617268E-2</v>
      </c>
      <c r="P482" s="20">
        <v>0</v>
      </c>
      <c r="Q482" s="20"/>
      <c r="R482" s="20"/>
      <c r="S482" s="20"/>
      <c r="T482" s="20">
        <v>1</v>
      </c>
      <c r="U482" s="25">
        <f t="shared" si="33"/>
        <v>1</v>
      </c>
    </row>
    <row r="483" spans="13:21" x14ac:dyDescent="0.2">
      <c r="M483" s="20">
        <v>1.3128194712138252E-2</v>
      </c>
      <c r="N483" s="20">
        <v>2.2966074816337819E-3</v>
      </c>
      <c r="O483" s="20">
        <v>0.17493703681210276</v>
      </c>
      <c r="P483" s="20">
        <v>0.72</v>
      </c>
      <c r="Q483" s="20"/>
      <c r="R483" s="20"/>
      <c r="S483" s="20"/>
      <c r="T483" s="20">
        <v>0.28000000000000003</v>
      </c>
      <c r="U483" s="25">
        <f t="shared" si="33"/>
        <v>1</v>
      </c>
    </row>
    <row r="484" spans="13:21" x14ac:dyDescent="0.2">
      <c r="M484" s="20">
        <v>1.0154547230316424E-2</v>
      </c>
      <c r="N484" s="20">
        <v>8.8054385678921262E-4</v>
      </c>
      <c r="O484" s="20">
        <v>8.671424109982441E-2</v>
      </c>
      <c r="P484" s="20">
        <v>5.9999999999999942E-2</v>
      </c>
      <c r="Q484" s="20"/>
      <c r="R484" s="20"/>
      <c r="S484" s="20">
        <v>0.71</v>
      </c>
      <c r="T484" s="20">
        <v>0.23</v>
      </c>
      <c r="U484" s="25">
        <f t="shared" si="33"/>
        <v>0.99999999999999989</v>
      </c>
    </row>
    <row r="485" spans="13:21" x14ac:dyDescent="0.2">
      <c r="M485" s="20">
        <v>1.3920174483762867E-2</v>
      </c>
      <c r="N485" s="20">
        <v>2.1200031427840529E-3</v>
      </c>
      <c r="O485" s="20">
        <v>0.15229716734204174</v>
      </c>
      <c r="P485" s="20">
        <v>0.64</v>
      </c>
      <c r="Q485" s="20">
        <v>0.3600000000000001</v>
      </c>
      <c r="R485" s="20"/>
      <c r="S485" s="20"/>
      <c r="T485" s="20"/>
      <c r="U485" s="25">
        <f t="shared" si="33"/>
        <v>1</v>
      </c>
    </row>
    <row r="486" spans="13:21" x14ac:dyDescent="0.2">
      <c r="M486" s="20">
        <v>1.4168542622972173E-2</v>
      </c>
      <c r="N486" s="20">
        <v>1.3817380765135169E-3</v>
      </c>
      <c r="O486" s="20">
        <v>9.7521538614228062E-2</v>
      </c>
      <c r="P486" s="20"/>
      <c r="Q486" s="20"/>
      <c r="R486" s="20"/>
      <c r="S486" s="20">
        <v>0.15</v>
      </c>
      <c r="T486" s="20">
        <v>0.85000000000000009</v>
      </c>
      <c r="U486" s="25">
        <f t="shared" si="33"/>
        <v>1</v>
      </c>
    </row>
    <row r="487" spans="13:21" x14ac:dyDescent="0.2">
      <c r="M487" s="20">
        <v>1.6301847562708853E-2</v>
      </c>
      <c r="N487" s="20">
        <v>1.6069896862120335E-3</v>
      </c>
      <c r="O487" s="20">
        <v>9.8577150843201872E-2</v>
      </c>
      <c r="P487" s="20">
        <v>0.25</v>
      </c>
      <c r="Q487" s="20">
        <v>0.75</v>
      </c>
      <c r="R487" s="20"/>
      <c r="S487" s="20"/>
      <c r="T487" s="20"/>
      <c r="U487" s="25">
        <f t="shared" si="33"/>
        <v>1</v>
      </c>
    </row>
    <row r="488" spans="13:21" x14ac:dyDescent="0.2">
      <c r="M488" s="20">
        <v>1.7357097322569404E-2</v>
      </c>
      <c r="N488" s="20">
        <v>1.2610918648413593E-3</v>
      </c>
      <c r="O488" s="20">
        <v>7.2655688990207121E-2</v>
      </c>
      <c r="P488" s="20"/>
      <c r="Q488" s="20">
        <v>0.87</v>
      </c>
      <c r="R488" s="20">
        <v>0.13</v>
      </c>
      <c r="S488" s="20"/>
      <c r="T488" s="20"/>
      <c r="U488" s="25">
        <f t="shared" si="33"/>
        <v>1</v>
      </c>
    </row>
    <row r="489" spans="13:21" x14ac:dyDescent="0.2">
      <c r="M489" s="20">
        <v>1.4210476746707954E-2</v>
      </c>
      <c r="N489" s="20">
        <v>1.2256947786141268E-3</v>
      </c>
      <c r="O489" s="20">
        <v>8.6252896398994874E-2</v>
      </c>
      <c r="P489" s="20"/>
      <c r="Q489" s="20">
        <v>0.6</v>
      </c>
      <c r="R489" s="20">
        <v>0.40000000000000013</v>
      </c>
      <c r="S489" s="20"/>
      <c r="T489" s="20"/>
      <c r="U489" s="25">
        <f t="shared" si="33"/>
        <v>1</v>
      </c>
    </row>
    <row r="490" spans="13:21" x14ac:dyDescent="0.2">
      <c r="M490" s="20">
        <v>9.5795363962064995E-3</v>
      </c>
      <c r="N490" s="20">
        <v>8.9798614085139341E-4</v>
      </c>
      <c r="O490" s="20">
        <v>9.3740041658696163E-2</v>
      </c>
      <c r="P490" s="20"/>
      <c r="Q490" s="20"/>
      <c r="R490" s="20">
        <v>0.6</v>
      </c>
      <c r="S490" s="20">
        <v>0.39999999999999991</v>
      </c>
      <c r="T490" s="20"/>
      <c r="U490" s="25">
        <f t="shared" si="33"/>
        <v>0.99999999999999989</v>
      </c>
    </row>
    <row r="491" spans="13:21" x14ac:dyDescent="0.2">
      <c r="M491" s="20">
        <v>1.3884886503902974E-2</v>
      </c>
      <c r="N491" s="20">
        <v>1.4242744904619006E-3</v>
      </c>
      <c r="O491" s="20">
        <v>0.10257732319681143</v>
      </c>
      <c r="P491" s="20">
        <v>0.14000000000000001</v>
      </c>
      <c r="Q491" s="20">
        <v>0.56999999999999995</v>
      </c>
      <c r="R491" s="20">
        <v>0.28999999999999992</v>
      </c>
      <c r="S491" s="20"/>
      <c r="T491" s="20"/>
      <c r="U491" s="25">
        <f t="shared" si="33"/>
        <v>0.99999999999999989</v>
      </c>
    </row>
    <row r="492" spans="13:21" x14ac:dyDescent="0.2">
      <c r="M492" s="20">
        <v>1.623891119323944E-2</v>
      </c>
      <c r="N492" s="20">
        <v>1.2492928360989485E-3</v>
      </c>
      <c r="O492" s="20">
        <v>7.6932056665169293E-2</v>
      </c>
      <c r="P492" s="20"/>
      <c r="Q492" s="20">
        <v>0.78</v>
      </c>
      <c r="R492" s="20">
        <v>0.22000000000000008</v>
      </c>
      <c r="S492" s="20"/>
      <c r="T492" s="20"/>
      <c r="U492" s="25">
        <f t="shared" si="33"/>
        <v>1</v>
      </c>
    </row>
    <row r="493" spans="13:21" x14ac:dyDescent="0.2">
      <c r="M493" s="20">
        <v>1.0149610713943569E-2</v>
      </c>
      <c r="N493" s="20">
        <v>1.3013437680569743E-3</v>
      </c>
      <c r="O493" s="20">
        <v>0.12821612618789249</v>
      </c>
      <c r="P493" s="20">
        <v>0.19999999999999996</v>
      </c>
      <c r="Q493" s="20"/>
      <c r="R493" s="20"/>
      <c r="S493" s="20">
        <v>0.44</v>
      </c>
      <c r="T493" s="20">
        <v>0.36</v>
      </c>
      <c r="U493" s="25">
        <f t="shared" ref="U493:U543" si="34">SUM(P493:T493)</f>
        <v>0.99999999999999989</v>
      </c>
    </row>
    <row r="494" spans="13:21" x14ac:dyDescent="0.2">
      <c r="M494" s="20">
        <v>1.4013216223519356E-2</v>
      </c>
      <c r="N494" s="20">
        <v>2.4093953490554485E-3</v>
      </c>
      <c r="O494" s="20">
        <v>0.17193735618034586</v>
      </c>
      <c r="P494" s="20">
        <v>0.86</v>
      </c>
      <c r="Q494" s="20">
        <v>0.14000000000000012</v>
      </c>
      <c r="R494" s="20"/>
      <c r="S494" s="20"/>
      <c r="T494" s="20"/>
      <c r="U494" s="25">
        <f t="shared" si="34"/>
        <v>1</v>
      </c>
    </row>
    <row r="495" spans="13:21" x14ac:dyDescent="0.2">
      <c r="M495" s="20">
        <v>1.2479489159351391E-2</v>
      </c>
      <c r="N495" s="20">
        <v>1.0900249203633077E-3</v>
      </c>
      <c r="O495" s="20">
        <v>8.7345315697198028E-2</v>
      </c>
      <c r="P495" s="20"/>
      <c r="Q495" s="20">
        <v>0.42</v>
      </c>
      <c r="R495" s="20">
        <v>0.4</v>
      </c>
      <c r="S495" s="20">
        <v>0.18000000000000005</v>
      </c>
      <c r="T495" s="20"/>
      <c r="U495" s="25">
        <f t="shared" si="34"/>
        <v>1</v>
      </c>
    </row>
    <row r="496" spans="13:21" x14ac:dyDescent="0.2">
      <c r="M496" s="20">
        <v>1.0366589778404172E-2</v>
      </c>
      <c r="N496" s="20">
        <v>1.6184387846918859E-3</v>
      </c>
      <c r="O496" s="20">
        <v>0.15612065484287233</v>
      </c>
      <c r="P496" s="20">
        <v>0.46</v>
      </c>
      <c r="Q496" s="20">
        <v>0.04</v>
      </c>
      <c r="R496" s="20">
        <v>0.18</v>
      </c>
      <c r="S496" s="20">
        <v>0.32000000000000006</v>
      </c>
      <c r="T496" s="20"/>
      <c r="U496" s="25">
        <f t="shared" si="34"/>
        <v>1</v>
      </c>
    </row>
    <row r="497" spans="13:21" x14ac:dyDescent="0.2">
      <c r="M497" s="20">
        <v>1.295985713380938E-2</v>
      </c>
      <c r="N497" s="20">
        <v>1.75335263309265E-3</v>
      </c>
      <c r="O497" s="20">
        <v>0.1352910464204535</v>
      </c>
      <c r="P497" s="20">
        <v>0.31</v>
      </c>
      <c r="Q497" s="20">
        <v>0.38</v>
      </c>
      <c r="R497" s="20">
        <v>2.9999999999999805E-2</v>
      </c>
      <c r="S497" s="20"/>
      <c r="T497" s="20">
        <v>0.28000000000000003</v>
      </c>
      <c r="U497" s="25">
        <f t="shared" si="34"/>
        <v>0.99999999999999978</v>
      </c>
    </row>
    <row r="498" spans="13:21" x14ac:dyDescent="0.2">
      <c r="M498" s="20">
        <v>1.082958881289576E-2</v>
      </c>
      <c r="N498" s="20">
        <v>1.7061238308575468E-3</v>
      </c>
      <c r="O498" s="20">
        <v>0.1575428079804759</v>
      </c>
      <c r="P498" s="20">
        <v>0.41999999999999982</v>
      </c>
      <c r="Q498" s="20"/>
      <c r="R498" s="20"/>
      <c r="S498" s="20">
        <v>0.27</v>
      </c>
      <c r="T498" s="20">
        <v>0.31</v>
      </c>
      <c r="U498" s="25">
        <f t="shared" si="34"/>
        <v>0.99999999999999978</v>
      </c>
    </row>
    <row r="499" spans="13:21" x14ac:dyDescent="0.2">
      <c r="M499" s="20">
        <v>9.6544161042757554E-3</v>
      </c>
      <c r="N499" s="20">
        <v>9.3534340777339268E-4</v>
      </c>
      <c r="O499" s="20">
        <v>9.6882441948938483E-2</v>
      </c>
      <c r="P499" s="20"/>
      <c r="Q499" s="20"/>
      <c r="R499" s="20">
        <v>0.66</v>
      </c>
      <c r="S499" s="20">
        <v>0.33999999999999997</v>
      </c>
      <c r="T499" s="20"/>
      <c r="U499" s="25">
        <f t="shared" si="34"/>
        <v>1</v>
      </c>
    </row>
    <row r="500" spans="13:21" x14ac:dyDescent="0.2">
      <c r="M500" s="20">
        <v>9.8839769893505937E-3</v>
      </c>
      <c r="N500" s="20">
        <v>9.9137930815639116E-4</v>
      </c>
      <c r="O500" s="20">
        <v>0.10030166088251159</v>
      </c>
      <c r="P500" s="20"/>
      <c r="Q500" s="20"/>
      <c r="R500" s="20">
        <v>0.75</v>
      </c>
      <c r="S500" s="20">
        <v>0.24999999999999989</v>
      </c>
      <c r="T500" s="20"/>
      <c r="U500" s="25">
        <f t="shared" si="34"/>
        <v>0.99999999999999989</v>
      </c>
    </row>
    <row r="501" spans="13:21" x14ac:dyDescent="0.2">
      <c r="M501" s="20">
        <v>1.3621378205520342E-2</v>
      </c>
      <c r="N501" s="20">
        <v>1.8936086003011588E-3</v>
      </c>
      <c r="O501" s="20">
        <v>0.13901740130332299</v>
      </c>
      <c r="P501" s="20">
        <v>0.33999999999999986</v>
      </c>
      <c r="Q501" s="20"/>
      <c r="R501" s="20"/>
      <c r="S501" s="20"/>
      <c r="T501" s="20">
        <v>0.66</v>
      </c>
      <c r="U501" s="25">
        <f t="shared" si="34"/>
        <v>0.99999999999999989</v>
      </c>
    </row>
    <row r="502" spans="13:21" x14ac:dyDescent="0.2">
      <c r="M502" s="20">
        <v>1.4536505963810736E-2</v>
      </c>
      <c r="N502" s="20">
        <v>9.1634861768932416E-4</v>
      </c>
      <c r="O502" s="20">
        <v>6.3037749234280502E-2</v>
      </c>
      <c r="P502" s="20"/>
      <c r="Q502" s="20">
        <v>0.52</v>
      </c>
      <c r="R502" s="20">
        <v>0</v>
      </c>
      <c r="S502" s="20">
        <v>0.48</v>
      </c>
      <c r="T502" s="20"/>
      <c r="U502" s="25">
        <f t="shared" si="34"/>
        <v>1</v>
      </c>
    </row>
    <row r="503" spans="13:21" x14ac:dyDescent="0.2">
      <c r="M503" s="20">
        <v>1.8528130402520309E-2</v>
      </c>
      <c r="N503" s="20">
        <v>1.2728908935837702E-3</v>
      </c>
      <c r="O503" s="20">
        <v>6.8700449852761386E-2</v>
      </c>
      <c r="P503" s="20"/>
      <c r="Q503" s="20">
        <v>0.96</v>
      </c>
      <c r="R503" s="20">
        <v>4.0000000000000036E-2</v>
      </c>
      <c r="S503" s="20"/>
      <c r="T503" s="20"/>
      <c r="U503" s="25">
        <f t="shared" si="34"/>
        <v>1</v>
      </c>
    </row>
    <row r="504" spans="13:21" x14ac:dyDescent="0.2">
      <c r="M504" s="20">
        <v>9.9927518782750909E-3</v>
      </c>
      <c r="N504" s="20">
        <v>1.4972193147829342E-3</v>
      </c>
      <c r="O504" s="20">
        <v>0.14983053047058925</v>
      </c>
      <c r="P504" s="20">
        <v>0.26000000000000012</v>
      </c>
      <c r="Q504" s="20"/>
      <c r="R504" s="20">
        <v>0.18</v>
      </c>
      <c r="S504" s="20">
        <v>0.24</v>
      </c>
      <c r="T504" s="20">
        <v>0.32</v>
      </c>
      <c r="U504" s="25">
        <f t="shared" si="34"/>
        <v>1.0000000000000002</v>
      </c>
    </row>
    <row r="505" spans="13:21" x14ac:dyDescent="0.2">
      <c r="M505" s="20">
        <v>9.5795363962064995E-3</v>
      </c>
      <c r="N505" s="20">
        <v>8.9798614085139341E-4</v>
      </c>
      <c r="O505" s="20">
        <v>9.3740041658696163E-2</v>
      </c>
      <c r="P505" s="20"/>
      <c r="Q505" s="20"/>
      <c r="R505" s="20">
        <v>0.6</v>
      </c>
      <c r="S505" s="20">
        <v>0.39999999999999991</v>
      </c>
      <c r="T505" s="20"/>
      <c r="U505" s="25">
        <f t="shared" si="34"/>
        <v>0.99999999999999989</v>
      </c>
    </row>
    <row r="506" spans="13:21" x14ac:dyDescent="0.2">
      <c r="M506" s="20">
        <v>1.0442595580057838E-2</v>
      </c>
      <c r="N506" s="20">
        <v>8.099406540342149E-4</v>
      </c>
      <c r="O506" s="20">
        <v>7.7561239236435986E-2</v>
      </c>
      <c r="P506" s="20">
        <v>5.9999999999999942E-2</v>
      </c>
      <c r="Q506" s="20"/>
      <c r="R506" s="20"/>
      <c r="S506" s="20">
        <v>0.78</v>
      </c>
      <c r="T506" s="20">
        <v>0.16</v>
      </c>
      <c r="U506" s="25">
        <f t="shared" si="34"/>
        <v>1</v>
      </c>
    </row>
    <row r="507" spans="13:21" x14ac:dyDescent="0.2">
      <c r="M507" s="20">
        <v>1.0333572354641199E-2</v>
      </c>
      <c r="N507" s="20">
        <v>9.7752473838685623E-4</v>
      </c>
      <c r="O507" s="20">
        <v>9.4596980099318009E-2</v>
      </c>
      <c r="P507" s="20">
        <v>0.05</v>
      </c>
      <c r="Q507" s="20">
        <v>0.15</v>
      </c>
      <c r="R507" s="20">
        <v>0.38</v>
      </c>
      <c r="S507" s="20">
        <v>0.41999999999999993</v>
      </c>
      <c r="T507" s="20"/>
      <c r="U507" s="25">
        <f t="shared" si="34"/>
        <v>1</v>
      </c>
    </row>
    <row r="508" spans="13:21" x14ac:dyDescent="0.2">
      <c r="M508" s="20">
        <v>1.293423228426546E-2</v>
      </c>
      <c r="N508" s="20">
        <v>2.2239698284018286E-3</v>
      </c>
      <c r="O508" s="20">
        <v>0.17194447876951274</v>
      </c>
      <c r="P508" s="20">
        <v>0.73</v>
      </c>
      <c r="Q508" s="20">
        <v>0.16</v>
      </c>
      <c r="R508" s="20">
        <v>0.10999999999999999</v>
      </c>
      <c r="S508" s="20"/>
      <c r="T508" s="20"/>
      <c r="U508" s="25">
        <f t="shared" si="34"/>
        <v>1</v>
      </c>
    </row>
    <row r="509" spans="13:21" x14ac:dyDescent="0.2">
      <c r="M509" s="20">
        <v>1.0484111463997295E-2</v>
      </c>
      <c r="N509" s="20">
        <v>1.4942765172564227E-3</v>
      </c>
      <c r="O509" s="20">
        <v>0.1425277213417471</v>
      </c>
      <c r="P509" s="20">
        <v>0.15999999999999981</v>
      </c>
      <c r="Q509" s="20"/>
      <c r="R509" s="20">
        <v>0.54</v>
      </c>
      <c r="S509" s="20">
        <v>0</v>
      </c>
      <c r="T509" s="20">
        <v>0.3</v>
      </c>
      <c r="U509" s="25">
        <f t="shared" si="34"/>
        <v>0.99999999999999978</v>
      </c>
    </row>
    <row r="510" spans="13:21" x14ac:dyDescent="0.2">
      <c r="M510" s="20">
        <v>1.0762427363131861E-2</v>
      </c>
      <c r="N510" s="20">
        <v>1.7631369111386723E-3</v>
      </c>
      <c r="O510" s="20">
        <v>0.16382335059268641</v>
      </c>
      <c r="P510" s="20">
        <v>0.53</v>
      </c>
      <c r="Q510" s="20"/>
      <c r="R510" s="20">
        <v>0.05</v>
      </c>
      <c r="S510" s="20">
        <v>0.31</v>
      </c>
      <c r="T510" s="20">
        <v>0.11</v>
      </c>
      <c r="U510" s="25">
        <f t="shared" si="34"/>
        <v>1.0000000000000002</v>
      </c>
    </row>
    <row r="511" spans="13:21" x14ac:dyDescent="0.2">
      <c r="M511" s="20">
        <v>1.5904108076560286E-2</v>
      </c>
      <c r="N511" s="20">
        <v>1.5754515887227729E-3</v>
      </c>
      <c r="O511" s="20">
        <v>9.905941163998358E-2</v>
      </c>
      <c r="P511" s="20">
        <v>4.0000000000000036E-2</v>
      </c>
      <c r="Q511" s="20"/>
      <c r="R511" s="20"/>
      <c r="S511" s="20"/>
      <c r="T511" s="20">
        <v>0.96</v>
      </c>
      <c r="U511" s="25">
        <f t="shared" si="34"/>
        <v>1</v>
      </c>
    </row>
    <row r="512" spans="13:21" x14ac:dyDescent="0.2">
      <c r="M512" s="20">
        <v>1.322740211923782E-2</v>
      </c>
      <c r="N512" s="20">
        <v>1.9052519578147129E-3</v>
      </c>
      <c r="O512" s="20">
        <v>0.14403825790127986</v>
      </c>
      <c r="P512" s="20">
        <v>0.37000000000000011</v>
      </c>
      <c r="Q512" s="20"/>
      <c r="R512" s="20"/>
      <c r="S512" s="20">
        <v>0.02</v>
      </c>
      <c r="T512" s="20">
        <v>0.61</v>
      </c>
      <c r="U512" s="25">
        <f t="shared" si="34"/>
        <v>1</v>
      </c>
    </row>
    <row r="513" spans="13:21" x14ac:dyDescent="0.2">
      <c r="M513" s="20">
        <v>9.4273160333353274E-3</v>
      </c>
      <c r="N513" s="20">
        <v>8.4082632974596526E-4</v>
      </c>
      <c r="O513" s="20">
        <v>8.9190425649545768E-2</v>
      </c>
      <c r="P513" s="20"/>
      <c r="Q513" s="20"/>
      <c r="R513" s="20">
        <v>0.33</v>
      </c>
      <c r="S513" s="20">
        <v>0.56000000000000005</v>
      </c>
      <c r="T513" s="20">
        <v>0.10999999999999999</v>
      </c>
      <c r="U513" s="25">
        <f t="shared" si="34"/>
        <v>1</v>
      </c>
    </row>
    <row r="514" spans="13:21" x14ac:dyDescent="0.2">
      <c r="M514" s="20">
        <v>1.5807718646568842E-2</v>
      </c>
      <c r="N514" s="20">
        <v>1.5860568224420521E-3</v>
      </c>
      <c r="O514" s="20">
        <v>0.10033432767265978</v>
      </c>
      <c r="P514" s="20">
        <v>4.9999999999999933E-2</v>
      </c>
      <c r="Q514" s="20"/>
      <c r="R514" s="20"/>
      <c r="S514" s="20"/>
      <c r="T514" s="20">
        <v>0.95</v>
      </c>
      <c r="U514" s="25">
        <f t="shared" si="34"/>
        <v>0.99999999999999989</v>
      </c>
    </row>
    <row r="515" spans="13:21" x14ac:dyDescent="0.2">
      <c r="M515" s="20">
        <v>1.0942498745105542E-2</v>
      </c>
      <c r="N515" s="20">
        <v>1.2452032280777542E-3</v>
      </c>
      <c r="O515" s="20">
        <v>0.11379514469989954</v>
      </c>
      <c r="P515" s="20">
        <v>8.9999999999999858E-2</v>
      </c>
      <c r="Q515" s="20"/>
      <c r="R515" s="20"/>
      <c r="S515" s="20">
        <v>0.38</v>
      </c>
      <c r="T515" s="20">
        <v>0.53</v>
      </c>
      <c r="U515" s="25">
        <f t="shared" si="34"/>
        <v>0.99999999999999989</v>
      </c>
    </row>
    <row r="516" spans="13:21" x14ac:dyDescent="0.2">
      <c r="M516" s="20">
        <v>1.516744641352482E-2</v>
      </c>
      <c r="N516" s="20">
        <v>1.6602934584770096E-3</v>
      </c>
      <c r="O516" s="20">
        <v>0.10946427059709438</v>
      </c>
      <c r="P516" s="20">
        <v>0.12000000000000011</v>
      </c>
      <c r="Q516" s="20"/>
      <c r="R516" s="20"/>
      <c r="S516" s="20"/>
      <c r="T516" s="20">
        <v>0.88</v>
      </c>
      <c r="U516" s="25">
        <f t="shared" si="34"/>
        <v>1</v>
      </c>
    </row>
    <row r="517" spans="13:21" x14ac:dyDescent="0.2">
      <c r="M517" s="20">
        <v>1.5081169588307179E-2</v>
      </c>
      <c r="N517" s="20">
        <v>1.6708986921962884E-3</v>
      </c>
      <c r="O517" s="20">
        <v>0.11079370750474017</v>
      </c>
      <c r="P517" s="20">
        <v>0.12999999999999989</v>
      </c>
      <c r="Q517" s="20"/>
      <c r="R517" s="20"/>
      <c r="S517" s="20"/>
      <c r="T517" s="20">
        <v>0.87</v>
      </c>
      <c r="U517" s="25">
        <f t="shared" si="34"/>
        <v>0.99999999999999989</v>
      </c>
    </row>
    <row r="518" spans="13:21" x14ac:dyDescent="0.2">
      <c r="M518" s="20">
        <v>1.4229100438921656E-2</v>
      </c>
      <c r="N518" s="20">
        <v>1.4747215011871222E-3</v>
      </c>
      <c r="O518" s="20">
        <v>0.10364123210159047</v>
      </c>
      <c r="P518" s="20">
        <v>7.0000000000000007E-2</v>
      </c>
      <c r="Q518" s="20">
        <v>0.52000000000000013</v>
      </c>
      <c r="R518" s="20"/>
      <c r="S518" s="20"/>
      <c r="T518" s="20">
        <v>0.41</v>
      </c>
      <c r="U518" s="25">
        <f t="shared" si="34"/>
        <v>1</v>
      </c>
    </row>
    <row r="519" spans="13:21" x14ac:dyDescent="0.2">
      <c r="M519" s="20">
        <v>1.3942508844043463E-2</v>
      </c>
      <c r="N519" s="20">
        <v>2.1068489515898982E-3</v>
      </c>
      <c r="O519" s="20">
        <v>0.151109744677694</v>
      </c>
      <c r="P519" s="20">
        <v>0.63</v>
      </c>
      <c r="Q519" s="20">
        <v>0.37</v>
      </c>
      <c r="R519" s="20"/>
      <c r="S519" s="20"/>
      <c r="T519" s="20"/>
      <c r="U519" s="25">
        <f t="shared" si="34"/>
        <v>1</v>
      </c>
    </row>
    <row r="520" spans="13:21" x14ac:dyDescent="0.2">
      <c r="M520" s="20">
        <v>1.4161652659714676E-2</v>
      </c>
      <c r="N520" s="20">
        <v>2.0147696132308181E-3</v>
      </c>
      <c r="O520" s="20">
        <v>0.14226938491170502</v>
      </c>
      <c r="P520" s="20">
        <v>0.56000000000000005</v>
      </c>
      <c r="Q520" s="20">
        <v>0.43999999999999995</v>
      </c>
      <c r="R520" s="20"/>
      <c r="S520" s="20"/>
      <c r="T520" s="20"/>
      <c r="U520" s="25">
        <f t="shared" si="34"/>
        <v>1</v>
      </c>
    </row>
    <row r="521" spans="13:21" x14ac:dyDescent="0.2">
      <c r="M521" s="20">
        <v>1.3904563203334566E-2</v>
      </c>
      <c r="N521" s="20">
        <v>2.4692495824369096E-3</v>
      </c>
      <c r="O521" s="20">
        <v>0.17758555564296608</v>
      </c>
      <c r="P521" s="20">
        <v>0.89</v>
      </c>
      <c r="Q521" s="20">
        <v>2.9999999999999916E-2</v>
      </c>
      <c r="R521" s="20"/>
      <c r="S521" s="20"/>
      <c r="T521" s="20">
        <v>0.08</v>
      </c>
      <c r="U521" s="25">
        <f t="shared" si="34"/>
        <v>0.99999999999999989</v>
      </c>
    </row>
    <row r="522" spans="13:21" x14ac:dyDescent="0.2">
      <c r="M522" s="20">
        <v>1.4148879873072288E-2</v>
      </c>
      <c r="N522" s="20">
        <v>2.4620121138320657E-3</v>
      </c>
      <c r="O522" s="20">
        <v>0.17400756356110503</v>
      </c>
      <c r="P522" s="20">
        <v>0.9</v>
      </c>
      <c r="Q522" s="20">
        <v>0.10000000000000009</v>
      </c>
      <c r="R522" s="20"/>
      <c r="S522" s="20"/>
      <c r="T522" s="20"/>
      <c r="U522" s="25">
        <f t="shared" si="34"/>
        <v>1</v>
      </c>
    </row>
    <row r="523" spans="13:21" x14ac:dyDescent="0.2">
      <c r="M523" s="20">
        <v>1.2007938807189322E-2</v>
      </c>
      <c r="N523" s="20">
        <v>1.1916086955804951E-3</v>
      </c>
      <c r="O523" s="20">
        <v>9.9235073955162248E-2</v>
      </c>
      <c r="P523" s="20"/>
      <c r="Q523" s="20">
        <v>0.34</v>
      </c>
      <c r="R523" s="20">
        <v>0.65999999999999992</v>
      </c>
      <c r="S523" s="20"/>
      <c r="T523" s="20"/>
      <c r="U523" s="25">
        <f t="shared" si="34"/>
        <v>1</v>
      </c>
    </row>
    <row r="524" spans="13:21" x14ac:dyDescent="0.2">
      <c r="M524" s="20">
        <v>1.1654999524262253E-2</v>
      </c>
      <c r="N524" s="20">
        <v>1.6176485278233518E-3</v>
      </c>
      <c r="O524" s="20">
        <v>0.13879438814698253</v>
      </c>
      <c r="P524" s="20">
        <v>0.27</v>
      </c>
      <c r="Q524" s="20"/>
      <c r="R524" s="20"/>
      <c r="S524" s="20">
        <v>0.2</v>
      </c>
      <c r="T524" s="20">
        <v>0.53</v>
      </c>
      <c r="U524" s="25">
        <f t="shared" si="34"/>
        <v>1</v>
      </c>
    </row>
    <row r="525" spans="13:21" x14ac:dyDescent="0.2">
      <c r="M525" s="20">
        <v>1.3573238443699263E-2</v>
      </c>
      <c r="N525" s="20">
        <v>2.1686868979798666E-3</v>
      </c>
      <c r="O525" s="20">
        <v>0.15977667429739861</v>
      </c>
      <c r="P525" s="20">
        <v>0.68</v>
      </c>
      <c r="Q525" s="20">
        <v>0.28999999999999998</v>
      </c>
      <c r="R525" s="20">
        <v>3.0000000000000027E-2</v>
      </c>
      <c r="S525" s="20"/>
      <c r="T525" s="20"/>
      <c r="U525" s="25">
        <f t="shared" si="34"/>
        <v>1</v>
      </c>
    </row>
    <row r="526" spans="13:21" x14ac:dyDescent="0.2">
      <c r="M526" s="20">
        <v>1.049012463133649E-2</v>
      </c>
      <c r="N526" s="20">
        <v>1.5356970336753983E-3</v>
      </c>
      <c r="O526" s="20">
        <v>0.14639454607506827</v>
      </c>
      <c r="P526" s="20">
        <v>0.43999999999999995</v>
      </c>
      <c r="Q526" s="20"/>
      <c r="R526" s="20"/>
      <c r="S526" s="20">
        <v>0.46</v>
      </c>
      <c r="T526" s="20">
        <v>0.1</v>
      </c>
      <c r="U526" s="25">
        <f t="shared" si="34"/>
        <v>0.99999999999999989</v>
      </c>
    </row>
    <row r="527" spans="13:21" x14ac:dyDescent="0.2">
      <c r="M527" s="20">
        <v>9.9234988918745232E-3</v>
      </c>
      <c r="N527" s="20">
        <v>1.1702235343691221E-3</v>
      </c>
      <c r="O527" s="20">
        <v>0.11792448884408248</v>
      </c>
      <c r="P527" s="20">
        <v>0.20000000000000007</v>
      </c>
      <c r="Q527" s="20"/>
      <c r="R527" s="20"/>
      <c r="S527" s="20">
        <v>0.56999999999999995</v>
      </c>
      <c r="T527" s="20">
        <v>0.23</v>
      </c>
      <c r="U527" s="25">
        <f t="shared" si="34"/>
        <v>1</v>
      </c>
    </row>
    <row r="528" spans="13:21" x14ac:dyDescent="0.2">
      <c r="M528" s="20">
        <v>1.4368989816425544E-2</v>
      </c>
      <c r="N528" s="20">
        <v>1.7663457956698047E-3</v>
      </c>
      <c r="O528" s="20">
        <v>0.12292762527054278</v>
      </c>
      <c r="P528" s="20">
        <v>0.21999999999999997</v>
      </c>
      <c r="Q528" s="20"/>
      <c r="R528" s="20"/>
      <c r="S528" s="20"/>
      <c r="T528" s="20">
        <v>0.78</v>
      </c>
      <c r="U528" s="25">
        <f t="shared" si="34"/>
        <v>1</v>
      </c>
    </row>
    <row r="529" spans="13:21" x14ac:dyDescent="0.2">
      <c r="M529" s="20">
        <v>9.3442471555363806E-3</v>
      </c>
      <c r="N529" s="20">
        <v>8.6722488454391673E-4</v>
      </c>
      <c r="O529" s="20">
        <v>9.280842748579203E-2</v>
      </c>
      <c r="P529" s="20"/>
      <c r="Q529" s="20"/>
      <c r="R529" s="20">
        <v>0.34</v>
      </c>
      <c r="S529" s="20">
        <v>0.53</v>
      </c>
      <c r="T529" s="20">
        <v>0.12999999999999989</v>
      </c>
      <c r="U529" s="25">
        <f t="shared" si="34"/>
        <v>1</v>
      </c>
    </row>
    <row r="530" spans="13:21" x14ac:dyDescent="0.2">
      <c r="M530" s="20">
        <v>1.1913694472021352E-2</v>
      </c>
      <c r="N530" s="20">
        <v>2.0227681101668521E-3</v>
      </c>
      <c r="O530" s="20">
        <v>0.16978512542160706</v>
      </c>
      <c r="P530" s="20">
        <v>0.59</v>
      </c>
      <c r="Q530" s="20">
        <v>0.17</v>
      </c>
      <c r="R530" s="20">
        <v>0.24</v>
      </c>
      <c r="S530" s="20"/>
      <c r="T530" s="20"/>
      <c r="U530" s="25">
        <f t="shared" si="34"/>
        <v>1</v>
      </c>
    </row>
    <row r="531" spans="13:21" x14ac:dyDescent="0.2">
      <c r="M531" s="20">
        <v>1.4111664700453743E-2</v>
      </c>
      <c r="N531" s="20">
        <v>2.4488579226379114E-3</v>
      </c>
      <c r="O531" s="20">
        <v>0.17353430474855114</v>
      </c>
      <c r="P531" s="20">
        <v>0.89</v>
      </c>
      <c r="Q531" s="20">
        <v>0.10999999999999999</v>
      </c>
      <c r="R531" s="20"/>
      <c r="S531" s="20"/>
      <c r="T531" s="20"/>
      <c r="U531" s="25">
        <f t="shared" si="34"/>
        <v>1</v>
      </c>
    </row>
    <row r="532" spans="13:21" x14ac:dyDescent="0.2">
      <c r="M532" s="20">
        <v>9.5980502546850286E-3</v>
      </c>
      <c r="N532" s="20">
        <v>8.3572402931472831E-4</v>
      </c>
      <c r="O532" s="20">
        <v>8.7072270631922577E-2</v>
      </c>
      <c r="P532" s="20"/>
      <c r="Q532" s="20"/>
      <c r="R532" s="20">
        <v>0.5</v>
      </c>
      <c r="S532" s="20">
        <v>0.49999999999999989</v>
      </c>
      <c r="T532" s="20"/>
      <c r="U532" s="25">
        <f t="shared" si="34"/>
        <v>0.99999999999999989</v>
      </c>
    </row>
    <row r="533" spans="13:21" x14ac:dyDescent="0.2">
      <c r="M533" s="20">
        <v>1.1700517778063657E-2</v>
      </c>
      <c r="N533" s="20">
        <v>1.6690912774087389E-3</v>
      </c>
      <c r="O533" s="20">
        <v>0.14265106118106852</v>
      </c>
      <c r="P533" s="20">
        <v>0.23</v>
      </c>
      <c r="Q533" s="20">
        <v>0.09</v>
      </c>
      <c r="R533" s="20">
        <v>0.21999999999999997</v>
      </c>
      <c r="S533" s="20"/>
      <c r="T533" s="20">
        <v>0.46</v>
      </c>
      <c r="U533" s="25">
        <f t="shared" si="34"/>
        <v>1</v>
      </c>
    </row>
    <row r="534" spans="13:21" x14ac:dyDescent="0.2">
      <c r="M534" s="20">
        <v>9.6947853400666199E-3</v>
      </c>
      <c r="N534" s="20">
        <v>7.9836676239272925E-4</v>
      </c>
      <c r="O534" s="20">
        <v>8.2350122709085483E-2</v>
      </c>
      <c r="P534" s="20"/>
      <c r="Q534" s="20"/>
      <c r="R534" s="20">
        <v>0.44</v>
      </c>
      <c r="S534" s="20">
        <v>0.55999999999999994</v>
      </c>
      <c r="T534" s="20"/>
      <c r="U534" s="25">
        <f t="shared" si="34"/>
        <v>1</v>
      </c>
    </row>
    <row r="535" spans="13:21" x14ac:dyDescent="0.2">
      <c r="M535" s="20">
        <v>9.717019206749786E-3</v>
      </c>
      <c r="N535" s="20">
        <v>7.9214055123906274E-4</v>
      </c>
      <c r="O535" s="20">
        <v>8.152094118418679E-2</v>
      </c>
      <c r="P535" s="20"/>
      <c r="Q535" s="20"/>
      <c r="R535" s="20">
        <v>0.43</v>
      </c>
      <c r="S535" s="20">
        <v>0.57000000000000006</v>
      </c>
      <c r="T535" s="20"/>
      <c r="U535" s="25">
        <f t="shared" si="34"/>
        <v>1</v>
      </c>
    </row>
    <row r="536" spans="13:21" x14ac:dyDescent="0.2">
      <c r="M536" s="20">
        <v>9.9903983160641897E-3</v>
      </c>
      <c r="N536" s="20">
        <v>1.0100579416173908E-3</v>
      </c>
      <c r="O536" s="20">
        <v>0.10110286994195768</v>
      </c>
      <c r="P536" s="20"/>
      <c r="Q536" s="20"/>
      <c r="R536" s="20">
        <v>0.78</v>
      </c>
      <c r="S536" s="20">
        <v>0.21999999999999997</v>
      </c>
      <c r="T536" s="20"/>
      <c r="U536" s="25">
        <f t="shared" si="34"/>
        <v>1</v>
      </c>
    </row>
    <row r="537" spans="13:21" x14ac:dyDescent="0.2">
      <c r="M537" s="20">
        <v>1.5740839928933402E-2</v>
      </c>
      <c r="N537" s="20">
        <v>1.5162655103046967E-3</v>
      </c>
      <c r="O537" s="20">
        <v>9.6326848957890315E-2</v>
      </c>
      <c r="P537" s="20">
        <v>0.19</v>
      </c>
      <c r="Q537" s="20">
        <v>0.72</v>
      </c>
      <c r="R537" s="20">
        <v>9.0000000000000191E-2</v>
      </c>
      <c r="S537" s="20"/>
      <c r="T537" s="20"/>
      <c r="U537" s="25">
        <f t="shared" si="34"/>
        <v>1</v>
      </c>
    </row>
    <row r="538" spans="13:21" x14ac:dyDescent="0.2">
      <c r="M538" s="20">
        <v>1.2056142119864242E-2</v>
      </c>
      <c r="N538" s="20">
        <v>2.0424185661616838E-3</v>
      </c>
      <c r="O538" s="20">
        <v>0.16940896564221011</v>
      </c>
      <c r="P538" s="20">
        <v>0.65</v>
      </c>
      <c r="Q538" s="20">
        <v>0.11</v>
      </c>
      <c r="R538" s="20">
        <v>7.9999999999999849E-2</v>
      </c>
      <c r="S538" s="20">
        <v>0.12</v>
      </c>
      <c r="T538" s="20">
        <v>0.04</v>
      </c>
      <c r="U538" s="25">
        <f t="shared" si="34"/>
        <v>0.99999999999999989</v>
      </c>
    </row>
    <row r="539" spans="13:21" x14ac:dyDescent="0.2">
      <c r="M539" s="20">
        <v>1.0909084634781437E-2</v>
      </c>
      <c r="N539" s="20">
        <v>1.122129742383388E-3</v>
      </c>
      <c r="O539" s="20">
        <v>0.10286195221235167</v>
      </c>
      <c r="P539" s="20"/>
      <c r="Q539" s="20"/>
      <c r="R539" s="20">
        <v>0.96</v>
      </c>
      <c r="S539" s="20">
        <v>3.9999999999999925E-2</v>
      </c>
      <c r="T539" s="20"/>
      <c r="U539" s="25">
        <f t="shared" si="34"/>
        <v>0.99999999999999989</v>
      </c>
    </row>
    <row r="540" spans="13:21" x14ac:dyDescent="0.2">
      <c r="M540" s="20">
        <v>1.3429607498338993E-2</v>
      </c>
      <c r="N540" s="20">
        <v>1.9360295351782773E-3</v>
      </c>
      <c r="O540" s="20">
        <v>0.14416128955501717</v>
      </c>
      <c r="P540" s="20">
        <v>0.38</v>
      </c>
      <c r="Q540" s="20"/>
      <c r="R540" s="20"/>
      <c r="S540" s="20"/>
      <c r="T540" s="20">
        <v>0.62</v>
      </c>
      <c r="U540" s="25">
        <f t="shared" si="34"/>
        <v>1</v>
      </c>
    </row>
    <row r="541" spans="13:21" x14ac:dyDescent="0.2">
      <c r="M541" s="20">
        <v>1.5133029800759949E-2</v>
      </c>
      <c r="N541" s="20">
        <v>1.4523412792685141E-3</v>
      </c>
      <c r="O541" s="20">
        <v>9.5971612981002707E-2</v>
      </c>
      <c r="P541" s="20"/>
      <c r="Q541" s="20"/>
      <c r="R541" s="20"/>
      <c r="S541" s="20">
        <v>0.08</v>
      </c>
      <c r="T541" s="20">
        <v>0.91999999999999993</v>
      </c>
      <c r="U541" s="25">
        <f t="shared" si="34"/>
        <v>0.99999999999999989</v>
      </c>
    </row>
    <row r="542" spans="13:21" x14ac:dyDescent="0.2">
      <c r="M542" s="20">
        <v>1.0918575402345719E-2</v>
      </c>
      <c r="N542" s="20">
        <v>1.2464233015976179E-3</v>
      </c>
      <c r="O542" s="20">
        <v>0.11415622053860978</v>
      </c>
      <c r="P542" s="20">
        <v>0.09</v>
      </c>
      <c r="Q542" s="20">
        <v>0.24</v>
      </c>
      <c r="R542" s="20">
        <v>0.56999999999999995</v>
      </c>
      <c r="S542" s="20">
        <v>0.1000000000000002</v>
      </c>
      <c r="T542" s="20"/>
      <c r="U542" s="25">
        <f t="shared" si="34"/>
        <v>1</v>
      </c>
    </row>
    <row r="543" spans="13:21" x14ac:dyDescent="0.2">
      <c r="M543" s="20">
        <v>1.0956427908534841E-2</v>
      </c>
      <c r="N543" s="20">
        <v>1.0998511202196814E-3</v>
      </c>
      <c r="O543" s="20">
        <v>0.10038409684263236</v>
      </c>
      <c r="P543" s="20">
        <v>0</v>
      </c>
      <c r="Q543" s="20">
        <v>0.21</v>
      </c>
      <c r="R543" s="20">
        <v>0.67</v>
      </c>
      <c r="S543" s="20">
        <v>0.12</v>
      </c>
      <c r="T543" s="20"/>
      <c r="U543" s="25">
        <f t="shared" si="34"/>
        <v>1</v>
      </c>
    </row>
    <row r="544" spans="13:21" x14ac:dyDescent="0.2">
      <c r="M544" s="20">
        <v>1.1304513869046474E-2</v>
      </c>
      <c r="N544" s="20">
        <v>1.1719436476764771E-3</v>
      </c>
      <c r="O544" s="20">
        <v>0.10367041530953773</v>
      </c>
      <c r="P544" s="20"/>
      <c r="Q544" s="20">
        <v>0.19</v>
      </c>
      <c r="R544" s="20">
        <v>0.80999999999999994</v>
      </c>
      <c r="S544" s="20"/>
      <c r="T544" s="20"/>
    </row>
    <row r="545" spans="13:20" x14ac:dyDescent="0.2">
      <c r="M545" s="20">
        <v>1.8794551774568874E-2</v>
      </c>
      <c r="N545" s="20">
        <v>1.2755128999709724E-3</v>
      </c>
      <c r="O545" s="20">
        <v>6.7866098392241725E-2</v>
      </c>
      <c r="P545" s="20"/>
      <c r="Q545" s="20">
        <v>0.98</v>
      </c>
      <c r="R545" s="20">
        <v>2.0000000000000018E-2</v>
      </c>
      <c r="S545" s="20"/>
      <c r="T545" s="20"/>
    </row>
    <row r="546" spans="13:20" x14ac:dyDescent="0.2">
      <c r="M546" s="20">
        <v>1.3077945144471977E-2</v>
      </c>
      <c r="N546" s="20">
        <v>2.2753970141952229E-3</v>
      </c>
      <c r="O546" s="20">
        <v>0.1739873496225077</v>
      </c>
      <c r="P546" s="20">
        <v>0.70000000000000007</v>
      </c>
      <c r="Q546" s="20"/>
      <c r="R546" s="20"/>
      <c r="S546" s="20"/>
      <c r="T546" s="20">
        <v>0.3</v>
      </c>
    </row>
    <row r="547" spans="13:20" x14ac:dyDescent="0.2">
      <c r="M547" s="20">
        <v>1.0678381654700331E-2</v>
      </c>
      <c r="N547" s="20">
        <v>6.958783926078253E-4</v>
      </c>
      <c r="O547" s="20">
        <v>6.5167027655498602E-2</v>
      </c>
      <c r="P547" s="20"/>
      <c r="Q547" s="20"/>
      <c r="R547" s="20"/>
      <c r="S547" s="20">
        <v>0.83</v>
      </c>
      <c r="T547" s="20">
        <v>0.17000000000000004</v>
      </c>
    </row>
    <row r="548" spans="13:20" x14ac:dyDescent="0.2">
      <c r="M548" s="20">
        <v>1.0258850148799393E-2</v>
      </c>
      <c r="N548" s="20">
        <v>9.2786034451710329E-4</v>
      </c>
      <c r="O548" s="20">
        <v>9.0444867705343379E-2</v>
      </c>
      <c r="P548" s="20"/>
      <c r="Q548" s="20"/>
      <c r="R548" s="20"/>
      <c r="S548" s="20">
        <v>0.6</v>
      </c>
      <c r="T548" s="20">
        <v>0.4</v>
      </c>
    </row>
    <row r="549" spans="13:20" x14ac:dyDescent="0.2">
      <c r="M549" s="20">
        <v>1.2908728639483075E-2</v>
      </c>
      <c r="N549" s="20">
        <v>1.2808763582920915E-3</v>
      </c>
      <c r="O549" s="20">
        <v>9.9225601069214478E-2</v>
      </c>
      <c r="P549" s="20"/>
      <c r="Q549" s="20"/>
      <c r="R549" s="20"/>
      <c r="S549" s="20">
        <v>0.25</v>
      </c>
      <c r="T549" s="20">
        <v>0.75</v>
      </c>
    </row>
    <row r="550" spans="13:20" x14ac:dyDescent="0.2">
      <c r="M550" s="20">
        <v>1.4141902840400523E-2</v>
      </c>
      <c r="N550" s="20">
        <v>2.5167684322637777E-3</v>
      </c>
      <c r="O550" s="20">
        <v>0.17796533186990121</v>
      </c>
      <c r="P550" s="20">
        <v>0.93</v>
      </c>
      <c r="Q550" s="20">
        <v>1.0000000000000009E-2</v>
      </c>
      <c r="R550" s="20"/>
      <c r="S550" s="20"/>
      <c r="T550" s="20">
        <v>0.06</v>
      </c>
    </row>
    <row r="551" spans="13:20" x14ac:dyDescent="0.2">
      <c r="M551" s="20">
        <v>1.2908667926081098E-2</v>
      </c>
      <c r="N551" s="20">
        <v>1.837248913632654E-3</v>
      </c>
      <c r="O551" s="20">
        <v>0.142326762463276</v>
      </c>
      <c r="P551" s="20">
        <v>0.39</v>
      </c>
      <c r="Q551" s="20">
        <v>0.35</v>
      </c>
      <c r="R551" s="20">
        <v>0</v>
      </c>
      <c r="S551" s="20">
        <v>2.0000000000000018E-2</v>
      </c>
      <c r="T551" s="20">
        <v>0.24</v>
      </c>
    </row>
    <row r="552" spans="13:20" x14ac:dyDescent="0.2">
      <c r="M552" s="20">
        <v>1.3501322527238957E-2</v>
      </c>
      <c r="N552" s="20">
        <v>2.402659818826577E-3</v>
      </c>
      <c r="O552" s="20">
        <v>0.17795736780446536</v>
      </c>
      <c r="P552" s="20">
        <v>0.82</v>
      </c>
      <c r="Q552" s="20">
        <v>0</v>
      </c>
      <c r="R552" s="20"/>
      <c r="S552" s="20"/>
      <c r="T552" s="20">
        <v>0.18</v>
      </c>
    </row>
    <row r="553" spans="13:20" x14ac:dyDescent="0.2">
      <c r="M553" s="20">
        <v>1.0168926504757142E-2</v>
      </c>
      <c r="N553" s="20">
        <v>1.6388511961817429E-3</v>
      </c>
      <c r="O553" s="20">
        <v>0.16116265521390771</v>
      </c>
      <c r="P553" s="20">
        <v>0.34</v>
      </c>
      <c r="Q553" s="20">
        <v>0</v>
      </c>
      <c r="R553" s="20">
        <v>0.65999999999999992</v>
      </c>
      <c r="S553" s="20"/>
      <c r="T553" s="20"/>
    </row>
    <row r="554" spans="13:20" x14ac:dyDescent="0.2">
      <c r="M554" s="20">
        <v>1.6118413230157853E-2</v>
      </c>
      <c r="N554" s="20">
        <v>1.2479818329053471E-3</v>
      </c>
      <c r="O554" s="20">
        <v>7.742584924987217E-2</v>
      </c>
      <c r="P554" s="20"/>
      <c r="Q554" s="20">
        <v>0.77</v>
      </c>
      <c r="R554" s="20">
        <v>0.22999999999999998</v>
      </c>
      <c r="S554" s="20"/>
      <c r="T554" s="20"/>
    </row>
    <row r="555" spans="13:20" x14ac:dyDescent="0.2">
      <c r="M555" s="20">
        <v>1.5298716201155593E-2</v>
      </c>
      <c r="N555" s="20">
        <v>1.2388048105501385E-3</v>
      </c>
      <c r="O555" s="20">
        <v>8.0974429112984331E-2</v>
      </c>
      <c r="P555" s="20"/>
      <c r="Q555" s="20">
        <v>0.7</v>
      </c>
      <c r="R555" s="20">
        <v>0.29999999999999993</v>
      </c>
      <c r="S555" s="20"/>
      <c r="T555" s="20"/>
    </row>
    <row r="556" spans="13:20" x14ac:dyDescent="0.2">
      <c r="M556" s="20">
        <v>9.4317156795457793E-3</v>
      </c>
      <c r="N556" s="20">
        <v>1.3882559401891003E-3</v>
      </c>
      <c r="O556" s="20">
        <v>0.14719018123073416</v>
      </c>
      <c r="P556" s="20">
        <v>0.25</v>
      </c>
      <c r="Q556" s="20">
        <v>0.02</v>
      </c>
      <c r="R556" s="20">
        <v>0.5</v>
      </c>
      <c r="S556" s="20">
        <v>0.21</v>
      </c>
      <c r="T556" s="20">
        <v>0.02</v>
      </c>
    </row>
    <row r="557" spans="13:20" x14ac:dyDescent="0.2">
      <c r="M557" s="20">
        <v>1.7230052311804852E-2</v>
      </c>
      <c r="N557" s="20">
        <v>1.2597808616477582E-3</v>
      </c>
      <c r="O557" s="20">
        <v>7.3115324251490671E-2</v>
      </c>
      <c r="P557" s="20"/>
      <c r="Q557" s="20">
        <v>0.86</v>
      </c>
      <c r="R557" s="20">
        <v>0.14000000000000001</v>
      </c>
      <c r="S557" s="20"/>
      <c r="T557" s="20"/>
    </row>
    <row r="558" spans="13:20" x14ac:dyDescent="0.2">
      <c r="M558" s="20">
        <v>1.4850768084664569E-2</v>
      </c>
      <c r="N558" s="20">
        <v>1.233560797775734E-3</v>
      </c>
      <c r="O558" s="20">
        <v>8.3063770893409397E-2</v>
      </c>
      <c r="P558" s="20"/>
      <c r="Q558" s="20">
        <v>0.66</v>
      </c>
      <c r="R558" s="20">
        <v>0.34000000000000008</v>
      </c>
      <c r="S558" s="20"/>
      <c r="T558" s="20"/>
    </row>
    <row r="559" spans="13:20" x14ac:dyDescent="0.2">
      <c r="M559" s="20">
        <v>9.6544161042757554E-3</v>
      </c>
      <c r="N559" s="20">
        <v>9.3534340777339268E-4</v>
      </c>
      <c r="O559" s="20">
        <v>9.6882441948938483E-2</v>
      </c>
      <c r="P559" s="20"/>
      <c r="Q559" s="20"/>
      <c r="R559" s="20">
        <v>0.66</v>
      </c>
      <c r="S559" s="20">
        <v>0.33999999999999986</v>
      </c>
      <c r="T559" s="20"/>
    </row>
    <row r="560" spans="13:20" x14ac:dyDescent="0.2">
      <c r="M560" s="20">
        <v>1.3875585654343915E-2</v>
      </c>
      <c r="N560" s="20">
        <v>1.4098092960741454E-3</v>
      </c>
      <c r="O560" s="20">
        <v>0.1016035885759379</v>
      </c>
      <c r="P560" s="20">
        <v>0.13</v>
      </c>
      <c r="Q560" s="20">
        <v>0.56999999999999995</v>
      </c>
      <c r="R560" s="20">
        <v>0.30000000000000016</v>
      </c>
      <c r="S560" s="20"/>
      <c r="T560" s="20"/>
    </row>
    <row r="561" spans="13:20" x14ac:dyDescent="0.2">
      <c r="M561" s="20">
        <v>1.623891119323944E-2</v>
      </c>
      <c r="N561" s="20">
        <v>1.2492928360989485E-3</v>
      </c>
      <c r="O561" s="20">
        <v>7.6932056665169293E-2</v>
      </c>
      <c r="P561" s="20"/>
      <c r="Q561" s="20">
        <v>0.78</v>
      </c>
      <c r="R561" s="20">
        <v>0.22000000000000008</v>
      </c>
      <c r="S561" s="20"/>
      <c r="T561" s="20"/>
    </row>
    <row r="562" spans="13:20" x14ac:dyDescent="0.2">
      <c r="M562" s="20">
        <v>1.017202943000442E-2</v>
      </c>
      <c r="N562" s="20">
        <v>1.3220351735983966E-3</v>
      </c>
      <c r="O562" s="20">
        <v>0.12996769058677624</v>
      </c>
      <c r="P562" s="20">
        <v>0.20999999999999996</v>
      </c>
      <c r="Q562" s="20"/>
      <c r="R562" s="20"/>
      <c r="S562" s="20">
        <v>0.43</v>
      </c>
      <c r="T562" s="20">
        <v>0.36</v>
      </c>
    </row>
    <row r="563" spans="13:20" x14ac:dyDescent="0.2">
      <c r="M563" s="20">
        <v>1.4229806726489979E-2</v>
      </c>
      <c r="N563" s="20">
        <v>2.4883204962203747E-3</v>
      </c>
      <c r="O563" s="20">
        <v>0.17486678097940414</v>
      </c>
      <c r="P563" s="20">
        <v>0.92</v>
      </c>
      <c r="Q563" s="20">
        <v>7.999999999999996E-2</v>
      </c>
      <c r="R563" s="20"/>
      <c r="S563" s="20"/>
      <c r="T563" s="20"/>
    </row>
    <row r="564" spans="13:20" x14ac:dyDescent="0.2">
      <c r="M564" s="20">
        <v>1.302945395952231E-2</v>
      </c>
      <c r="N564" s="20">
        <v>1.135248206446914E-3</v>
      </c>
      <c r="O564" s="20">
        <v>8.7129377023297358E-2</v>
      </c>
      <c r="P564" s="20"/>
      <c r="Q564" s="20">
        <v>0.48</v>
      </c>
      <c r="R564" s="20">
        <v>0.4</v>
      </c>
      <c r="S564" s="20">
        <v>0.12</v>
      </c>
      <c r="T564" s="20"/>
    </row>
    <row r="565" spans="13:20" x14ac:dyDescent="0.2">
      <c r="M565" s="20">
        <v>1.0337830322201249E-2</v>
      </c>
      <c r="N565" s="20">
        <v>1.6046753591909516E-3</v>
      </c>
      <c r="O565" s="20">
        <v>0.1552236116455494</v>
      </c>
      <c r="P565" s="20">
        <v>0.46</v>
      </c>
      <c r="Q565" s="20">
        <v>0.03</v>
      </c>
      <c r="R565" s="20">
        <v>0.17</v>
      </c>
      <c r="S565" s="20">
        <v>0.34000000000000008</v>
      </c>
      <c r="T565" s="20"/>
    </row>
    <row r="566" spans="13:20" x14ac:dyDescent="0.2">
      <c r="M566" s="20">
        <v>1.2768256615989187E-2</v>
      </c>
      <c r="N566" s="20">
        <v>1.7337164748428174E-3</v>
      </c>
      <c r="O566" s="20">
        <v>0.13578333573526022</v>
      </c>
      <c r="P566" s="20">
        <v>0.3</v>
      </c>
      <c r="Q566" s="20">
        <v>0.37</v>
      </c>
      <c r="R566" s="20">
        <v>5.9999999999999831E-2</v>
      </c>
      <c r="S566" s="20"/>
      <c r="T566" s="20">
        <v>0.27</v>
      </c>
    </row>
    <row r="567" spans="13:20" x14ac:dyDescent="0.2">
      <c r="M567" s="20">
        <v>1.2807017532517239E-2</v>
      </c>
      <c r="N567" s="20">
        <v>1.8489555772127539E-3</v>
      </c>
      <c r="O567" s="20">
        <v>0.14437050410200686</v>
      </c>
      <c r="P567" s="20">
        <v>0.37</v>
      </c>
      <c r="Q567" s="20">
        <v>0.30000000000000004</v>
      </c>
      <c r="R567" s="20"/>
      <c r="S567" s="20"/>
      <c r="T567" s="20">
        <v>0.33</v>
      </c>
    </row>
    <row r="568" spans="13:20" x14ac:dyDescent="0.2">
      <c r="M568" s="20">
        <v>9.6544161042757554E-3</v>
      </c>
      <c r="N568" s="20">
        <v>9.3534340777339268E-4</v>
      </c>
      <c r="O568" s="20">
        <v>9.6882441948938483E-2</v>
      </c>
      <c r="P568" s="20"/>
      <c r="Q568" s="20"/>
      <c r="R568" s="20">
        <v>0.66</v>
      </c>
      <c r="S568" s="20">
        <v>0.33999999999999997</v>
      </c>
      <c r="T568" s="20"/>
    </row>
    <row r="569" spans="13:20" x14ac:dyDescent="0.2">
      <c r="M569" s="20">
        <v>9.8839769893505954E-3</v>
      </c>
      <c r="N569" s="20">
        <v>9.9137930815639138E-4</v>
      </c>
      <c r="O569" s="20">
        <v>0.10030166088251159</v>
      </c>
      <c r="P569" s="20"/>
      <c r="Q569" s="20"/>
      <c r="R569" s="20">
        <v>0.75</v>
      </c>
      <c r="S569" s="20">
        <v>0.25000000000000011</v>
      </c>
      <c r="T569" s="20"/>
    </row>
    <row r="570" spans="13:20" x14ac:dyDescent="0.2">
      <c r="M570" s="20">
        <v>1.3570602348951239E-2</v>
      </c>
      <c r="N570" s="20">
        <v>1.9042138340204387E-3</v>
      </c>
      <c r="O570" s="20">
        <v>0.14031903559296319</v>
      </c>
      <c r="P570" s="20">
        <v>0.35000000000000009</v>
      </c>
      <c r="Q570" s="20"/>
      <c r="R570" s="20"/>
      <c r="S570" s="20"/>
      <c r="T570" s="20">
        <v>0.65</v>
      </c>
    </row>
    <row r="571" spans="13:20" x14ac:dyDescent="0.2">
      <c r="M571" s="20">
        <v>1.4459409276053868E-2</v>
      </c>
      <c r="N571" s="20">
        <v>9.0881140334205641E-4</v>
      </c>
      <c r="O571" s="20">
        <v>6.2852595565375743E-2</v>
      </c>
      <c r="P571" s="20"/>
      <c r="Q571" s="20">
        <v>0.51</v>
      </c>
      <c r="R571" s="20">
        <v>0</v>
      </c>
      <c r="S571" s="20">
        <v>0.49</v>
      </c>
      <c r="T571" s="20"/>
    </row>
    <row r="572" spans="13:20" x14ac:dyDescent="0.2">
      <c r="M572" s="20">
        <v>9.8513863159294789E-3</v>
      </c>
      <c r="N572" s="20">
        <v>1.1404927274745102E-3</v>
      </c>
      <c r="O572" s="20">
        <v>0.11576976994906372</v>
      </c>
      <c r="P572" s="20"/>
      <c r="Q572" s="20">
        <v>0.01</v>
      </c>
      <c r="R572" s="20">
        <v>0.54</v>
      </c>
      <c r="S572" s="20">
        <v>0.18</v>
      </c>
      <c r="T572" s="20">
        <v>0.27</v>
      </c>
    </row>
    <row r="573" spans="13:20" x14ac:dyDescent="0.2">
      <c r="M573" s="20">
        <v>1.1484025901896058E-2</v>
      </c>
      <c r="N573" s="20">
        <v>1.1784986636444832E-3</v>
      </c>
      <c r="O573" s="20">
        <v>0.10262069014054631</v>
      </c>
      <c r="P573" s="20"/>
      <c r="Q573" s="20">
        <v>0.24</v>
      </c>
      <c r="R573" s="20">
        <v>0.7599999999999999</v>
      </c>
      <c r="S573" s="20"/>
      <c r="T573" s="20"/>
    </row>
    <row r="574" spans="13:20" x14ac:dyDescent="0.2">
      <c r="M574" s="20">
        <v>9.573297719846819E-3</v>
      </c>
      <c r="N574" s="20">
        <v>8.9175992969772679E-4</v>
      </c>
      <c r="O574" s="20">
        <v>9.3150757011241855E-2</v>
      </c>
      <c r="P574" s="20"/>
      <c r="Q574" s="20"/>
      <c r="R574" s="20">
        <v>0.59</v>
      </c>
      <c r="S574" s="20">
        <v>0.40999999999999992</v>
      </c>
      <c r="T574" s="20"/>
    </row>
    <row r="575" spans="13:20" x14ac:dyDescent="0.2">
      <c r="M575" s="20">
        <v>1.0453897956759366E-2</v>
      </c>
      <c r="N575" s="20">
        <v>8.2054588775349463E-4</v>
      </c>
      <c r="O575" s="20">
        <v>7.8491859318651519E-2</v>
      </c>
      <c r="P575" s="20">
        <v>6.9999999999999951E-2</v>
      </c>
      <c r="Q575" s="20"/>
      <c r="R575" s="20"/>
      <c r="S575" s="20">
        <v>0.78</v>
      </c>
      <c r="T575" s="20">
        <v>0.15</v>
      </c>
    </row>
    <row r="576" spans="13:20" x14ac:dyDescent="0.2">
      <c r="M576" s="20">
        <v>1.0364387519080037E-2</v>
      </c>
      <c r="N576" s="20">
        <v>1.0638181823534759E-3</v>
      </c>
      <c r="O576" s="20">
        <v>0.10264168339856733</v>
      </c>
      <c r="P576" s="20"/>
      <c r="Q576" s="20">
        <v>0.11</v>
      </c>
      <c r="R576" s="20">
        <v>0.15</v>
      </c>
      <c r="S576" s="20">
        <v>0.38</v>
      </c>
      <c r="T576" s="20">
        <v>0.35999999999999988</v>
      </c>
    </row>
    <row r="577" spans="13:20" x14ac:dyDescent="0.2">
      <c r="M577" s="20">
        <v>1.2847826624566936E-2</v>
      </c>
      <c r="N577" s="20">
        <v>2.2095046340140732E-3</v>
      </c>
      <c r="O577" s="20">
        <v>0.17197497277782181</v>
      </c>
      <c r="P577" s="20">
        <v>0.72</v>
      </c>
      <c r="Q577" s="20">
        <v>0.16</v>
      </c>
      <c r="R577" s="20">
        <v>0.12000000000000011</v>
      </c>
      <c r="S577" s="20"/>
      <c r="T577" s="20"/>
    </row>
    <row r="578" spans="13:20" x14ac:dyDescent="0.2">
      <c r="M578" s="20">
        <v>9.5736305537674742E-3</v>
      </c>
      <c r="N578" s="20">
        <v>8.5440266277572795E-4</v>
      </c>
      <c r="O578" s="20">
        <v>8.924541823263675E-2</v>
      </c>
      <c r="P578" s="20"/>
      <c r="Q578" s="20"/>
      <c r="R578" s="20">
        <v>0.53</v>
      </c>
      <c r="S578" s="20">
        <v>0.47</v>
      </c>
      <c r="T578" s="20"/>
    </row>
    <row r="579" spans="13:20" x14ac:dyDescent="0.2">
      <c r="M579" s="20">
        <v>1.1913519476942712E-2</v>
      </c>
      <c r="N579" s="20">
        <v>1.6146903359941247E-3</v>
      </c>
      <c r="O579" s="20">
        <v>0.13553428431616515</v>
      </c>
      <c r="P579" s="20">
        <v>0.42</v>
      </c>
      <c r="Q579" s="20">
        <v>0.24</v>
      </c>
      <c r="R579" s="20"/>
      <c r="S579" s="20">
        <v>0.3</v>
      </c>
      <c r="T579" s="20">
        <v>0.04</v>
      </c>
    </row>
    <row r="580" spans="13:20" x14ac:dyDescent="0.2">
      <c r="M580" s="20">
        <v>1.4851456369378523E-2</v>
      </c>
      <c r="N580" s="20">
        <v>1.4321689356242293E-3</v>
      </c>
      <c r="O580" s="20">
        <v>9.6432895199230886E-2</v>
      </c>
      <c r="P580" s="20"/>
      <c r="Q580" s="20"/>
      <c r="R580" s="20"/>
      <c r="S580" s="20">
        <v>0.1</v>
      </c>
      <c r="T580" s="20">
        <v>0.89999999999999991</v>
      </c>
    </row>
    <row r="581" spans="13:20" x14ac:dyDescent="0.2">
      <c r="M581" s="20">
        <v>1.6001961399278085E-2</v>
      </c>
      <c r="N581" s="20">
        <v>1.5516921638093388E-3</v>
      </c>
      <c r="O581" s="20">
        <v>9.6968873070731321E-2</v>
      </c>
      <c r="P581" s="20">
        <v>0.02</v>
      </c>
      <c r="Q581" s="20">
        <v>1.0000000000000009E-2</v>
      </c>
      <c r="R581" s="20"/>
      <c r="S581" s="20"/>
      <c r="T581" s="20">
        <v>0.97</v>
      </c>
    </row>
    <row r="582" spans="13:20" x14ac:dyDescent="0.2">
      <c r="M582" s="20">
        <v>1.000716049177304E-2</v>
      </c>
      <c r="N582" s="20">
        <v>1.0127022142713395E-3</v>
      </c>
      <c r="O582" s="20">
        <v>0.10119775885516069</v>
      </c>
      <c r="P582" s="20">
        <v>7.999999999999996E-2</v>
      </c>
      <c r="Q582" s="20"/>
      <c r="R582" s="20"/>
      <c r="S582" s="20">
        <v>0.6</v>
      </c>
      <c r="T582" s="20">
        <v>0.32</v>
      </c>
    </row>
    <row r="583" spans="13:20" x14ac:dyDescent="0.2">
      <c r="M583" s="20">
        <v>1.320033963082907E-2</v>
      </c>
      <c r="N583" s="20">
        <v>1.9996609374939543E-3</v>
      </c>
      <c r="O583" s="20">
        <v>0.15148556729735918</v>
      </c>
      <c r="P583" s="20">
        <v>0.43999999999999995</v>
      </c>
      <c r="Q583" s="20"/>
      <c r="R583" s="20"/>
      <c r="S583" s="20"/>
      <c r="T583" s="20">
        <v>0.56000000000000005</v>
      </c>
    </row>
    <row r="584" spans="13:20" x14ac:dyDescent="0.2">
      <c r="M584" s="20">
        <v>1.6301105982438266E-2</v>
      </c>
      <c r="N584" s="20">
        <v>1.5330306538456546E-3</v>
      </c>
      <c r="O584" s="20">
        <v>9.4044579275617268E-2</v>
      </c>
      <c r="P584" s="20">
        <v>0</v>
      </c>
      <c r="Q584" s="20"/>
      <c r="R584" s="20"/>
      <c r="S584" s="20"/>
      <c r="T584" s="20">
        <v>1</v>
      </c>
    </row>
    <row r="585" spans="13:20" x14ac:dyDescent="0.2">
      <c r="M585" s="20">
        <v>9.6766222278187111E-3</v>
      </c>
      <c r="N585" s="20">
        <v>1.0626036807927695E-3</v>
      </c>
      <c r="O585" s="20">
        <v>0.10981142549287055</v>
      </c>
      <c r="P585" s="20"/>
      <c r="Q585" s="20"/>
      <c r="R585" s="20">
        <v>0.67</v>
      </c>
      <c r="S585" s="20">
        <v>0.21</v>
      </c>
      <c r="T585" s="20">
        <v>0.12</v>
      </c>
    </row>
    <row r="586" spans="13:20" x14ac:dyDescent="0.2">
      <c r="M586" s="20">
        <v>1.8001796391182504E-2</v>
      </c>
      <c r="N586" s="20">
        <v>1.2676468808093654E-3</v>
      </c>
      <c r="O586" s="20">
        <v>7.0417799049781168E-2</v>
      </c>
      <c r="P586" s="20"/>
      <c r="Q586" s="20">
        <v>0.92</v>
      </c>
      <c r="R586" s="20">
        <v>7.999999999999996E-2</v>
      </c>
      <c r="S586" s="20"/>
      <c r="T586" s="20"/>
    </row>
    <row r="587" spans="13:20" x14ac:dyDescent="0.2">
      <c r="M587" s="20">
        <v>1.8395715759419593E-2</v>
      </c>
      <c r="N587" s="20">
        <v>1.2715798903901688E-3</v>
      </c>
      <c r="O587" s="20">
        <v>6.9123697442381477E-2</v>
      </c>
      <c r="P587" s="20"/>
      <c r="Q587" s="20">
        <v>0.95</v>
      </c>
      <c r="R587" s="20">
        <v>5.0000000000000044E-2</v>
      </c>
      <c r="S587" s="20"/>
      <c r="T587" s="20"/>
    </row>
    <row r="588" spans="13:20" x14ac:dyDescent="0.2">
      <c r="M588" s="20">
        <v>1.3913296519489133E-2</v>
      </c>
      <c r="N588" s="20">
        <v>2.356778584278831E-3</v>
      </c>
      <c r="O588" s="20">
        <v>0.16939037998489859</v>
      </c>
      <c r="P588" s="20">
        <v>0.82</v>
      </c>
      <c r="Q588" s="20">
        <v>0.18000000000000005</v>
      </c>
      <c r="R588" s="20"/>
      <c r="S588" s="20"/>
      <c r="T588" s="20"/>
    </row>
    <row r="589" spans="13:20" x14ac:dyDescent="0.2">
      <c r="M589" s="20">
        <v>1.4123718142303428E-2</v>
      </c>
      <c r="N589" s="20">
        <v>2.0279238044249724E-3</v>
      </c>
      <c r="O589" s="20">
        <v>0.14358285714800026</v>
      </c>
      <c r="P589" s="20">
        <v>0.56999999999999995</v>
      </c>
      <c r="Q589" s="20">
        <v>0.43000000000000016</v>
      </c>
      <c r="R589" s="20"/>
      <c r="S589" s="20"/>
      <c r="T589" s="20"/>
    </row>
    <row r="590" spans="13:20" x14ac:dyDescent="0.2">
      <c r="M590" s="20">
        <v>1.4161652659714676E-2</v>
      </c>
      <c r="N590" s="20">
        <v>2.0147696132308181E-3</v>
      </c>
      <c r="O590" s="20">
        <v>0.14226938491170502</v>
      </c>
      <c r="P590" s="20">
        <v>0.56000000000000005</v>
      </c>
      <c r="Q590" s="20">
        <v>0.43999999999999995</v>
      </c>
      <c r="R590" s="20"/>
      <c r="S590" s="20"/>
      <c r="T590" s="20"/>
    </row>
    <row r="591" spans="13:20" x14ac:dyDescent="0.2">
      <c r="M591" s="20">
        <v>1.3919925430335361E-2</v>
      </c>
      <c r="N591" s="20">
        <v>2.4667006249620349E-3</v>
      </c>
      <c r="O591" s="20">
        <v>0.17720645396464646</v>
      </c>
      <c r="P591" s="20">
        <v>0.89</v>
      </c>
      <c r="Q591" s="20">
        <v>4.0000000000000147E-2</v>
      </c>
      <c r="R591" s="20"/>
      <c r="S591" s="20"/>
      <c r="T591" s="20">
        <v>7.0000000000000007E-2</v>
      </c>
    </row>
    <row r="592" spans="13:20" x14ac:dyDescent="0.2">
      <c r="M592" s="20">
        <v>1.4111664700453743E-2</v>
      </c>
      <c r="N592" s="20">
        <v>2.4488579226379114E-3</v>
      </c>
      <c r="O592" s="20">
        <v>0.17353430474855114</v>
      </c>
      <c r="P592" s="20">
        <v>0.89</v>
      </c>
      <c r="Q592" s="20">
        <v>0.1100000000000001</v>
      </c>
      <c r="R592" s="20"/>
      <c r="S592" s="20"/>
      <c r="T592" s="20"/>
    </row>
    <row r="593" spans="13:20" x14ac:dyDescent="0.2">
      <c r="M593" s="20">
        <v>1.2007938807189322E-2</v>
      </c>
      <c r="N593" s="20">
        <v>1.1916086955804951E-3</v>
      </c>
      <c r="O593" s="20">
        <v>9.9235073955162248E-2</v>
      </c>
      <c r="P593" s="20"/>
      <c r="Q593" s="20">
        <v>0.34</v>
      </c>
      <c r="R593" s="20">
        <v>0.65999999999999992</v>
      </c>
      <c r="S593" s="20"/>
      <c r="T593" s="20"/>
    </row>
    <row r="594" spans="13:20" x14ac:dyDescent="0.2">
      <c r="M594" s="20">
        <v>1.1807004664393238E-2</v>
      </c>
      <c r="N594" s="20">
        <v>1.8028794059126866E-3</v>
      </c>
      <c r="O594" s="20">
        <v>0.15269574774961239</v>
      </c>
      <c r="P594" s="20">
        <v>0.39</v>
      </c>
      <c r="Q594" s="20">
        <v>9.9999999999998979E-3</v>
      </c>
      <c r="R594" s="20"/>
      <c r="S594" s="20">
        <v>0.14000000000000001</v>
      </c>
      <c r="T594" s="20">
        <v>0.46</v>
      </c>
    </row>
    <row r="595" spans="13:20" x14ac:dyDescent="0.2">
      <c r="M595" s="20">
        <v>9.7394437849265582E-3</v>
      </c>
      <c r="N595" s="20">
        <v>9.6024825238805872E-4</v>
      </c>
      <c r="O595" s="20">
        <v>9.85937465827572E-2</v>
      </c>
      <c r="P595" s="20"/>
      <c r="Q595" s="20">
        <v>0</v>
      </c>
      <c r="R595" s="20">
        <v>0.7</v>
      </c>
      <c r="S595" s="20">
        <v>0.30000000000000004</v>
      </c>
      <c r="T595" s="20"/>
    </row>
    <row r="596" spans="13:20" x14ac:dyDescent="0.2">
      <c r="M596" s="20">
        <v>1.3920174483762862E-2</v>
      </c>
      <c r="N596" s="20">
        <v>2.1200031427840525E-3</v>
      </c>
      <c r="O596" s="20">
        <v>0.15229716734204177</v>
      </c>
      <c r="P596" s="20">
        <v>0.64</v>
      </c>
      <c r="Q596" s="20">
        <v>0.35999999999999988</v>
      </c>
      <c r="R596" s="20"/>
      <c r="S596" s="20"/>
      <c r="T596" s="20"/>
    </row>
    <row r="597" spans="13:20" x14ac:dyDescent="0.2">
      <c r="M597" s="20">
        <v>9.6092764874167649E-3</v>
      </c>
      <c r="N597" s="20">
        <v>1.0949770763238628E-3</v>
      </c>
      <c r="O597" s="20">
        <v>0.11395000214196381</v>
      </c>
      <c r="P597" s="20"/>
      <c r="Q597" s="20"/>
      <c r="R597" s="20">
        <v>0.56000000000000005</v>
      </c>
      <c r="S597" s="20">
        <v>0.22</v>
      </c>
      <c r="T597" s="20">
        <v>0.21999999999999986</v>
      </c>
    </row>
    <row r="598" spans="13:20" x14ac:dyDescent="0.2">
      <c r="M598" s="20">
        <v>1.3964215445300288E-2</v>
      </c>
      <c r="N598" s="20">
        <v>1.8299771979854815E-3</v>
      </c>
      <c r="O598" s="20">
        <v>0.13104761990773836</v>
      </c>
      <c r="P598" s="20">
        <v>0.27999999999999992</v>
      </c>
      <c r="Q598" s="20"/>
      <c r="R598" s="20"/>
      <c r="S598" s="20"/>
      <c r="T598" s="20">
        <v>0.72</v>
      </c>
    </row>
    <row r="599" spans="13:20" x14ac:dyDescent="0.2">
      <c r="M599" s="20">
        <v>9.3613160832798827E-3</v>
      </c>
      <c r="N599" s="20">
        <v>9.6098785130977057E-4</v>
      </c>
      <c r="O599" s="20">
        <v>0.10265520817379276</v>
      </c>
      <c r="P599" s="20"/>
      <c r="Q599" s="20"/>
      <c r="R599" s="20">
        <v>0.28000000000000003</v>
      </c>
      <c r="S599" s="20">
        <v>0.46</v>
      </c>
      <c r="T599" s="20">
        <v>0.26</v>
      </c>
    </row>
    <row r="600" spans="13:20" x14ac:dyDescent="0.2">
      <c r="M600" s="20">
        <v>1.184514800516435E-2</v>
      </c>
      <c r="N600" s="20">
        <v>2.0214571069732505E-3</v>
      </c>
      <c r="O600" s="20">
        <v>0.17065697331024637</v>
      </c>
      <c r="P600" s="20">
        <v>0.59</v>
      </c>
      <c r="Q600" s="20">
        <v>0.16</v>
      </c>
      <c r="R600" s="20">
        <v>0.25</v>
      </c>
      <c r="S600" s="20"/>
      <c r="T600" s="20"/>
    </row>
    <row r="601" spans="13:20" x14ac:dyDescent="0.2">
      <c r="M601" s="20">
        <v>1.4111664700453743E-2</v>
      </c>
      <c r="N601" s="20">
        <v>2.4488579226379114E-3</v>
      </c>
      <c r="O601" s="20">
        <v>0.17353430474855114</v>
      </c>
      <c r="P601" s="20">
        <v>0.89</v>
      </c>
      <c r="Q601" s="20">
        <v>0.10999999999999999</v>
      </c>
      <c r="R601" s="20"/>
      <c r="S601" s="20"/>
      <c r="T601" s="20"/>
    </row>
    <row r="602" spans="13:20" x14ac:dyDescent="0.2">
      <c r="M602" s="20">
        <v>9.658603335805439E-3</v>
      </c>
      <c r="N602" s="20">
        <v>8.0222672306120516E-4</v>
      </c>
      <c r="O602" s="20">
        <v>8.3058253369539245E-2</v>
      </c>
      <c r="P602" s="20"/>
      <c r="Q602" s="20"/>
      <c r="R602" s="20">
        <v>0.43</v>
      </c>
      <c r="S602" s="20">
        <v>0.56000000000000005</v>
      </c>
      <c r="T602" s="20">
        <v>9.9999999999998979E-3</v>
      </c>
    </row>
    <row r="603" spans="13:20" x14ac:dyDescent="0.2">
      <c r="M603" s="20">
        <v>1.3481721616297728E-2</v>
      </c>
      <c r="N603" s="20">
        <v>2.4225936995077449E-3</v>
      </c>
      <c r="O603" s="20">
        <v>0.17969468354687945</v>
      </c>
      <c r="P603" s="20">
        <v>0.88</v>
      </c>
      <c r="Q603" s="20">
        <v>0.02</v>
      </c>
      <c r="R603" s="20">
        <v>9.9999999999999867E-2</v>
      </c>
      <c r="S603" s="20"/>
      <c r="T603" s="20"/>
    </row>
    <row r="604" spans="13:20" x14ac:dyDescent="0.2">
      <c r="M604" s="20">
        <v>9.7170192067497843E-3</v>
      </c>
      <c r="N604" s="20">
        <v>7.9214055123906263E-4</v>
      </c>
      <c r="O604" s="20">
        <v>8.152094118418679E-2</v>
      </c>
      <c r="P604" s="20"/>
      <c r="Q604" s="20"/>
      <c r="R604" s="20">
        <v>0.43</v>
      </c>
      <c r="S604" s="20">
        <v>0.56999999999999995</v>
      </c>
      <c r="T604" s="20"/>
    </row>
    <row r="605" spans="13:20" x14ac:dyDescent="0.2">
      <c r="M605" s="20">
        <v>9.7409704201740031E-3</v>
      </c>
      <c r="N605" s="20">
        <v>7.8591434008539623E-4</v>
      </c>
      <c r="O605" s="20">
        <v>8.0681318819912543E-2</v>
      </c>
      <c r="P605" s="20"/>
      <c r="Q605" s="20"/>
      <c r="R605" s="20">
        <v>0.42</v>
      </c>
      <c r="S605" s="20">
        <v>0.58000000000000007</v>
      </c>
      <c r="T605" s="20"/>
    </row>
    <row r="606" spans="13:20" x14ac:dyDescent="0.2">
      <c r="M606" s="20">
        <v>1.5413130945862857E-2</v>
      </c>
      <c r="N606" s="20">
        <v>1.2401158137437399E-3</v>
      </c>
      <c r="O606" s="20">
        <v>8.0458397330141915E-2</v>
      </c>
      <c r="P606" s="20"/>
      <c r="Q606" s="20">
        <v>0.71</v>
      </c>
      <c r="R606" s="20">
        <v>0.28999999999999992</v>
      </c>
      <c r="S606" s="20"/>
      <c r="T606" s="20"/>
    </row>
    <row r="607" spans="13:20" x14ac:dyDescent="0.2">
      <c r="M607" s="20">
        <v>1.4894739502275347E-2</v>
      </c>
      <c r="N607" s="20">
        <v>1.421608324816556E-3</v>
      </c>
      <c r="O607" s="20">
        <v>9.5443651404537061E-2</v>
      </c>
      <c r="P607" s="20">
        <v>0.13</v>
      </c>
      <c r="Q607" s="20">
        <v>0.66</v>
      </c>
      <c r="R607" s="20">
        <v>0.21000000000000008</v>
      </c>
      <c r="S607" s="20"/>
      <c r="T607" s="20"/>
    </row>
    <row r="608" spans="13:20" x14ac:dyDescent="0.2">
      <c r="M608" s="20">
        <v>1.5419015476876895E-2</v>
      </c>
      <c r="N608" s="20">
        <v>1.4725136229127994E-3</v>
      </c>
      <c r="O608" s="20">
        <v>9.5499847258150319E-2</v>
      </c>
      <c r="P608" s="20"/>
      <c r="Q608" s="20"/>
      <c r="R608" s="20"/>
      <c r="S608" s="20">
        <v>0.06</v>
      </c>
      <c r="T608" s="20">
        <v>0.94</v>
      </c>
    </row>
    <row r="609" spans="13:20" x14ac:dyDescent="0.2">
      <c r="M609" s="20">
        <v>1.3920174483762862E-2</v>
      </c>
      <c r="N609" s="20">
        <v>2.1200031427840525E-3</v>
      </c>
      <c r="O609" s="20">
        <v>0.15229716734204177</v>
      </c>
      <c r="P609" s="20">
        <v>0.64</v>
      </c>
      <c r="Q609" s="20">
        <v>0.35999999999999988</v>
      </c>
      <c r="R609" s="20"/>
      <c r="S609" s="20"/>
      <c r="T609" s="20"/>
    </row>
    <row r="610" spans="13:20" x14ac:dyDescent="0.2">
      <c r="M610" s="20">
        <v>1.0846598161076436E-2</v>
      </c>
      <c r="N610" s="20">
        <v>1.1159035312297216E-3</v>
      </c>
      <c r="O610" s="20">
        <v>0.10288050821631778</v>
      </c>
      <c r="P610" s="20"/>
      <c r="Q610" s="20"/>
      <c r="R610" s="20">
        <v>0.95</v>
      </c>
      <c r="S610" s="20">
        <v>4.9999999999999933E-2</v>
      </c>
      <c r="T610" s="20"/>
    </row>
    <row r="611" spans="13:20" x14ac:dyDescent="0.2">
      <c r="M611" s="20">
        <v>1.3169166002341536E-2</v>
      </c>
      <c r="N611" s="20">
        <v>2.0102661712132343E-3</v>
      </c>
      <c r="O611" s="20">
        <v>0.15264946700920923</v>
      </c>
      <c r="P611" s="20">
        <v>0.45000000000000007</v>
      </c>
      <c r="Q611" s="20"/>
      <c r="R611" s="20"/>
      <c r="S611" s="20"/>
      <c r="T611" s="20">
        <v>0.55000000000000004</v>
      </c>
    </row>
    <row r="612" spans="13:20" x14ac:dyDescent="0.2">
      <c r="M612" s="20">
        <v>1.5431178804643042E-2</v>
      </c>
      <c r="N612" s="20">
        <v>1.5238729477404294E-3</v>
      </c>
      <c r="O612" s="20">
        <v>9.8752854012806576E-2</v>
      </c>
      <c r="P612" s="20">
        <v>0.02</v>
      </c>
      <c r="Q612" s="20">
        <v>4.0000000000000036E-2</v>
      </c>
      <c r="R612" s="20"/>
      <c r="S612" s="20">
        <v>0.02</v>
      </c>
      <c r="T612" s="20">
        <v>0.92</v>
      </c>
    </row>
    <row r="613" spans="13:20" x14ac:dyDescent="0.2">
      <c r="M613" s="20">
        <v>1.0510567262662817E-2</v>
      </c>
      <c r="N613" s="20">
        <v>6.7060374853230339E-4</v>
      </c>
      <c r="O613" s="20">
        <v>6.3802812138838663E-2</v>
      </c>
      <c r="P613" s="20"/>
      <c r="Q613" s="20"/>
      <c r="R613" s="20">
        <v>0.17</v>
      </c>
      <c r="S613" s="20">
        <v>0.79</v>
      </c>
      <c r="T613" s="20">
        <v>4.0000000000000036E-2</v>
      </c>
    </row>
    <row r="614" spans="13:20" x14ac:dyDescent="0.2">
      <c r="M614" s="20">
        <v>9.7461835125989063E-3</v>
      </c>
      <c r="N614" s="20">
        <v>9.5041783646792808E-4</v>
      </c>
      <c r="O614" s="20">
        <v>9.7516923956882356E-2</v>
      </c>
      <c r="P614" s="20"/>
      <c r="Q614" s="20">
        <v>0.02</v>
      </c>
      <c r="R614" s="20">
        <v>0.66</v>
      </c>
      <c r="S614" s="20">
        <v>0.31999999999999984</v>
      </c>
      <c r="T614" s="20"/>
    </row>
    <row r="615" spans="13:20" x14ac:dyDescent="0.2">
      <c r="M615" s="20">
        <v>1.6475943228389647E-2</v>
      </c>
      <c r="N615" s="20">
        <v>1.424186171945616E-3</v>
      </c>
      <c r="O615" s="20">
        <v>8.6440342273795004E-2</v>
      </c>
      <c r="P615" s="20">
        <v>0.12</v>
      </c>
      <c r="Q615" s="20">
        <v>0.79</v>
      </c>
      <c r="R615" s="20">
        <v>8.9999999999999969E-2</v>
      </c>
      <c r="S615" s="20"/>
      <c r="T615" s="20"/>
    </row>
    <row r="616" spans="13:20" x14ac:dyDescent="0.2">
      <c r="M616" s="20">
        <v>1.0665427878857556E-2</v>
      </c>
      <c r="N616" s="20">
        <v>1.1929698032190487E-3</v>
      </c>
      <c r="O616" s="20">
        <v>0.11185390935734643</v>
      </c>
      <c r="P616" s="20"/>
      <c r="Q616" s="20"/>
      <c r="R616" s="20">
        <v>0.28000000000000003</v>
      </c>
      <c r="S616" s="20">
        <v>0.23</v>
      </c>
      <c r="T616" s="20">
        <v>0.4900000000000001</v>
      </c>
    </row>
    <row r="617" spans="13:20" x14ac:dyDescent="0.2">
      <c r="M617" s="20">
        <v>1.0322470639899549E-2</v>
      </c>
      <c r="N617" s="20">
        <v>7.7656776718496544E-4</v>
      </c>
      <c r="O617" s="20">
        <v>7.523080416264788E-2</v>
      </c>
      <c r="P617" s="20"/>
      <c r="Q617" s="20"/>
      <c r="R617" s="20"/>
      <c r="S617" s="20">
        <v>0.75</v>
      </c>
      <c r="T617" s="20">
        <v>0.25</v>
      </c>
    </row>
    <row r="618" spans="13:20" x14ac:dyDescent="0.2">
      <c r="M618" s="20">
        <v>1.1078226110210934E-2</v>
      </c>
      <c r="N618" s="20">
        <v>6.353613616749699E-4</v>
      </c>
      <c r="O618" s="20">
        <v>5.7352265187054607E-2</v>
      </c>
      <c r="P618" s="20"/>
      <c r="Q618" s="20"/>
      <c r="R618" s="20"/>
      <c r="S618" s="20">
        <v>0.89</v>
      </c>
      <c r="T618" s="20">
        <v>0.10999999999999988</v>
      </c>
    </row>
    <row r="619" spans="13:20" x14ac:dyDescent="0.2">
      <c r="M619" s="20">
        <v>1.4043816940215014E-2</v>
      </c>
      <c r="N619" s="20">
        <v>2.4225495402496024E-3</v>
      </c>
      <c r="O619" s="20">
        <v>0.1724993675553074</v>
      </c>
      <c r="P619" s="20">
        <v>0.87</v>
      </c>
      <c r="Q619" s="20">
        <v>0.12999999999999989</v>
      </c>
      <c r="R619" s="20"/>
      <c r="S619" s="20"/>
      <c r="T619" s="20"/>
    </row>
    <row r="620" spans="13:20" x14ac:dyDescent="0.2">
      <c r="M620" s="20">
        <v>1.3784746290399724E-2</v>
      </c>
      <c r="N620" s="20">
        <v>1.8617928991433205E-3</v>
      </c>
      <c r="O620" s="20">
        <v>0.13506181832595288</v>
      </c>
      <c r="P620" s="20">
        <v>0.31000000000000005</v>
      </c>
      <c r="Q620" s="20"/>
      <c r="R620" s="20"/>
      <c r="S620" s="20"/>
      <c r="T620" s="20">
        <v>0.69</v>
      </c>
    </row>
    <row r="621" spans="13:20" x14ac:dyDescent="0.2">
      <c r="M621" s="20">
        <v>1.0864898757308375E-2</v>
      </c>
      <c r="N621" s="20">
        <v>6.6561987714139771E-4</v>
      </c>
      <c r="O621" s="20">
        <v>6.1263329922302531E-2</v>
      </c>
      <c r="P621" s="20"/>
      <c r="Q621" s="20"/>
      <c r="R621" s="20"/>
      <c r="S621" s="20">
        <v>0.86</v>
      </c>
      <c r="T621" s="20">
        <v>0.14000000000000001</v>
      </c>
    </row>
    <row r="622" spans="13:20" x14ac:dyDescent="0.2">
      <c r="M622" s="20">
        <v>1.5761864063279733E-2</v>
      </c>
      <c r="N622" s="20">
        <v>1.2440488233245435E-3</v>
      </c>
      <c r="O622" s="20">
        <v>7.8927772649860145E-2</v>
      </c>
      <c r="P622" s="20"/>
      <c r="Q622" s="20">
        <v>0.74</v>
      </c>
      <c r="R622" s="20">
        <v>0.26</v>
      </c>
      <c r="S622" s="20"/>
      <c r="T622" s="20"/>
    </row>
    <row r="623" spans="13:20" x14ac:dyDescent="0.2">
      <c r="M623" s="20">
        <v>1.350132252723896E-2</v>
      </c>
      <c r="N623" s="20">
        <v>2.4026598188265774E-3</v>
      </c>
      <c r="O623" s="20">
        <v>0.17795736780446536</v>
      </c>
      <c r="P623" s="20">
        <v>0.82000000000000006</v>
      </c>
      <c r="Q623" s="20"/>
      <c r="R623" s="20"/>
      <c r="S623" s="20">
        <v>0</v>
      </c>
      <c r="T623" s="20">
        <v>0.18</v>
      </c>
    </row>
    <row r="624" spans="13:20" x14ac:dyDescent="0.2">
      <c r="M624" s="20">
        <v>1.3913296519489131E-2</v>
      </c>
      <c r="N624" s="20">
        <v>2.3567785842788305E-3</v>
      </c>
      <c r="O624" s="20">
        <v>0.16939037998489856</v>
      </c>
      <c r="P624" s="20">
        <v>0.82</v>
      </c>
      <c r="Q624" s="20">
        <v>0.17999999999999994</v>
      </c>
      <c r="R624" s="20"/>
      <c r="S624" s="20"/>
      <c r="T624" s="20"/>
    </row>
    <row r="625" spans="13:20" x14ac:dyDescent="0.2">
      <c r="M625" s="20">
        <v>1.5807718646568842E-2</v>
      </c>
      <c r="N625" s="20">
        <v>1.5860568224420524E-3</v>
      </c>
      <c r="O625" s="20">
        <v>0.10033432767265979</v>
      </c>
      <c r="P625" s="20">
        <v>5.0000000000000044E-2</v>
      </c>
      <c r="Q625" s="20"/>
      <c r="R625" s="20"/>
      <c r="S625" s="20"/>
      <c r="T625" s="20">
        <v>0.95</v>
      </c>
    </row>
    <row r="626" spans="13:20" x14ac:dyDescent="0.2">
      <c r="M626" s="20">
        <v>1.5298716201155594E-2</v>
      </c>
      <c r="N626" s="20">
        <v>1.2388048105501388E-3</v>
      </c>
      <c r="O626" s="20">
        <v>8.0974429112984345E-2</v>
      </c>
      <c r="P626" s="20"/>
      <c r="Q626" s="20">
        <v>0.7</v>
      </c>
      <c r="R626" s="20">
        <v>0.30000000000000016</v>
      </c>
      <c r="S626" s="20"/>
      <c r="T626" s="20"/>
    </row>
    <row r="627" spans="13:20" x14ac:dyDescent="0.2">
      <c r="M627" s="20">
        <v>1.3942508844043461E-2</v>
      </c>
      <c r="N627" s="20">
        <v>2.1068489515898982E-3</v>
      </c>
      <c r="O627" s="20">
        <v>0.15110974467769403</v>
      </c>
      <c r="P627" s="20">
        <v>0.63</v>
      </c>
      <c r="Q627" s="20">
        <v>0.36999999999999988</v>
      </c>
      <c r="R627" s="20"/>
      <c r="S627" s="20"/>
      <c r="T627" s="20"/>
    </row>
    <row r="628" spans="13:20" x14ac:dyDescent="0.2">
      <c r="M628" s="20">
        <v>9.4479531347925784E-3</v>
      </c>
      <c r="N628" s="20">
        <v>1.3843959795206244E-3</v>
      </c>
      <c r="O628" s="20">
        <v>0.14652866708477993</v>
      </c>
      <c r="P628" s="20">
        <v>0.25</v>
      </c>
      <c r="Q628" s="20">
        <v>0.02</v>
      </c>
      <c r="R628" s="20">
        <v>0.51</v>
      </c>
      <c r="S628" s="20">
        <v>0.21</v>
      </c>
      <c r="T628" s="20">
        <v>0.01</v>
      </c>
    </row>
    <row r="629" spans="13:20" x14ac:dyDescent="0.2">
      <c r="M629" s="20">
        <v>1.7230052311804852E-2</v>
      </c>
      <c r="N629" s="20">
        <v>1.2597808616477582E-3</v>
      </c>
      <c r="O629" s="20">
        <v>7.3115324251490671E-2</v>
      </c>
      <c r="P629" s="20"/>
      <c r="Q629" s="20">
        <v>0.86</v>
      </c>
      <c r="R629" s="20">
        <v>0.14000000000000001</v>
      </c>
      <c r="S629" s="20"/>
      <c r="T629" s="20"/>
    </row>
    <row r="630" spans="13:20" x14ac:dyDescent="0.2">
      <c r="M630" s="20">
        <v>1.4107761123317457E-2</v>
      </c>
      <c r="N630" s="20">
        <v>1.2243837754205256E-3</v>
      </c>
      <c r="O630" s="20">
        <v>8.6787957686414965E-2</v>
      </c>
      <c r="P630" s="20"/>
      <c r="Q630" s="20">
        <v>0.59</v>
      </c>
      <c r="R630" s="20">
        <v>0.41000000000000014</v>
      </c>
      <c r="S630" s="20"/>
      <c r="T630" s="20"/>
    </row>
    <row r="631" spans="13:20" x14ac:dyDescent="0.2">
      <c r="M631" s="20">
        <v>9.5795363962064995E-3</v>
      </c>
      <c r="N631" s="20">
        <v>8.9798614085139341E-4</v>
      </c>
      <c r="O631" s="20">
        <v>9.3740041658696163E-2</v>
      </c>
      <c r="P631" s="20"/>
      <c r="Q631" s="20"/>
      <c r="R631" s="20">
        <v>0.6</v>
      </c>
      <c r="S631" s="20">
        <v>0.39999999999999991</v>
      </c>
      <c r="T631" s="20"/>
    </row>
    <row r="632" spans="13:20" x14ac:dyDescent="0.2">
      <c r="M632" s="20">
        <v>1.3152955420159661E-2</v>
      </c>
      <c r="N632" s="20">
        <v>1.3138411073924034E-3</v>
      </c>
      <c r="O632" s="20">
        <v>9.9889421458744285E-2</v>
      </c>
      <c r="P632" s="20">
        <v>7.0000000000000007E-2</v>
      </c>
      <c r="Q632" s="20">
        <v>0.5</v>
      </c>
      <c r="R632" s="20">
        <v>0.42999999999999994</v>
      </c>
      <c r="S632" s="20"/>
      <c r="T632" s="20"/>
    </row>
    <row r="633" spans="13:20" x14ac:dyDescent="0.2">
      <c r="M633" s="20">
        <v>1.623891119323944E-2</v>
      </c>
      <c r="N633" s="20">
        <v>1.2492928360989485E-3</v>
      </c>
      <c r="O633" s="20">
        <v>7.6932056665169293E-2</v>
      </c>
      <c r="P633" s="20"/>
      <c r="Q633" s="20">
        <v>0.78</v>
      </c>
      <c r="R633" s="20">
        <v>0.22000000000000008</v>
      </c>
      <c r="S633" s="20"/>
      <c r="T633" s="20"/>
    </row>
    <row r="634" spans="13:20" x14ac:dyDescent="0.2">
      <c r="M634" s="20">
        <v>1.017202943000442E-2</v>
      </c>
      <c r="N634" s="20">
        <v>1.3220351735983966E-3</v>
      </c>
      <c r="O634" s="20">
        <v>0.12996769058677624</v>
      </c>
      <c r="P634" s="20">
        <v>0.20999999999999996</v>
      </c>
      <c r="Q634" s="20"/>
      <c r="R634" s="20"/>
      <c r="S634" s="20">
        <v>0.43</v>
      </c>
      <c r="T634" s="20">
        <v>0.36</v>
      </c>
    </row>
    <row r="635" spans="13:20" x14ac:dyDescent="0.2">
      <c r="M635" s="20">
        <v>1.3984850690816109E-2</v>
      </c>
      <c r="N635" s="20">
        <v>2.3962411578612938E-3</v>
      </c>
      <c r="O635" s="20">
        <v>0.17134549455253834</v>
      </c>
      <c r="P635" s="20">
        <v>0.85</v>
      </c>
      <c r="Q635" s="20">
        <v>0.14999999999999991</v>
      </c>
      <c r="R635" s="20"/>
      <c r="S635" s="20"/>
      <c r="T635" s="20"/>
    </row>
    <row r="636" spans="13:20" x14ac:dyDescent="0.2">
      <c r="M636" s="20">
        <v>1.2479136611515082E-2</v>
      </c>
      <c r="N636" s="20">
        <v>1.0389042279403743E-3</v>
      </c>
      <c r="O636" s="20">
        <v>8.3251290556570129E-2</v>
      </c>
      <c r="P636" s="20"/>
      <c r="Q636" s="20">
        <v>0.41</v>
      </c>
      <c r="R636" s="20">
        <v>0.33</v>
      </c>
      <c r="S636" s="20">
        <v>0.26</v>
      </c>
      <c r="T636" s="20"/>
    </row>
    <row r="637" spans="13:20" x14ac:dyDescent="0.2">
      <c r="M637" s="20">
        <v>1.0109265188356741E-2</v>
      </c>
      <c r="N637" s="20">
        <v>1.4598355204009969E-3</v>
      </c>
      <c r="O637" s="20">
        <v>0.14440570043432532</v>
      </c>
      <c r="P637" s="20">
        <v>0.39</v>
      </c>
      <c r="Q637" s="20">
        <v>0.03</v>
      </c>
      <c r="R637" s="20">
        <v>0.17</v>
      </c>
      <c r="S637" s="20">
        <v>0.40999999999999992</v>
      </c>
      <c r="T637" s="20"/>
    </row>
    <row r="638" spans="13:20" x14ac:dyDescent="0.2">
      <c r="M638" s="20">
        <v>1.2768256615989187E-2</v>
      </c>
      <c r="N638" s="20">
        <v>1.7337164748428174E-3</v>
      </c>
      <c r="O638" s="20">
        <v>0.13578333573526022</v>
      </c>
      <c r="P638" s="20">
        <v>0.3</v>
      </c>
      <c r="Q638" s="20">
        <v>0.37</v>
      </c>
      <c r="R638" s="20">
        <v>5.9999999999999831E-2</v>
      </c>
      <c r="S638" s="20"/>
      <c r="T638" s="20">
        <v>0.27</v>
      </c>
    </row>
    <row r="639" spans="13:20" x14ac:dyDescent="0.2">
      <c r="M639" s="20">
        <v>1.0899938212146883E-2</v>
      </c>
      <c r="N639" s="20">
        <v>1.7374204701182494E-3</v>
      </c>
      <c r="O639" s="20">
        <v>0.15939727696640238</v>
      </c>
      <c r="P639" s="20">
        <v>0.44000000000000006</v>
      </c>
      <c r="Q639" s="20"/>
      <c r="R639" s="20"/>
      <c r="S639" s="20">
        <v>0.26</v>
      </c>
      <c r="T639" s="20">
        <v>0.3</v>
      </c>
    </row>
    <row r="640" spans="13:20" x14ac:dyDescent="0.2">
      <c r="M640" s="20">
        <v>9.4354183499519347E-3</v>
      </c>
      <c r="N640" s="20">
        <v>1.0228801633855797E-3</v>
      </c>
      <c r="O640" s="20">
        <v>0.10840856498861975</v>
      </c>
      <c r="P640" s="20"/>
      <c r="Q640" s="20"/>
      <c r="R640" s="20">
        <v>0.59</v>
      </c>
      <c r="S640" s="20">
        <v>0.28000000000000003</v>
      </c>
      <c r="T640" s="20">
        <v>0.13</v>
      </c>
    </row>
    <row r="641" spans="13:20" x14ac:dyDescent="0.2">
      <c r="M641" s="20">
        <v>1.3241074744009691E-2</v>
      </c>
      <c r="N641" s="20">
        <v>1.2125847466781148E-3</v>
      </c>
      <c r="O641" s="20">
        <v>9.157751694035958E-2</v>
      </c>
      <c r="P641" s="20"/>
      <c r="Q641" s="20">
        <v>0.5</v>
      </c>
      <c r="R641" s="20">
        <v>0.50000000000000011</v>
      </c>
      <c r="S641" s="20"/>
      <c r="T641" s="20"/>
    </row>
    <row r="642" spans="13:20" x14ac:dyDescent="0.2">
      <c r="M642" s="20">
        <v>1.0293138345401876E-2</v>
      </c>
      <c r="N642" s="20">
        <v>1.0536414196930565E-3</v>
      </c>
      <c r="O642" s="20">
        <v>0.1023634759717124</v>
      </c>
      <c r="P642" s="20"/>
      <c r="Q642" s="20"/>
      <c r="R642" s="20">
        <v>0.85</v>
      </c>
      <c r="S642" s="20">
        <v>0.15000000000000013</v>
      </c>
      <c r="T642" s="20"/>
    </row>
    <row r="643" spans="13:20" x14ac:dyDescent="0.2">
      <c r="M643" s="20">
        <v>1.3562057968757152E-2</v>
      </c>
      <c r="N643" s="20">
        <v>1.5913018071469613E-3</v>
      </c>
      <c r="O643" s="20">
        <v>0.11733483301817731</v>
      </c>
      <c r="P643" s="20">
        <v>0.26</v>
      </c>
      <c r="Q643" s="20">
        <v>0.52</v>
      </c>
      <c r="R643" s="20">
        <v>0.21999999999999997</v>
      </c>
      <c r="S643" s="20"/>
      <c r="T643" s="20"/>
    </row>
    <row r="644" spans="13:20" x14ac:dyDescent="0.2">
      <c r="M644" s="20">
        <v>1.1134973829989556E-2</v>
      </c>
      <c r="N644" s="20">
        <v>1.5086408245297968E-3</v>
      </c>
      <c r="O644" s="20">
        <v>0.13548669692124563</v>
      </c>
      <c r="P644" s="20">
        <v>0.17</v>
      </c>
      <c r="Q644" s="20">
        <v>8.0000000000000071E-2</v>
      </c>
      <c r="R644" s="20">
        <v>0.19</v>
      </c>
      <c r="S644" s="20">
        <v>0.11</v>
      </c>
      <c r="T644" s="20">
        <v>0.45</v>
      </c>
    </row>
    <row r="645" spans="13:20" x14ac:dyDescent="0.2">
      <c r="M645" s="20">
        <v>9.9178413612654118E-3</v>
      </c>
      <c r="N645" s="20">
        <v>9.9760551931005778E-4</v>
      </c>
      <c r="O645" s="20">
        <v>0.10058696070762457</v>
      </c>
      <c r="P645" s="20"/>
      <c r="Q645" s="20"/>
      <c r="R645" s="20">
        <v>0.76</v>
      </c>
      <c r="S645" s="20">
        <v>0.24</v>
      </c>
      <c r="T645" s="20"/>
    </row>
    <row r="646" spans="13:20" x14ac:dyDescent="0.2">
      <c r="M646" s="20">
        <v>1.1204808091547395E-2</v>
      </c>
      <c r="N646" s="20">
        <v>1.1094114373156687E-3</v>
      </c>
      <c r="O646" s="20">
        <v>9.9012087333524151E-2</v>
      </c>
      <c r="P646" s="20"/>
      <c r="Q646" s="20"/>
      <c r="R646" s="20"/>
      <c r="S646" s="20">
        <v>0.42</v>
      </c>
      <c r="T646" s="20">
        <v>0.58000000000000007</v>
      </c>
    </row>
    <row r="647" spans="13:20" x14ac:dyDescent="0.2">
      <c r="M647" s="20">
        <v>9.2347566355688165E-3</v>
      </c>
      <c r="N647" s="20">
        <v>1.0420227745631919E-3</v>
      </c>
      <c r="O647" s="20">
        <v>0.11283705848291782</v>
      </c>
      <c r="P647" s="20">
        <v>0.08</v>
      </c>
      <c r="Q647" s="20">
        <v>0.31</v>
      </c>
      <c r="R647" s="20">
        <v>0.15</v>
      </c>
      <c r="S647" s="20">
        <v>0.04</v>
      </c>
      <c r="T647" s="20">
        <v>0.16</v>
      </c>
    </row>
    <row r="648" spans="13:20" x14ac:dyDescent="0.2">
      <c r="M648" s="20">
        <v>1.1310413212483253E-2</v>
      </c>
      <c r="N648" s="20">
        <v>1.1105793379023586E-3</v>
      </c>
      <c r="O648" s="20">
        <v>9.8190872166952936E-2</v>
      </c>
      <c r="P648" s="20">
        <v>0.09</v>
      </c>
      <c r="Q648" s="20">
        <v>0.28000000000000003</v>
      </c>
      <c r="R648" s="20">
        <v>0.18999999999999995</v>
      </c>
      <c r="S648" s="20">
        <v>0.37</v>
      </c>
      <c r="T648" s="20">
        <v>7.0000000000000007E-2</v>
      </c>
    </row>
    <row r="649" spans="13:20" x14ac:dyDescent="0.2">
      <c r="M649" s="20">
        <v>1.3289001004459199E-2</v>
      </c>
      <c r="N649" s="20">
        <v>1.6749927303940921E-3</v>
      </c>
      <c r="O649" s="20">
        <v>0.12604354005481971</v>
      </c>
      <c r="P649" s="20">
        <v>0.23</v>
      </c>
      <c r="Q649" s="20">
        <v>0.4</v>
      </c>
      <c r="R649" s="20"/>
      <c r="S649" s="20"/>
      <c r="T649" s="20">
        <v>0.37</v>
      </c>
    </row>
    <row r="650" spans="13:20" x14ac:dyDescent="0.2">
      <c r="M650" s="20">
        <v>1.0957366075622027E-2</v>
      </c>
      <c r="N650" s="20">
        <v>1.8088987447871295E-3</v>
      </c>
      <c r="O650" s="20">
        <v>0.16508517944030104</v>
      </c>
      <c r="P650" s="20">
        <v>0.56000000000000005</v>
      </c>
      <c r="Q650" s="20"/>
      <c r="R650" s="20">
        <v>0.04</v>
      </c>
      <c r="S650" s="20">
        <v>0.3</v>
      </c>
      <c r="T650" s="20">
        <v>0.1</v>
      </c>
    </row>
    <row r="651" spans="13:20" x14ac:dyDescent="0.2">
      <c r="M651" s="20">
        <v>1.5255066422544934E-2</v>
      </c>
      <c r="N651" s="20">
        <v>1.6496882247577296E-3</v>
      </c>
      <c r="O651" s="20">
        <v>0.10814035016718855</v>
      </c>
      <c r="P651" s="20">
        <v>0.10999999999999999</v>
      </c>
      <c r="Q651" s="20"/>
      <c r="R651" s="20"/>
      <c r="S651" s="20"/>
      <c r="T651" s="20">
        <v>0.89</v>
      </c>
    </row>
    <row r="652" spans="13:20" x14ac:dyDescent="0.2">
      <c r="M652" s="20">
        <v>1.1766506833316757E-2</v>
      </c>
      <c r="N652" s="20">
        <v>5.5467198709782998E-4</v>
      </c>
      <c r="O652" s="20">
        <v>4.713990268779527E-2</v>
      </c>
      <c r="P652" s="20"/>
      <c r="Q652" s="20"/>
      <c r="R652" s="20"/>
      <c r="S652" s="20">
        <v>0.97</v>
      </c>
      <c r="T652" s="20">
        <v>3.0000000000000027E-2</v>
      </c>
    </row>
    <row r="653" spans="13:20" x14ac:dyDescent="0.2">
      <c r="M653" s="20">
        <v>1.5072756399316824E-2</v>
      </c>
      <c r="N653" s="20">
        <v>1.2361828041629365E-3</v>
      </c>
      <c r="O653" s="20">
        <v>8.2014382201451005E-2</v>
      </c>
      <c r="P653" s="20"/>
      <c r="Q653" s="20">
        <v>0.68</v>
      </c>
      <c r="R653" s="20">
        <v>0.32000000000000006</v>
      </c>
      <c r="S653" s="20"/>
      <c r="T653" s="20"/>
    </row>
    <row r="654" spans="13:20" x14ac:dyDescent="0.2">
      <c r="M654" s="20">
        <v>1.3025664141353184E-2</v>
      </c>
      <c r="N654" s="20">
        <v>2.0738975735289109E-3</v>
      </c>
      <c r="O654" s="20">
        <v>0.15921626344907908</v>
      </c>
      <c r="P654" s="20">
        <v>0.5099999999999999</v>
      </c>
      <c r="Q654" s="20"/>
      <c r="R654" s="20"/>
      <c r="S654" s="20"/>
      <c r="T654" s="20">
        <v>0.49</v>
      </c>
    </row>
    <row r="655" spans="13:20" x14ac:dyDescent="0.2">
      <c r="M655" s="20">
        <v>1.6301105982438266E-2</v>
      </c>
      <c r="N655" s="20">
        <v>1.5330306538456546E-3</v>
      </c>
      <c r="O655" s="20">
        <v>9.4044579275617268E-2</v>
      </c>
      <c r="P655" s="20">
        <v>0</v>
      </c>
      <c r="Q655" s="20"/>
      <c r="R655" s="20"/>
      <c r="S655" s="20"/>
      <c r="T655" s="20">
        <v>1</v>
      </c>
    </row>
    <row r="656" spans="13:20" x14ac:dyDescent="0.2">
      <c r="M656" s="20">
        <v>9.9131232940028891E-3</v>
      </c>
      <c r="N656" s="20">
        <v>1.1462804757364805E-3</v>
      </c>
      <c r="O656" s="20">
        <v>0.11563262573662755</v>
      </c>
      <c r="P656" s="20"/>
      <c r="Q656" s="20"/>
      <c r="R656" s="20">
        <v>0.61</v>
      </c>
      <c r="S656" s="20">
        <v>0.15</v>
      </c>
      <c r="T656" s="20">
        <v>0.24</v>
      </c>
    </row>
    <row r="657" spans="13:20" x14ac:dyDescent="0.2">
      <c r="M657" s="20">
        <v>1.7230052311804852E-2</v>
      </c>
      <c r="N657" s="20">
        <v>1.259780861647758E-3</v>
      </c>
      <c r="O657" s="20">
        <v>7.3115324251490657E-2</v>
      </c>
      <c r="P657" s="20"/>
      <c r="Q657" s="20">
        <v>0.86</v>
      </c>
      <c r="R657" s="20">
        <v>0.1399999999999999</v>
      </c>
      <c r="S657" s="20"/>
      <c r="T657" s="20"/>
    </row>
    <row r="658" spans="13:20" x14ac:dyDescent="0.2">
      <c r="M658" s="20">
        <v>1.4111664700453743E-2</v>
      </c>
      <c r="N658" s="20">
        <v>2.4488579226379114E-3</v>
      </c>
      <c r="O658" s="20">
        <v>0.17353430474855114</v>
      </c>
      <c r="P658" s="20">
        <v>0.89</v>
      </c>
      <c r="Q658" s="20">
        <v>0.10999999999999999</v>
      </c>
      <c r="R658" s="20"/>
      <c r="S658" s="20"/>
      <c r="T658" s="20"/>
    </row>
    <row r="659" spans="13:20" x14ac:dyDescent="0.2">
      <c r="M659" s="20">
        <v>1.3832055665075558E-2</v>
      </c>
      <c r="N659" s="20">
        <v>2.2778534371139048E-3</v>
      </c>
      <c r="O659" s="20">
        <v>0.16467931392621835</v>
      </c>
      <c r="P659" s="20">
        <v>0.76</v>
      </c>
      <c r="Q659" s="20">
        <v>0.24</v>
      </c>
      <c r="R659" s="20"/>
      <c r="S659" s="20"/>
      <c r="T659" s="20"/>
    </row>
    <row r="660" spans="13:20" x14ac:dyDescent="0.2">
      <c r="M660" s="20">
        <v>1.4161652659714676E-2</v>
      </c>
      <c r="N660" s="20">
        <v>2.0147696132308181E-3</v>
      </c>
      <c r="O660" s="20">
        <v>0.14226938491170502</v>
      </c>
      <c r="P660" s="20">
        <v>0.56000000000000005</v>
      </c>
      <c r="Q660" s="20">
        <v>0.43999999999999995</v>
      </c>
      <c r="R660" s="20"/>
      <c r="S660" s="20"/>
      <c r="T660" s="20"/>
    </row>
    <row r="661" spans="13:20" x14ac:dyDescent="0.2">
      <c r="M661" s="20">
        <v>1.4486757263997844E-2</v>
      </c>
      <c r="N661" s="20">
        <v>1.9226902748717377E-3</v>
      </c>
      <c r="O661" s="20">
        <v>0.13272054192900459</v>
      </c>
      <c r="P661" s="20">
        <v>0.49</v>
      </c>
      <c r="Q661" s="20">
        <v>0.51000000000000012</v>
      </c>
      <c r="R661" s="20"/>
      <c r="S661" s="20"/>
      <c r="T661" s="20"/>
    </row>
    <row r="662" spans="13:20" x14ac:dyDescent="0.2">
      <c r="M662" s="20">
        <v>1.4608462456178039E-2</v>
      </c>
      <c r="N662" s="20">
        <v>1.7032334552512646E-3</v>
      </c>
      <c r="O662" s="20">
        <v>0.11659224647087711</v>
      </c>
      <c r="P662" s="20">
        <v>0.17000000000000015</v>
      </c>
      <c r="Q662" s="20"/>
      <c r="R662" s="20"/>
      <c r="S662" s="20">
        <v>0.01</v>
      </c>
      <c r="T662" s="20">
        <v>0.82</v>
      </c>
    </row>
    <row r="663" spans="13:20" x14ac:dyDescent="0.2">
      <c r="M663" s="20">
        <v>1.393487870060163E-2</v>
      </c>
      <c r="N663" s="20">
        <v>2.3699327754729852E-3</v>
      </c>
      <c r="O663" s="20">
        <v>0.17007200610728421</v>
      </c>
      <c r="P663" s="20">
        <v>0.83</v>
      </c>
      <c r="Q663" s="20">
        <v>0.17000000000000004</v>
      </c>
      <c r="R663" s="20"/>
      <c r="S663" s="20"/>
      <c r="T663" s="20"/>
    </row>
    <row r="664" spans="13:20" x14ac:dyDescent="0.2">
      <c r="M664" s="20">
        <v>1.1405932946573634E-2</v>
      </c>
      <c r="N664" s="20">
        <v>1.1388481951496211E-3</v>
      </c>
      <c r="O664" s="20">
        <v>9.9847000721824633E-2</v>
      </c>
      <c r="P664" s="20"/>
      <c r="Q664" s="20">
        <v>0.27</v>
      </c>
      <c r="R664" s="20">
        <v>0.66</v>
      </c>
      <c r="S664" s="20">
        <v>6.9999999999999951E-2</v>
      </c>
      <c r="T664" s="20"/>
    </row>
    <row r="665" spans="13:20" x14ac:dyDescent="0.2">
      <c r="M665" s="20">
        <v>9.5571418842147118E-3</v>
      </c>
      <c r="N665" s="20">
        <v>9.1429852382720245E-4</v>
      </c>
      <c r="O665" s="20">
        <v>9.5666521948086378E-2</v>
      </c>
      <c r="P665" s="20"/>
      <c r="Q665" s="20"/>
      <c r="R665" s="20">
        <v>0.61</v>
      </c>
      <c r="S665" s="20">
        <v>0.38</v>
      </c>
      <c r="T665" s="20">
        <v>9.9999999999998979E-3</v>
      </c>
    </row>
    <row r="666" spans="13:20" x14ac:dyDescent="0.2">
      <c r="M666" s="20">
        <v>1.8263847217394928E-2</v>
      </c>
      <c r="N666" s="20">
        <v>1.2702688871965677E-3</v>
      </c>
      <c r="O666" s="20">
        <v>6.9551002703676423E-2</v>
      </c>
      <c r="P666" s="20"/>
      <c r="Q666" s="20">
        <v>0.94</v>
      </c>
      <c r="R666" s="20">
        <v>6.0000000000000164E-2</v>
      </c>
      <c r="S666" s="20"/>
      <c r="T666" s="20"/>
    </row>
    <row r="667" spans="13:20" x14ac:dyDescent="0.2">
      <c r="M667" s="20">
        <v>1.2062853811856041E-2</v>
      </c>
      <c r="N667" s="20">
        <v>1.3522336723086629E-3</v>
      </c>
      <c r="O667" s="20">
        <v>0.1120989853147033</v>
      </c>
      <c r="P667" s="20"/>
      <c r="Q667" s="20"/>
      <c r="R667" s="20">
        <v>0.39</v>
      </c>
      <c r="S667" s="20">
        <v>0.03</v>
      </c>
      <c r="T667" s="20">
        <v>0.58000000000000007</v>
      </c>
    </row>
    <row r="668" spans="13:20" x14ac:dyDescent="0.2">
      <c r="M668" s="20">
        <v>1.0110539573292306E-2</v>
      </c>
      <c r="N668" s="20">
        <v>1.1786538712675741E-3</v>
      </c>
      <c r="O668" s="20">
        <v>0.11657675267708466</v>
      </c>
      <c r="P668" s="20"/>
      <c r="Q668" s="20"/>
      <c r="R668" s="20">
        <v>0.5</v>
      </c>
      <c r="S668" s="20">
        <v>0.16</v>
      </c>
      <c r="T668" s="20">
        <v>0.34000000000000008</v>
      </c>
    </row>
    <row r="669" spans="13:20" x14ac:dyDescent="0.2">
      <c r="M669" s="20">
        <v>1.3964215445300288E-2</v>
      </c>
      <c r="N669" s="20">
        <v>1.8299771979854815E-3</v>
      </c>
      <c r="O669" s="20">
        <v>0.13104761990773836</v>
      </c>
      <c r="P669" s="20">
        <v>0.27999999999999992</v>
      </c>
      <c r="Q669" s="20"/>
      <c r="R669" s="20"/>
      <c r="S669" s="20"/>
      <c r="T669" s="20">
        <v>0.72</v>
      </c>
    </row>
    <row r="670" spans="13:20" x14ac:dyDescent="0.2">
      <c r="M670" s="20">
        <v>9.3871312952509035E-3</v>
      </c>
      <c r="N670" s="20">
        <v>9.6484781197824659E-4</v>
      </c>
      <c r="O670" s="20">
        <v>0.10278409682693777</v>
      </c>
      <c r="P670" s="20"/>
      <c r="Q670" s="20"/>
      <c r="R670" s="20">
        <v>0.27</v>
      </c>
      <c r="S670" s="20">
        <v>0.46</v>
      </c>
      <c r="T670" s="20">
        <v>0.27</v>
      </c>
    </row>
    <row r="671" spans="13:20" x14ac:dyDescent="0.2">
      <c r="M671" s="20">
        <v>1.2622832054285287E-2</v>
      </c>
      <c r="N671" s="20">
        <v>1.5238685622827909E-3</v>
      </c>
      <c r="O671" s="20">
        <v>0.12072319078074537</v>
      </c>
      <c r="P671" s="20">
        <v>0.1</v>
      </c>
      <c r="Q671" s="20">
        <v>0.24</v>
      </c>
      <c r="R671" s="20">
        <v>0.14000000000000001</v>
      </c>
      <c r="S671" s="20"/>
      <c r="T671" s="20">
        <v>0.52</v>
      </c>
    </row>
    <row r="672" spans="13:20" x14ac:dyDescent="0.2">
      <c r="M672" s="20">
        <v>1.1918023109414609E-2</v>
      </c>
      <c r="N672" s="20">
        <v>1.2220835320315895E-3</v>
      </c>
      <c r="O672" s="20">
        <v>0.10254079227839455</v>
      </c>
      <c r="P672" s="20">
        <v>7.0000000000000007E-2</v>
      </c>
      <c r="Q672" s="20">
        <v>0.37</v>
      </c>
      <c r="R672" s="20">
        <v>0.44</v>
      </c>
      <c r="S672" s="20">
        <v>0.11999999999999988</v>
      </c>
      <c r="T672" s="20"/>
    </row>
    <row r="673" spans="13:20" x14ac:dyDescent="0.2">
      <c r="M673" s="20">
        <v>1.0628231875151864E-2</v>
      </c>
      <c r="N673" s="20">
        <v>1.5084784056490538E-3</v>
      </c>
      <c r="O673" s="20">
        <v>0.1419312660251402</v>
      </c>
      <c r="P673" s="20">
        <v>0.16</v>
      </c>
      <c r="Q673" s="20">
        <v>0.02</v>
      </c>
      <c r="R673" s="20">
        <v>0.49</v>
      </c>
      <c r="S673" s="20"/>
      <c r="T673" s="20">
        <v>0.33</v>
      </c>
    </row>
    <row r="674" spans="13:20" x14ac:dyDescent="0.2">
      <c r="M674" s="20">
        <v>9.8860185038424503E-3</v>
      </c>
      <c r="N674" s="20">
        <v>7.5478328431706357E-4</v>
      </c>
      <c r="O674" s="20">
        <v>7.6348560750083366E-2</v>
      </c>
      <c r="P674" s="20"/>
      <c r="Q674" s="20"/>
      <c r="R674" s="20">
        <v>0.37</v>
      </c>
      <c r="S674" s="20">
        <v>0.62999999999999989</v>
      </c>
      <c r="T674" s="20"/>
    </row>
    <row r="675" spans="13:20" x14ac:dyDescent="0.2">
      <c r="M675" s="20">
        <v>9.9199829762252525E-3</v>
      </c>
      <c r="N675" s="20">
        <v>7.4855707316339695E-4</v>
      </c>
      <c r="O675" s="20">
        <v>7.5459511871888069E-2</v>
      </c>
      <c r="P675" s="20"/>
      <c r="Q675" s="20"/>
      <c r="R675" s="20">
        <v>0.36</v>
      </c>
      <c r="S675" s="20">
        <v>0.6399999999999999</v>
      </c>
      <c r="T675" s="20"/>
    </row>
    <row r="676" spans="13:20" x14ac:dyDescent="0.2">
      <c r="M676" s="20">
        <v>1.4741319428931792E-2</v>
      </c>
      <c r="N676" s="20">
        <v>1.2322497945821327E-3</v>
      </c>
      <c r="O676" s="20">
        <v>8.3591553695232954E-2</v>
      </c>
      <c r="P676" s="20"/>
      <c r="Q676" s="20">
        <v>0.65</v>
      </c>
      <c r="R676" s="20">
        <v>0.35</v>
      </c>
      <c r="S676" s="20"/>
      <c r="T676" s="20"/>
    </row>
    <row r="677" spans="13:20" x14ac:dyDescent="0.2">
      <c r="M677" s="20">
        <v>1.4067350988270612E-2</v>
      </c>
      <c r="N677" s="20">
        <v>1.3111749417470588E-3</v>
      </c>
      <c r="O677" s="20">
        <v>9.3206954375441353E-2</v>
      </c>
      <c r="P677" s="20">
        <v>0.06</v>
      </c>
      <c r="Q677" s="20">
        <v>0.59</v>
      </c>
      <c r="R677" s="20">
        <v>0.35000000000000009</v>
      </c>
      <c r="S677" s="20"/>
      <c r="T677" s="20"/>
    </row>
    <row r="678" spans="13:20" x14ac:dyDescent="0.2">
      <c r="M678" s="20">
        <v>1.1676621788385912E-2</v>
      </c>
      <c r="N678" s="20">
        <v>5.5554452739973493E-4</v>
      </c>
      <c r="O678" s="20">
        <v>4.7577504647132118E-2</v>
      </c>
      <c r="P678" s="20"/>
      <c r="Q678" s="20"/>
      <c r="R678" s="20">
        <v>0.05</v>
      </c>
      <c r="S678" s="20">
        <v>0.95</v>
      </c>
      <c r="T678" s="20"/>
    </row>
    <row r="679" spans="13:20" x14ac:dyDescent="0.2">
      <c r="M679" s="20">
        <v>1.3669625864542198E-2</v>
      </c>
      <c r="N679" s="20">
        <v>2.0358339828447218E-3</v>
      </c>
      <c r="O679" s="20">
        <v>0.14893121457884925</v>
      </c>
      <c r="P679" s="20">
        <v>0.57999999999999996</v>
      </c>
      <c r="Q679" s="20">
        <v>0.38</v>
      </c>
      <c r="R679" s="20">
        <v>3.9999999999999925E-2</v>
      </c>
      <c r="S679" s="20"/>
      <c r="T679" s="20"/>
    </row>
    <row r="680" spans="13:20" x14ac:dyDescent="0.2">
      <c r="M680" s="20">
        <v>1.070812405201544E-2</v>
      </c>
      <c r="N680" s="20">
        <v>1.2669327574134507E-3</v>
      </c>
      <c r="O680" s="20">
        <v>0.11831509900886827</v>
      </c>
      <c r="P680" s="20">
        <v>0.12</v>
      </c>
      <c r="Q680" s="20"/>
      <c r="R680" s="20"/>
      <c r="S680" s="20">
        <v>0.39</v>
      </c>
      <c r="T680" s="20">
        <v>0.49</v>
      </c>
    </row>
    <row r="681" spans="13:20" x14ac:dyDescent="0.2">
      <c r="M681" s="20">
        <v>1.3088010981072573E-2</v>
      </c>
      <c r="N681" s="20">
        <v>2.0420818723710724E-3</v>
      </c>
      <c r="O681" s="20">
        <v>0.15602690701621968</v>
      </c>
      <c r="P681" s="20">
        <v>0.47999999999999987</v>
      </c>
      <c r="Q681" s="20"/>
      <c r="R681" s="20"/>
      <c r="S681" s="20"/>
      <c r="T681" s="20">
        <v>0.52</v>
      </c>
    </row>
    <row r="682" spans="13:20" x14ac:dyDescent="0.2">
      <c r="M682" s="20">
        <v>1.4912738377618208E-2</v>
      </c>
      <c r="N682" s="20">
        <v>1.6921091596348479E-3</v>
      </c>
      <c r="O682" s="20">
        <v>0.11346736707823232</v>
      </c>
      <c r="P682" s="20">
        <v>0.15000000000000002</v>
      </c>
      <c r="Q682" s="20"/>
      <c r="R682" s="20"/>
      <c r="S682" s="20"/>
      <c r="T682" s="20">
        <v>0.85</v>
      </c>
    </row>
    <row r="683" spans="13:20" x14ac:dyDescent="0.2">
      <c r="M683" s="20">
        <v>1.0510567262662817E-2</v>
      </c>
      <c r="N683" s="20">
        <v>6.7060374853230339E-4</v>
      </c>
      <c r="O683" s="20">
        <v>6.3802812138838663E-2</v>
      </c>
      <c r="P683" s="20"/>
      <c r="Q683" s="20"/>
      <c r="R683" s="20">
        <v>0.17</v>
      </c>
      <c r="S683" s="20">
        <v>0.79</v>
      </c>
      <c r="T683" s="20">
        <v>4.0000000000000036E-2</v>
      </c>
    </row>
    <row r="684" spans="13:20" x14ac:dyDescent="0.2">
      <c r="M684" s="20">
        <v>1.441711545283081E-2</v>
      </c>
      <c r="N684" s="20">
        <v>2.5409372609969914E-3</v>
      </c>
      <c r="O684" s="20">
        <v>0.17624449698764649</v>
      </c>
      <c r="P684" s="20">
        <v>0.96</v>
      </c>
      <c r="Q684" s="20">
        <v>3.9999999999999925E-2</v>
      </c>
      <c r="R684" s="20"/>
      <c r="S684" s="20"/>
      <c r="T684" s="20"/>
    </row>
    <row r="685" spans="13:20" x14ac:dyDescent="0.2">
      <c r="M685" s="20">
        <v>1.0959673036861295E-2</v>
      </c>
      <c r="N685" s="20">
        <v>1.8834043383218436E-3</v>
      </c>
      <c r="O685" s="20">
        <v>0.1718485881820819</v>
      </c>
      <c r="P685" s="20">
        <v>0.5</v>
      </c>
      <c r="Q685" s="20">
        <v>0.1</v>
      </c>
      <c r="R685" s="20">
        <v>0.39999999999999991</v>
      </c>
      <c r="S685" s="20"/>
      <c r="T685" s="20"/>
    </row>
    <row r="686" spans="13:20" x14ac:dyDescent="0.2">
      <c r="M686" s="20">
        <v>1.7103671905773405E-2</v>
      </c>
      <c r="N686" s="20">
        <v>1.2584698584541568E-3</v>
      </c>
      <c r="O686" s="20">
        <v>7.357892886318497E-2</v>
      </c>
      <c r="P686" s="20"/>
      <c r="Q686" s="20">
        <v>0.85</v>
      </c>
      <c r="R686" s="20">
        <v>0.15000000000000002</v>
      </c>
      <c r="S686" s="20"/>
      <c r="T686" s="20"/>
    </row>
    <row r="687" spans="13:20" x14ac:dyDescent="0.2">
      <c r="M687" s="20">
        <v>1.3194738899190291E-2</v>
      </c>
      <c r="N687" s="20">
        <v>2.3233252678418709E-3</v>
      </c>
      <c r="O687" s="20">
        <v>0.17607966975264999</v>
      </c>
      <c r="P687" s="20">
        <v>0.75</v>
      </c>
      <c r="Q687" s="20">
        <v>2.0000000000000018E-2</v>
      </c>
      <c r="R687" s="20"/>
      <c r="S687" s="20"/>
      <c r="T687" s="20">
        <v>0.23</v>
      </c>
    </row>
    <row r="688" spans="13:20" x14ac:dyDescent="0.2">
      <c r="M688" s="20">
        <v>1.4027511296019176E-2</v>
      </c>
      <c r="N688" s="20">
        <v>1.8193719642662022E-3</v>
      </c>
      <c r="O688" s="20">
        <v>0.12970026727282097</v>
      </c>
      <c r="P688" s="20">
        <v>0.27</v>
      </c>
      <c r="Q688" s="20"/>
      <c r="R688" s="20"/>
      <c r="S688" s="20"/>
      <c r="T688" s="20">
        <v>0.73</v>
      </c>
    </row>
    <row r="689" spans="13:20" x14ac:dyDescent="0.2">
      <c r="M689" s="20">
        <v>1.3770462700025417E-2</v>
      </c>
      <c r="N689" s="20">
        <v>1.6067653515046383E-3</v>
      </c>
      <c r="O689" s="20">
        <v>0.11668201617522066</v>
      </c>
      <c r="P689" s="20">
        <v>0.12</v>
      </c>
      <c r="Q689" s="20">
        <v>0.20999999999999985</v>
      </c>
      <c r="R689" s="20"/>
      <c r="S689" s="20"/>
      <c r="T689" s="20">
        <v>0.67</v>
      </c>
    </row>
    <row r="690" spans="13:20" x14ac:dyDescent="0.2">
      <c r="M690" s="20">
        <v>1.3429607498338995E-2</v>
      </c>
      <c r="N690" s="20">
        <v>1.9360295351782775E-3</v>
      </c>
      <c r="O690" s="20">
        <v>0.14416128955501714</v>
      </c>
      <c r="P690" s="20">
        <v>0.38000000000000012</v>
      </c>
      <c r="Q690" s="20"/>
      <c r="R690" s="20"/>
      <c r="S690" s="20"/>
      <c r="T690" s="20">
        <v>0.62</v>
      </c>
    </row>
    <row r="691" spans="13:20" x14ac:dyDescent="0.2">
      <c r="M691" s="20">
        <v>1.0565653581523133E-2</v>
      </c>
      <c r="N691" s="20">
        <v>8.4227541708919106E-4</v>
      </c>
      <c r="O691" s="20">
        <v>7.9718250327848586E-2</v>
      </c>
      <c r="P691" s="20">
        <v>0.10000000000000009</v>
      </c>
      <c r="Q691" s="20"/>
      <c r="R691" s="20"/>
      <c r="S691" s="20">
        <v>0.79</v>
      </c>
      <c r="T691" s="20">
        <v>0.11</v>
      </c>
    </row>
    <row r="692" spans="13:20" x14ac:dyDescent="0.2">
      <c r="M692" s="20">
        <v>1.1886501898264552E-2</v>
      </c>
      <c r="N692" s="20">
        <v>1.1889866891932927E-3</v>
      </c>
      <c r="O692" s="20">
        <v>0.10002830936887214</v>
      </c>
      <c r="P692" s="20"/>
      <c r="Q692" s="20">
        <v>0.32</v>
      </c>
      <c r="R692" s="20">
        <v>0.67999999999999994</v>
      </c>
      <c r="S692" s="20"/>
      <c r="T692" s="20"/>
    </row>
    <row r="693" spans="13:20" x14ac:dyDescent="0.2">
      <c r="M693" s="20">
        <v>1.3824281704775376E-2</v>
      </c>
      <c r="N693" s="20">
        <v>2.2252366723372876E-3</v>
      </c>
      <c r="O693" s="20">
        <v>0.16096580783424108</v>
      </c>
      <c r="P693" s="20">
        <v>0.72</v>
      </c>
      <c r="Q693" s="20">
        <v>0.28000000000000014</v>
      </c>
      <c r="R693" s="20"/>
      <c r="S693" s="20"/>
      <c r="T693" s="20"/>
    </row>
    <row r="694" spans="13:20" x14ac:dyDescent="0.2">
      <c r="M694" s="20">
        <v>1.3492710124228629E-2</v>
      </c>
      <c r="N694" s="20">
        <v>2.2594552331453455E-3</v>
      </c>
      <c r="O694" s="20">
        <v>0.16745747980519349</v>
      </c>
      <c r="P694" s="20">
        <v>0.75</v>
      </c>
      <c r="Q694" s="20">
        <v>0.21</v>
      </c>
      <c r="R694" s="20">
        <v>3.9999999999999925E-2</v>
      </c>
      <c r="S694" s="20"/>
      <c r="T694" s="20"/>
    </row>
    <row r="695" spans="13:20" x14ac:dyDescent="0.2">
      <c r="M695" s="20">
        <v>1.1004230292705927E-2</v>
      </c>
      <c r="N695" s="20">
        <v>6.4544753349711265E-4</v>
      </c>
      <c r="O695" s="20">
        <v>5.8654491620821751E-2</v>
      </c>
      <c r="P695" s="20"/>
      <c r="Q695" s="20"/>
      <c r="R695" s="20"/>
      <c r="S695" s="20">
        <v>0.88</v>
      </c>
      <c r="T695" s="20">
        <v>0.12</v>
      </c>
    </row>
    <row r="696" spans="13:20" x14ac:dyDescent="0.2">
      <c r="M696" s="20">
        <v>1.0400926589731081E-2</v>
      </c>
      <c r="N696" s="20">
        <v>1.0902400204542638E-3</v>
      </c>
      <c r="O696" s="20">
        <v>0.10482143211458358</v>
      </c>
      <c r="P696" s="20"/>
      <c r="Q696" s="20">
        <v>0.15</v>
      </c>
      <c r="R696" s="20">
        <v>0.63</v>
      </c>
      <c r="S696" s="20">
        <v>0.16</v>
      </c>
      <c r="T696" s="20">
        <v>5.9999999999999831E-2</v>
      </c>
    </row>
    <row r="697" spans="13:20" x14ac:dyDescent="0.2">
      <c r="M697" s="20">
        <v>1.4302584555678084E-2</v>
      </c>
      <c r="N697" s="20">
        <v>1.3918242483356592E-3</v>
      </c>
      <c r="O697" s="20">
        <v>9.7312778883947168E-2</v>
      </c>
      <c r="P697" s="20"/>
      <c r="Q697" s="20"/>
      <c r="R697" s="20"/>
      <c r="S697" s="20">
        <v>0.14000000000000001</v>
      </c>
      <c r="T697" s="20">
        <v>0.85999999999999988</v>
      </c>
    </row>
    <row r="698" spans="13:20" x14ac:dyDescent="0.2">
      <c r="M698" s="20">
        <v>1.3501322527238957E-2</v>
      </c>
      <c r="N698" s="20">
        <v>2.402659818826577E-3</v>
      </c>
      <c r="O698" s="20">
        <v>0.17795736780446536</v>
      </c>
      <c r="P698" s="20">
        <v>0.82</v>
      </c>
      <c r="Q698" s="20"/>
      <c r="R698" s="20"/>
      <c r="S698" s="20"/>
      <c r="T698" s="20">
        <v>0.18</v>
      </c>
    </row>
    <row r="699" spans="13:20" x14ac:dyDescent="0.2">
      <c r="M699" s="20">
        <v>1.2947521129222744E-2</v>
      </c>
      <c r="N699" s="20">
        <v>2.3002729691795521E-3</v>
      </c>
      <c r="O699" s="20">
        <v>0.1776612639764536</v>
      </c>
      <c r="P699" s="20">
        <v>0.79</v>
      </c>
      <c r="Q699" s="20">
        <v>0.08</v>
      </c>
      <c r="R699" s="20">
        <v>0.12999999999999989</v>
      </c>
      <c r="S699" s="20"/>
      <c r="T699" s="20"/>
    </row>
    <row r="700" spans="13:20" x14ac:dyDescent="0.2">
      <c r="M700" s="20">
        <v>9.470045049981949E-3</v>
      </c>
      <c r="N700" s="20">
        <v>9.1740437323410489E-4</v>
      </c>
      <c r="O700" s="20">
        <v>9.6874340976430065E-2</v>
      </c>
      <c r="P700" s="20"/>
      <c r="Q700" s="20"/>
      <c r="R700" s="20">
        <v>0.21</v>
      </c>
      <c r="S700" s="20">
        <v>0.53</v>
      </c>
      <c r="T700" s="20">
        <v>0.26</v>
      </c>
    </row>
    <row r="701" spans="13:20" x14ac:dyDescent="0.2">
      <c r="M701" s="20">
        <v>1.2502492365468238E-2</v>
      </c>
      <c r="N701" s="20">
        <v>2.2279469972407745E-3</v>
      </c>
      <c r="O701" s="20">
        <v>0.17820022857157206</v>
      </c>
      <c r="P701" s="20">
        <v>0.74</v>
      </c>
      <c r="Q701" s="20">
        <v>0.08</v>
      </c>
      <c r="R701" s="20">
        <v>0.18000000000000016</v>
      </c>
      <c r="S701" s="20"/>
      <c r="T701" s="20"/>
    </row>
    <row r="702" spans="13:20" x14ac:dyDescent="0.2">
      <c r="M702" s="20">
        <v>1.007993661046739E-2</v>
      </c>
      <c r="N702" s="20">
        <v>1.3272257925697663E-3</v>
      </c>
      <c r="O702" s="20">
        <v>0.13167005347945587</v>
      </c>
      <c r="P702" s="20">
        <v>0.30999999999999983</v>
      </c>
      <c r="Q702" s="20"/>
      <c r="R702" s="20"/>
      <c r="S702" s="20">
        <v>0.53</v>
      </c>
      <c r="T702" s="20">
        <v>0.16</v>
      </c>
    </row>
    <row r="703" spans="13:20" x14ac:dyDescent="0.2">
      <c r="M703" s="20">
        <v>1.0365393041919023E-2</v>
      </c>
      <c r="N703" s="20">
        <v>1.5411116484233081E-3</v>
      </c>
      <c r="O703" s="20">
        <v>0.14867855393334806</v>
      </c>
      <c r="P703" s="20">
        <v>0.35000000000000009</v>
      </c>
      <c r="Q703" s="20"/>
      <c r="R703" s="20"/>
      <c r="S703" s="20">
        <v>0.36</v>
      </c>
      <c r="T703" s="20">
        <v>0.28999999999999998</v>
      </c>
    </row>
    <row r="704" spans="13:20" x14ac:dyDescent="0.2">
      <c r="M704" s="20">
        <v>1.4442119867290834E-2</v>
      </c>
      <c r="N704" s="20">
        <v>1.7557405619505252E-3</v>
      </c>
      <c r="O704" s="20">
        <v>0.12157083434316354</v>
      </c>
      <c r="P704" s="20">
        <v>0.20999999999999996</v>
      </c>
      <c r="Q704" s="20"/>
      <c r="R704" s="20"/>
      <c r="S704" s="20"/>
      <c r="T704" s="20">
        <v>0.79</v>
      </c>
    </row>
    <row r="705" spans="13:20" x14ac:dyDescent="0.2">
      <c r="M705" s="20">
        <v>1.1806289390930074E-2</v>
      </c>
      <c r="N705" s="20">
        <v>1.0509591820025274E-3</v>
      </c>
      <c r="O705" s="20">
        <v>8.901689152308126E-2</v>
      </c>
      <c r="P705" s="20"/>
      <c r="Q705" s="20">
        <v>0.35</v>
      </c>
      <c r="R705" s="20">
        <v>0.26</v>
      </c>
      <c r="S705" s="20">
        <v>0.28999999999999998</v>
      </c>
      <c r="T705" s="20">
        <v>9.9999999999999978E-2</v>
      </c>
    </row>
    <row r="706" spans="13:20" x14ac:dyDescent="0.2">
      <c r="M706" s="20">
        <v>1.5234846465153303E-2</v>
      </c>
      <c r="N706" s="20">
        <v>1.4207453579188529E-3</v>
      </c>
      <c r="O706" s="20">
        <v>9.3256296423369064E-2</v>
      </c>
      <c r="P706" s="20">
        <v>0.1</v>
      </c>
      <c r="Q706" s="20">
        <v>0.69</v>
      </c>
      <c r="R706" s="20">
        <v>0.1100000000000001</v>
      </c>
      <c r="S706" s="20"/>
      <c r="T706" s="20">
        <v>0.1</v>
      </c>
    </row>
    <row r="707" spans="13:20" x14ac:dyDescent="0.2">
      <c r="M707" s="20">
        <v>1.8132536690980541E-2</v>
      </c>
      <c r="N707" s="20">
        <v>1.2689578840029666E-3</v>
      </c>
      <c r="O707" s="20">
        <v>6.9982369572932926E-2</v>
      </c>
      <c r="P707" s="20"/>
      <c r="Q707" s="20">
        <v>0.93</v>
      </c>
      <c r="R707" s="20">
        <v>7.0000000000000062E-2</v>
      </c>
      <c r="S707" s="20"/>
      <c r="T707" s="20"/>
    </row>
    <row r="708" spans="13:20" x14ac:dyDescent="0.2">
      <c r="M708" s="20">
        <v>1.5347089117426063E-2</v>
      </c>
      <c r="N708" s="20">
        <v>1.7516857893477311E-3</v>
      </c>
      <c r="O708" s="20">
        <v>0.11413798251544362</v>
      </c>
      <c r="P708" s="20">
        <v>0.36</v>
      </c>
      <c r="Q708" s="20">
        <v>0.64</v>
      </c>
      <c r="R708" s="20"/>
      <c r="S708" s="20"/>
      <c r="T708" s="20"/>
    </row>
    <row r="709" spans="13:20" x14ac:dyDescent="0.2">
      <c r="M709" s="20">
        <v>1.2761485043041355E-2</v>
      </c>
      <c r="N709" s="20">
        <v>2.0233278278511957E-3</v>
      </c>
      <c r="O709" s="20">
        <v>0.15854955916392238</v>
      </c>
      <c r="P709" s="20">
        <v>0.52</v>
      </c>
      <c r="Q709" s="20">
        <v>0.24</v>
      </c>
      <c r="R709" s="20"/>
      <c r="S709" s="20"/>
      <c r="T709" s="20">
        <v>0.24</v>
      </c>
    </row>
    <row r="710" spans="13:20" x14ac:dyDescent="0.2">
      <c r="M710" s="20">
        <v>1.1081212417192716E-2</v>
      </c>
      <c r="N710" s="20">
        <v>1.4945382183690935E-3</v>
      </c>
      <c r="O710" s="20">
        <v>0.13487136263630217</v>
      </c>
      <c r="P710" s="20">
        <v>0.22999999999999998</v>
      </c>
      <c r="Q710" s="20"/>
      <c r="R710" s="20"/>
      <c r="S710" s="20">
        <v>0.28000000000000003</v>
      </c>
      <c r="T710" s="20">
        <v>0.49</v>
      </c>
    </row>
    <row r="711" spans="13:20" x14ac:dyDescent="0.2">
      <c r="M711" s="20">
        <v>1.0311232922207449E-2</v>
      </c>
      <c r="N711" s="20">
        <v>9.4803268816138824E-4</v>
      </c>
      <c r="O711" s="20">
        <v>9.1941739199741745E-2</v>
      </c>
      <c r="P711" s="20"/>
      <c r="Q711" s="20"/>
      <c r="R711" s="20"/>
      <c r="S711" s="20">
        <v>0.57999999999999996</v>
      </c>
      <c r="T711" s="20">
        <v>0.41999999999999993</v>
      </c>
    </row>
    <row r="712" spans="13:20" x14ac:dyDescent="0.2">
      <c r="M712" s="20">
        <v>1.4780066221291193E-2</v>
      </c>
      <c r="N712" s="20">
        <v>1.856919318900966E-3</v>
      </c>
      <c r="O712" s="20">
        <v>0.12563673877360643</v>
      </c>
      <c r="P712" s="20">
        <v>0.44</v>
      </c>
      <c r="Q712" s="20">
        <v>0.56000000000000005</v>
      </c>
      <c r="R712" s="20"/>
      <c r="S712" s="20"/>
      <c r="T712" s="20"/>
    </row>
    <row r="713" spans="13:20" x14ac:dyDescent="0.2">
      <c r="M713" s="20">
        <v>1.3508530471017518E-2</v>
      </c>
      <c r="N713" s="20">
        <v>1.5650804325328207E-3</v>
      </c>
      <c r="O713" s="20">
        <v>0.11585867433106012</v>
      </c>
      <c r="P713" s="20">
        <v>0.13</v>
      </c>
      <c r="Q713" s="20">
        <v>0.4</v>
      </c>
      <c r="R713" s="20">
        <v>1.0000000000000009E-2</v>
      </c>
      <c r="S713" s="20"/>
      <c r="T713" s="20">
        <v>0.46</v>
      </c>
    </row>
    <row r="714" spans="13:20" x14ac:dyDescent="0.2">
      <c r="M714" s="20">
        <v>1.0985687356024386E-2</v>
      </c>
      <c r="N714" s="20">
        <v>1.7216210344111879E-3</v>
      </c>
      <c r="O714" s="20">
        <v>0.15671491265105744</v>
      </c>
      <c r="P714" s="20">
        <v>0.38</v>
      </c>
      <c r="Q714" s="20">
        <v>0.19</v>
      </c>
      <c r="R714" s="20">
        <v>0.42999999999999994</v>
      </c>
      <c r="S714" s="20"/>
      <c r="T714" s="20"/>
    </row>
    <row r="715" spans="13:20" x14ac:dyDescent="0.2">
      <c r="M715" s="20">
        <v>9.2925310333567997E-3</v>
      </c>
      <c r="N715" s="20">
        <v>9.6921051348777181E-4</v>
      </c>
      <c r="O715" s="20">
        <v>0.1042999490675532</v>
      </c>
      <c r="P715" s="20"/>
      <c r="Q715" s="20"/>
      <c r="R715" s="20">
        <v>0.52</v>
      </c>
      <c r="S715" s="20">
        <v>0.36</v>
      </c>
      <c r="T715" s="20">
        <v>0.12000000000000011</v>
      </c>
    </row>
    <row r="716" spans="13:20" x14ac:dyDescent="0.2">
      <c r="M716" s="20">
        <v>1.3900120420019859E-2</v>
      </c>
      <c r="N716" s="20">
        <v>2.1331573339782072E-3</v>
      </c>
      <c r="O716" s="20">
        <v>0.15346322690168174</v>
      </c>
      <c r="P716" s="20">
        <v>0.65</v>
      </c>
      <c r="Q716" s="20">
        <v>0.34999999999999987</v>
      </c>
      <c r="R716" s="20"/>
      <c r="S716" s="20"/>
      <c r="T716" s="20"/>
    </row>
    <row r="717" spans="13:20" x14ac:dyDescent="0.2">
      <c r="M717" s="20">
        <v>1.4579219008078452E-2</v>
      </c>
      <c r="N717" s="20">
        <v>2.5803998345794547E-3</v>
      </c>
      <c r="O717" s="20">
        <v>0.17699163673648338</v>
      </c>
      <c r="P717" s="20">
        <v>0.99</v>
      </c>
      <c r="Q717" s="20">
        <v>1.0000000000000009E-2</v>
      </c>
      <c r="R717" s="20"/>
      <c r="S717" s="20"/>
      <c r="T717" s="20"/>
    </row>
    <row r="718" spans="13:20" x14ac:dyDescent="0.2">
      <c r="M718" s="20">
        <v>1.1026035065007956E-2</v>
      </c>
      <c r="N718" s="20">
        <v>1.3925912670784885E-3</v>
      </c>
      <c r="O718" s="20">
        <v>0.12630027556306198</v>
      </c>
      <c r="P718" s="20">
        <v>0.1399999999999999</v>
      </c>
      <c r="Q718" s="20">
        <v>0.24</v>
      </c>
      <c r="R718" s="20">
        <v>0.59</v>
      </c>
      <c r="S718" s="20">
        <v>0</v>
      </c>
      <c r="T718" s="20">
        <v>0.03</v>
      </c>
    </row>
    <row r="719" spans="13:20" x14ac:dyDescent="0.2">
      <c r="M719" s="20">
        <v>1.2977494831131907E-2</v>
      </c>
      <c r="N719" s="20">
        <v>1.208651737097311E-3</v>
      </c>
      <c r="O719" s="20">
        <v>9.31344418028862E-2</v>
      </c>
      <c r="P719" s="20"/>
      <c r="Q719" s="20">
        <v>0.47</v>
      </c>
      <c r="R719" s="20">
        <v>0.53</v>
      </c>
      <c r="S719" s="20"/>
      <c r="T719" s="20"/>
    </row>
    <row r="720" spans="13:20" x14ac:dyDescent="0.2">
      <c r="M720" s="20">
        <v>1.0501689351200317E-2</v>
      </c>
      <c r="N720" s="20">
        <v>6.6761632816573233E-4</v>
      </c>
      <c r="O720" s="20">
        <v>6.3572279262805037E-2</v>
      </c>
      <c r="P720" s="20"/>
      <c r="Q720" s="20"/>
      <c r="R720" s="20">
        <v>0.23</v>
      </c>
      <c r="S720" s="20">
        <v>0.77</v>
      </c>
      <c r="T720" s="20"/>
    </row>
    <row r="721" spans="13:20" x14ac:dyDescent="0.2">
      <c r="M721" s="20">
        <v>1.3182209850980601E-2</v>
      </c>
      <c r="N721" s="20">
        <v>8.0689460724677224E-4</v>
      </c>
      <c r="O721" s="20">
        <v>6.121087559433358E-2</v>
      </c>
      <c r="P721" s="20"/>
      <c r="Q721" s="20">
        <v>0.35</v>
      </c>
      <c r="R721" s="20">
        <v>0.03</v>
      </c>
      <c r="S721" s="20">
        <v>0.62</v>
      </c>
      <c r="T721" s="20"/>
    </row>
    <row r="722" spans="13:20" x14ac:dyDescent="0.2">
      <c r="M722" s="20">
        <v>1.4670749734442233E-2</v>
      </c>
      <c r="N722" s="20">
        <v>1.7239248607926862E-3</v>
      </c>
      <c r="O722" s="20">
        <v>0.11750761835609952</v>
      </c>
      <c r="P722" s="20">
        <v>0.17999999999999994</v>
      </c>
      <c r="Q722" s="20"/>
      <c r="R722" s="20"/>
      <c r="S722" s="20"/>
      <c r="T722" s="20">
        <v>0.82</v>
      </c>
    </row>
    <row r="723" spans="13:20" x14ac:dyDescent="0.2">
      <c r="M723" s="20">
        <v>1.1155032780301371E-2</v>
      </c>
      <c r="N723" s="20">
        <v>6.2527518985282748E-4</v>
      </c>
      <c r="O723" s="20">
        <v>5.605319161024775E-2</v>
      </c>
      <c r="P723" s="20"/>
      <c r="Q723" s="20"/>
      <c r="R723" s="20"/>
      <c r="S723" s="20">
        <v>0.9</v>
      </c>
      <c r="T723" s="20">
        <v>9.9999999999999867E-2</v>
      </c>
    </row>
    <row r="724" spans="13:20" x14ac:dyDescent="0.2">
      <c r="M724" s="20">
        <v>1.5072756399316824E-2</v>
      </c>
      <c r="N724" s="20">
        <v>1.2361828041629365E-3</v>
      </c>
      <c r="O724" s="20">
        <v>8.2014382201451005E-2</v>
      </c>
      <c r="P724" s="20"/>
      <c r="Q724" s="20">
        <v>0.68</v>
      </c>
      <c r="R724" s="20">
        <v>0.32000000000000006</v>
      </c>
      <c r="S724" s="20"/>
      <c r="T724" s="20"/>
    </row>
    <row r="725" spans="13:20" x14ac:dyDescent="0.2">
      <c r="M725" s="20">
        <v>1.3025664141353184E-2</v>
      </c>
      <c r="N725" s="20">
        <v>2.0738975735289109E-3</v>
      </c>
      <c r="O725" s="20">
        <v>0.15921626344907908</v>
      </c>
      <c r="P725" s="20">
        <v>0.5099999999999999</v>
      </c>
      <c r="Q725" s="20"/>
      <c r="R725" s="20"/>
      <c r="S725" s="20"/>
      <c r="T725" s="20">
        <v>0.49</v>
      </c>
    </row>
    <row r="726" spans="13:20" x14ac:dyDescent="0.2">
      <c r="M726" s="20">
        <v>1.1401739475669198E-2</v>
      </c>
      <c r="N726" s="20">
        <v>5.9501667438640021E-4</v>
      </c>
      <c r="O726" s="20">
        <v>5.2186482216695022E-2</v>
      </c>
      <c r="P726" s="20"/>
      <c r="Q726" s="20"/>
      <c r="R726" s="20"/>
      <c r="S726" s="20">
        <v>0.93</v>
      </c>
      <c r="T726" s="20">
        <v>7.0000000000000062E-2</v>
      </c>
    </row>
    <row r="727" spans="13:20" x14ac:dyDescent="0.2">
      <c r="M727" s="20">
        <v>1.4289034563790739E-2</v>
      </c>
      <c r="N727" s="20">
        <v>9.8745894676685814E-4</v>
      </c>
      <c r="O727" s="20">
        <v>6.9106064679074805E-2</v>
      </c>
      <c r="P727" s="20"/>
      <c r="Q727" s="20">
        <v>0.54</v>
      </c>
      <c r="R727" s="20">
        <v>0.09</v>
      </c>
      <c r="S727" s="20">
        <v>0.36999999999999988</v>
      </c>
      <c r="T727" s="20"/>
    </row>
    <row r="728" spans="13:20" x14ac:dyDescent="0.2">
      <c r="M728" s="20">
        <v>1.386228907498102E-2</v>
      </c>
      <c r="N728" s="20">
        <v>2.3173160106963677E-3</v>
      </c>
      <c r="O728" s="20">
        <v>0.16716690859366892</v>
      </c>
      <c r="P728" s="20">
        <v>0.79</v>
      </c>
      <c r="Q728" s="20">
        <v>0.20999999999999996</v>
      </c>
      <c r="R728" s="20"/>
      <c r="S728" s="20"/>
      <c r="T728" s="20"/>
    </row>
    <row r="729" spans="13:20" x14ac:dyDescent="0.2">
      <c r="M729" s="20">
        <v>1.4111664700453743E-2</v>
      </c>
      <c r="N729" s="20">
        <v>2.4488579226379114E-3</v>
      </c>
      <c r="O729" s="20">
        <v>0.17353430474855114</v>
      </c>
      <c r="P729" s="20">
        <v>0.89</v>
      </c>
      <c r="Q729" s="20">
        <v>0.10999999999999999</v>
      </c>
      <c r="R729" s="20"/>
      <c r="S729" s="20"/>
      <c r="T729" s="20"/>
    </row>
    <row r="730" spans="13:20" x14ac:dyDescent="0.2">
      <c r="M730" s="20">
        <v>1.3826620564832233E-2</v>
      </c>
      <c r="N730" s="20">
        <v>2.2646992459197505E-3</v>
      </c>
      <c r="O730" s="20">
        <v>0.16379268059759833</v>
      </c>
      <c r="P730" s="20">
        <v>0.75</v>
      </c>
      <c r="Q730" s="20">
        <v>0.25</v>
      </c>
      <c r="R730" s="20"/>
      <c r="S730" s="20"/>
      <c r="T730" s="20"/>
    </row>
    <row r="731" spans="13:20" x14ac:dyDescent="0.2">
      <c r="M731" s="20">
        <v>1.3874442384911178E-2</v>
      </c>
      <c r="N731" s="20">
        <v>1.9292894500978859E-3</v>
      </c>
      <c r="O731" s="20">
        <v>0.13905347664249476</v>
      </c>
      <c r="P731" s="20">
        <v>0.5</v>
      </c>
      <c r="Q731" s="20">
        <v>0.45</v>
      </c>
      <c r="R731" s="20">
        <v>5.0000000000000044E-2</v>
      </c>
      <c r="S731" s="20"/>
      <c r="T731" s="20"/>
    </row>
    <row r="732" spans="13:20" x14ac:dyDescent="0.2">
      <c r="M732" s="20">
        <v>1.1863708145930605E-2</v>
      </c>
      <c r="N732" s="20">
        <v>5.4458581527568745E-4</v>
      </c>
      <c r="O732" s="20">
        <v>4.5903507451208414E-2</v>
      </c>
      <c r="P732" s="20"/>
      <c r="Q732" s="20"/>
      <c r="R732" s="20"/>
      <c r="S732" s="20">
        <v>0.98</v>
      </c>
      <c r="T732" s="20">
        <v>2.0000000000000018E-2</v>
      </c>
    </row>
    <row r="733" spans="13:20" x14ac:dyDescent="0.2">
      <c r="M733" s="20">
        <v>1.0074982223260288E-2</v>
      </c>
      <c r="N733" s="20">
        <v>9.2140760597492005E-4</v>
      </c>
      <c r="O733" s="20">
        <v>9.1455010595219738E-2</v>
      </c>
      <c r="P733" s="20">
        <v>7.0000000000000062E-2</v>
      </c>
      <c r="Q733" s="20"/>
      <c r="R733" s="20"/>
      <c r="S733" s="20">
        <v>0.68</v>
      </c>
      <c r="T733" s="20">
        <v>0.25</v>
      </c>
    </row>
    <row r="734" spans="13:20" x14ac:dyDescent="0.2">
      <c r="M734" s="20">
        <v>1.1079751874008744E-2</v>
      </c>
      <c r="N734" s="20">
        <v>1.6211490649002502E-3</v>
      </c>
      <c r="O734" s="20">
        <v>0.14631636911501567</v>
      </c>
      <c r="P734" s="20">
        <v>0.28999999999999998</v>
      </c>
      <c r="Q734" s="20">
        <v>0.24</v>
      </c>
      <c r="R734" s="20">
        <v>0.41000000000000003</v>
      </c>
      <c r="S734" s="20"/>
      <c r="T734" s="20">
        <v>0.06</v>
      </c>
    </row>
    <row r="735" spans="13:20" x14ac:dyDescent="0.2">
      <c r="M735" s="20">
        <v>9.8023849233163686E-3</v>
      </c>
      <c r="N735" s="20">
        <v>1.233750297088578E-3</v>
      </c>
      <c r="O735" s="20">
        <v>0.12586225767914166</v>
      </c>
      <c r="P735" s="20">
        <v>0.15000000000000002</v>
      </c>
      <c r="Q735" s="20"/>
      <c r="R735" s="20">
        <v>0.09</v>
      </c>
      <c r="S735" s="20">
        <v>0.42</v>
      </c>
      <c r="T735" s="20">
        <v>0.34</v>
      </c>
    </row>
    <row r="736" spans="13:20" x14ac:dyDescent="0.2">
      <c r="M736" s="20">
        <v>1.4148879873072288E-2</v>
      </c>
      <c r="N736" s="20">
        <v>2.4620121138320657E-3</v>
      </c>
      <c r="O736" s="20">
        <v>0.17400756356110503</v>
      </c>
      <c r="P736" s="20">
        <v>0.9</v>
      </c>
      <c r="Q736" s="20">
        <v>9.9999999999999978E-2</v>
      </c>
      <c r="R736" s="20"/>
      <c r="S736" s="20"/>
      <c r="T736" s="20"/>
    </row>
    <row r="737" spans="13:20" x14ac:dyDescent="0.2">
      <c r="M737" s="20">
        <v>9.9555615425183097E-3</v>
      </c>
      <c r="N737" s="20">
        <v>7.4233086200973055E-4</v>
      </c>
      <c r="O737" s="20">
        <v>7.456443906648326E-2</v>
      </c>
      <c r="P737" s="20"/>
      <c r="Q737" s="20"/>
      <c r="R737" s="20">
        <v>0.35</v>
      </c>
      <c r="S737" s="20">
        <v>0.65000000000000013</v>
      </c>
      <c r="T737" s="20"/>
    </row>
    <row r="738" spans="13:20" x14ac:dyDescent="0.2">
      <c r="M738" s="20">
        <v>1.0909084634781437E-2</v>
      </c>
      <c r="N738" s="20">
        <v>1.122129742383388E-3</v>
      </c>
      <c r="O738" s="20">
        <v>0.10286195221235167</v>
      </c>
      <c r="P738" s="20"/>
      <c r="Q738" s="20"/>
      <c r="R738" s="20">
        <v>0.96</v>
      </c>
      <c r="S738" s="20">
        <v>4.0000000000000036E-2</v>
      </c>
      <c r="T738" s="20"/>
    </row>
    <row r="739" spans="13:20" x14ac:dyDescent="0.2">
      <c r="M739" s="20">
        <v>9.7834262205318042E-3</v>
      </c>
      <c r="N739" s="20">
        <v>7.8777784972953731E-4</v>
      </c>
      <c r="O739" s="20">
        <v>8.0521673284179529E-2</v>
      </c>
      <c r="P739" s="20"/>
      <c r="Q739" s="20"/>
      <c r="R739" s="20">
        <v>0.18</v>
      </c>
      <c r="S739" s="20">
        <v>0.67</v>
      </c>
      <c r="T739" s="20">
        <v>0.1499999999999998</v>
      </c>
    </row>
    <row r="740" spans="13:20" x14ac:dyDescent="0.2">
      <c r="M740" s="20">
        <v>1.4525629572576094E-2</v>
      </c>
      <c r="N740" s="20">
        <v>1.22962778819493E-3</v>
      </c>
      <c r="O740" s="20">
        <v>8.4652288704678683E-2</v>
      </c>
      <c r="P740" s="20"/>
      <c r="Q740" s="20">
        <v>0.63</v>
      </c>
      <c r="R740" s="20">
        <v>0.36999999999999988</v>
      </c>
      <c r="S740" s="20"/>
      <c r="T740" s="20"/>
    </row>
    <row r="741" spans="13:20" x14ac:dyDescent="0.2">
      <c r="M741" s="20">
        <v>1.2464528288482334E-2</v>
      </c>
      <c r="N741" s="20">
        <v>1.1398346095926398E-3</v>
      </c>
      <c r="O741" s="20">
        <v>9.1446269221907683E-2</v>
      </c>
      <c r="P741" s="20"/>
      <c r="Q741" s="20">
        <v>0.42</v>
      </c>
      <c r="R741" s="20">
        <v>0.48</v>
      </c>
      <c r="S741" s="20">
        <v>9.9999999999999978E-2</v>
      </c>
      <c r="T741" s="20"/>
    </row>
    <row r="742" spans="13:20" x14ac:dyDescent="0.2">
      <c r="M742" s="20">
        <v>1.632659391208555E-2</v>
      </c>
      <c r="N742" s="20">
        <v>1.3655720855742476E-3</v>
      </c>
      <c r="O742" s="20">
        <v>8.3640965955758872E-2</v>
      </c>
      <c r="P742" s="20">
        <v>0.05</v>
      </c>
      <c r="Q742" s="20">
        <v>0.78</v>
      </c>
      <c r="R742" s="20">
        <v>0.03</v>
      </c>
      <c r="S742" s="20">
        <v>0.01</v>
      </c>
      <c r="T742" s="20">
        <v>0.12999999999999989</v>
      </c>
    </row>
    <row r="743" spans="13:20" x14ac:dyDescent="0.2">
      <c r="M743" s="20">
        <v>9.2767601072690931E-3</v>
      </c>
      <c r="N743" s="20">
        <v>1.0024564493207701E-3</v>
      </c>
      <c r="O743" s="20">
        <v>0.10806105124301579</v>
      </c>
      <c r="P743" s="20"/>
      <c r="Q743" s="20"/>
      <c r="R743" s="20">
        <v>0.46</v>
      </c>
      <c r="S743" s="20">
        <v>0.35</v>
      </c>
      <c r="T743" s="20">
        <v>0.19000000000000006</v>
      </c>
    </row>
    <row r="744" spans="13:20" x14ac:dyDescent="0.2">
      <c r="M744" s="20">
        <v>1.3170787485896264E-2</v>
      </c>
      <c r="N744" s="20">
        <v>2.2032073972591678E-3</v>
      </c>
      <c r="O744" s="20">
        <v>0.16727985320683664</v>
      </c>
      <c r="P744" s="20">
        <v>0.68</v>
      </c>
      <c r="Q744" s="20">
        <v>0.19999999999999996</v>
      </c>
      <c r="R744" s="20"/>
      <c r="S744" s="20"/>
      <c r="T744" s="20">
        <v>0.12</v>
      </c>
    </row>
    <row r="745" spans="13:20" x14ac:dyDescent="0.2">
      <c r="M745" s="20">
        <v>1.0319633535134348E-2</v>
      </c>
      <c r="N745" s="20">
        <v>1.4886045417240477E-3</v>
      </c>
      <c r="O745" s="20">
        <v>0.1442497484679012</v>
      </c>
      <c r="P745" s="20">
        <v>0.31000000000000016</v>
      </c>
      <c r="Q745" s="20"/>
      <c r="R745" s="20"/>
      <c r="S745" s="20">
        <v>0.37</v>
      </c>
      <c r="T745" s="20">
        <v>0.32</v>
      </c>
    </row>
    <row r="746" spans="13:20" x14ac:dyDescent="0.2">
      <c r="M746" s="20">
        <v>1.0067021845324823E-2</v>
      </c>
      <c r="N746" s="20">
        <v>9.2088854407778253E-4</v>
      </c>
      <c r="O746" s="20">
        <v>9.1475766937512706E-2</v>
      </c>
      <c r="P746" s="20">
        <v>5.9999999999999831E-2</v>
      </c>
      <c r="Q746" s="20"/>
      <c r="R746" s="20"/>
      <c r="S746" s="20">
        <v>0.67</v>
      </c>
      <c r="T746" s="20">
        <v>0.27</v>
      </c>
    </row>
    <row r="747" spans="13:20" x14ac:dyDescent="0.2">
      <c r="M747" s="20">
        <v>1.4284502661387356E-2</v>
      </c>
      <c r="N747" s="20">
        <v>1.3427273369097724E-3</v>
      </c>
      <c r="O747" s="20">
        <v>9.399888597727088E-2</v>
      </c>
      <c r="P747" s="20">
        <v>0.08</v>
      </c>
      <c r="Q747" s="20">
        <v>0.61</v>
      </c>
      <c r="R747" s="20">
        <v>0.31000000000000005</v>
      </c>
      <c r="S747" s="20"/>
      <c r="T747" s="20"/>
    </row>
    <row r="748" spans="13:20" x14ac:dyDescent="0.2">
      <c r="M748" s="20">
        <v>1.1502948215793738E-2</v>
      </c>
      <c r="N748" s="20">
        <v>5.8107054189578155E-4</v>
      </c>
      <c r="O748" s="20">
        <v>5.0514922869770218E-2</v>
      </c>
      <c r="P748" s="20"/>
      <c r="Q748" s="20"/>
      <c r="R748" s="20">
        <v>0.01</v>
      </c>
      <c r="S748" s="20">
        <v>0.94</v>
      </c>
      <c r="T748" s="20">
        <v>5.0000000000000044E-2</v>
      </c>
    </row>
    <row r="749" spans="13:20" x14ac:dyDescent="0.2">
      <c r="M749" s="20">
        <v>1.906302168500059E-2</v>
      </c>
      <c r="N749" s="20">
        <v>1.2781349063581751E-3</v>
      </c>
      <c r="O749" s="20">
        <v>6.7047865101252727E-2</v>
      </c>
      <c r="P749" s="20"/>
      <c r="Q749" s="20">
        <v>1</v>
      </c>
      <c r="R749" s="20">
        <v>1.1102230246251565E-16</v>
      </c>
      <c r="S749" s="20"/>
      <c r="T749" s="20"/>
    </row>
    <row r="750" spans="13:20" x14ac:dyDescent="0.2">
      <c r="M750" s="20">
        <v>9.2513385925061583E-3</v>
      </c>
      <c r="N750" s="20">
        <v>9.4405429845258095E-4</v>
      </c>
      <c r="O750" s="20">
        <v>0.10204515692651127</v>
      </c>
      <c r="P750" s="20"/>
      <c r="Q750" s="20"/>
      <c r="R750" s="20">
        <v>0.35</v>
      </c>
      <c r="S750" s="20">
        <v>0.45</v>
      </c>
      <c r="T750" s="20">
        <v>0.19999999999999996</v>
      </c>
    </row>
    <row r="751" spans="13:20" x14ac:dyDescent="0.2">
      <c r="M751" s="20">
        <v>1.3009110546230459E-2</v>
      </c>
      <c r="N751" s="20">
        <v>2.0845028072481904E-3</v>
      </c>
      <c r="O751" s="20">
        <v>0.16023407594550723</v>
      </c>
      <c r="P751" s="20">
        <v>0.51999999999999991</v>
      </c>
      <c r="Q751" s="20"/>
      <c r="R751" s="20"/>
      <c r="S751" s="20"/>
      <c r="T751" s="20">
        <v>0.48</v>
      </c>
    </row>
    <row r="752" spans="13:20" x14ac:dyDescent="0.2">
      <c r="M752" s="20">
        <v>1.5081169588307179E-2</v>
      </c>
      <c r="N752" s="20">
        <v>1.6708986921962887E-3</v>
      </c>
      <c r="O752" s="20">
        <v>0.11079370750474019</v>
      </c>
      <c r="P752" s="20">
        <v>0.13</v>
      </c>
      <c r="Q752" s="20"/>
      <c r="R752" s="20"/>
      <c r="S752" s="20"/>
      <c r="T752" s="20">
        <v>0.87</v>
      </c>
    </row>
    <row r="753" spans="13:20" x14ac:dyDescent="0.2">
      <c r="M753" s="20">
        <v>1.0182155913553629E-2</v>
      </c>
      <c r="N753" s="20">
        <v>7.2638827849477749E-4</v>
      </c>
      <c r="O753" s="20">
        <v>7.133933959191005E-2</v>
      </c>
      <c r="P753" s="20"/>
      <c r="Q753" s="20"/>
      <c r="R753" s="20">
        <v>0.13</v>
      </c>
      <c r="S753" s="20">
        <v>0.75</v>
      </c>
      <c r="T753" s="20">
        <v>0.12</v>
      </c>
    </row>
    <row r="754" spans="13:20" x14ac:dyDescent="0.2">
      <c r="M754" s="20">
        <v>1.422980672648998E-2</v>
      </c>
      <c r="N754" s="20">
        <v>2.4883204962203747E-3</v>
      </c>
      <c r="O754" s="20">
        <v>0.17486678097940414</v>
      </c>
      <c r="P754" s="20">
        <v>0.92</v>
      </c>
      <c r="Q754" s="20">
        <v>8.0000000000000071E-2</v>
      </c>
      <c r="R754" s="20"/>
      <c r="S754" s="20"/>
      <c r="T754" s="20"/>
    </row>
    <row r="755" spans="13:20" x14ac:dyDescent="0.2">
      <c r="M755" s="20">
        <v>1.053182229541429E-2</v>
      </c>
      <c r="N755" s="20">
        <v>1.80452335041506E-3</v>
      </c>
      <c r="O755" s="20">
        <v>0.17134008719467059</v>
      </c>
      <c r="P755" s="20">
        <v>0.45</v>
      </c>
      <c r="Q755" s="20">
        <v>0.05</v>
      </c>
      <c r="R755" s="20">
        <v>0.5</v>
      </c>
      <c r="S755" s="20"/>
      <c r="T755" s="20"/>
    </row>
    <row r="756" spans="13:20" x14ac:dyDescent="0.2">
      <c r="M756" s="20">
        <v>1.3893998017793644E-2</v>
      </c>
      <c r="N756" s="20">
        <v>2.3436243930846767E-3</v>
      </c>
      <c r="O756" s="20">
        <v>0.16867890653815154</v>
      </c>
      <c r="P756" s="20">
        <v>0.81</v>
      </c>
      <c r="Q756" s="20">
        <v>0.18999999999999984</v>
      </c>
      <c r="R756" s="20"/>
      <c r="S756" s="20"/>
      <c r="T756" s="20"/>
    </row>
    <row r="757" spans="13:20" x14ac:dyDescent="0.2">
      <c r="M757" s="20">
        <v>1.2793757332040943E-2</v>
      </c>
      <c r="N757" s="20">
        <v>1.4474457264177423E-3</v>
      </c>
      <c r="O757" s="20">
        <v>0.11313687518464415</v>
      </c>
      <c r="P757" s="20">
        <v>0.10000000000000009</v>
      </c>
      <c r="Q757" s="20"/>
      <c r="R757" s="20"/>
      <c r="S757" s="20">
        <v>0.19</v>
      </c>
      <c r="T757" s="20">
        <v>0.71</v>
      </c>
    </row>
    <row r="758" spans="13:20" x14ac:dyDescent="0.2">
      <c r="M758" s="20">
        <v>1.020004936847505E-2</v>
      </c>
      <c r="N758" s="20">
        <v>8.3708479811782062E-4</v>
      </c>
      <c r="O758" s="20">
        <v>8.2066739863531496E-2</v>
      </c>
      <c r="P758" s="20"/>
      <c r="Q758" s="20"/>
      <c r="R758" s="20"/>
      <c r="S758" s="20">
        <v>0.69</v>
      </c>
      <c r="T758" s="20">
        <v>0.31000000000000005</v>
      </c>
    </row>
    <row r="759" spans="13:20" x14ac:dyDescent="0.2">
      <c r="M759" s="20">
        <v>1.0307734907029327E-2</v>
      </c>
      <c r="N759" s="20">
        <v>1.2051536069097822E-3</v>
      </c>
      <c r="O759" s="20">
        <v>0.11691740404460067</v>
      </c>
      <c r="P759" s="20">
        <v>0.28999999999999992</v>
      </c>
      <c r="Q759" s="20"/>
      <c r="R759" s="20"/>
      <c r="S759" s="20">
        <v>0.63</v>
      </c>
      <c r="T759" s="20">
        <v>0.08</v>
      </c>
    </row>
    <row r="760" spans="13:20" x14ac:dyDescent="0.2">
      <c r="M760" s="20">
        <v>1.3268784103789989E-2</v>
      </c>
      <c r="N760" s="20">
        <v>1.9784504700553957E-3</v>
      </c>
      <c r="O760" s="20">
        <v>0.14910563429020501</v>
      </c>
      <c r="P760" s="20">
        <v>0.42000000000000015</v>
      </c>
      <c r="Q760" s="20"/>
      <c r="R760" s="20"/>
      <c r="S760" s="20"/>
      <c r="T760" s="20">
        <v>0.57999999999999996</v>
      </c>
    </row>
    <row r="761" spans="13:20" x14ac:dyDescent="0.2">
      <c r="M761" s="20">
        <v>1.0663723254839674E-2</v>
      </c>
      <c r="N761" s="20">
        <v>7.5899073302636549E-4</v>
      </c>
      <c r="O761" s="20">
        <v>7.1175021602506577E-2</v>
      </c>
      <c r="P761" s="20">
        <v>5.0000000000000044E-2</v>
      </c>
      <c r="Q761" s="20"/>
      <c r="R761" s="20"/>
      <c r="S761" s="20">
        <v>0.82</v>
      </c>
      <c r="T761" s="20">
        <v>0.13</v>
      </c>
    </row>
    <row r="762" spans="13:20" x14ac:dyDescent="0.2">
      <c r="M762" s="20">
        <v>1.1668151988341317E-2</v>
      </c>
      <c r="N762" s="20">
        <v>1.1837426764188879E-3</v>
      </c>
      <c r="O762" s="20">
        <v>0.10145074195139642</v>
      </c>
      <c r="P762" s="20"/>
      <c r="Q762" s="20">
        <v>0.28000000000000003</v>
      </c>
      <c r="R762" s="20">
        <v>0.71999999999999986</v>
      </c>
      <c r="S762" s="20"/>
      <c r="T762" s="20"/>
    </row>
    <row r="763" spans="13:20" x14ac:dyDescent="0.2">
      <c r="M763" s="20">
        <v>1.3866891629986427E-2</v>
      </c>
      <c r="N763" s="20">
        <v>2.1594657163665158E-3</v>
      </c>
      <c r="O763" s="20">
        <v>0.1557281742720758</v>
      </c>
      <c r="P763" s="20">
        <v>0.67</v>
      </c>
      <c r="Q763" s="20">
        <v>0.32999999999999996</v>
      </c>
      <c r="R763" s="20"/>
      <c r="S763" s="20"/>
      <c r="T763" s="20"/>
    </row>
    <row r="764" spans="13:20" x14ac:dyDescent="0.2">
      <c r="M764" s="20">
        <v>1.3862288581503074E-2</v>
      </c>
      <c r="N764" s="20">
        <v>1.6827321373749093E-3</v>
      </c>
      <c r="O764" s="20">
        <v>0.121389201175644</v>
      </c>
      <c r="P764" s="20">
        <v>0.17</v>
      </c>
      <c r="Q764" s="20">
        <v>0.12</v>
      </c>
      <c r="R764" s="20"/>
      <c r="S764" s="20"/>
      <c r="T764" s="20">
        <v>0.71</v>
      </c>
    </row>
    <row r="765" spans="13:20" x14ac:dyDescent="0.2">
      <c r="M765" s="20">
        <v>1.0245395744649558E-2</v>
      </c>
      <c r="N765" s="20">
        <v>1.0474152085393899E-3</v>
      </c>
      <c r="O765" s="20">
        <v>0.10223277212950806</v>
      </c>
      <c r="P765" s="20"/>
      <c r="Q765" s="20"/>
      <c r="R765" s="20">
        <v>0.84</v>
      </c>
      <c r="S765" s="20">
        <v>0.16000000000000003</v>
      </c>
      <c r="T765" s="20"/>
    </row>
    <row r="766" spans="13:20" x14ac:dyDescent="0.2">
      <c r="M766" s="20">
        <v>1.0501759920311505E-2</v>
      </c>
      <c r="N766" s="20">
        <v>1.1447865961354644E-3</v>
      </c>
      <c r="O766" s="20">
        <v>0.10900902370861926</v>
      </c>
      <c r="P766" s="20"/>
      <c r="Q766" s="20">
        <v>0.17</v>
      </c>
      <c r="R766" s="20">
        <v>0.57999999999999996</v>
      </c>
      <c r="S766" s="20">
        <v>0.12</v>
      </c>
      <c r="T766" s="20">
        <v>0.12999999999999989</v>
      </c>
    </row>
    <row r="767" spans="13:20" x14ac:dyDescent="0.2">
      <c r="M767" s="20">
        <v>1.1313079208573407E-2</v>
      </c>
      <c r="N767" s="20">
        <v>5.8667558316806759E-4</v>
      </c>
      <c r="O767" s="20">
        <v>5.1858169853833118E-2</v>
      </c>
      <c r="P767" s="20"/>
      <c r="Q767" s="20"/>
      <c r="R767" s="20">
        <v>0.1</v>
      </c>
      <c r="S767" s="20">
        <v>0.9</v>
      </c>
      <c r="T767" s="20"/>
    </row>
    <row r="768" spans="13:20" x14ac:dyDescent="0.2">
      <c r="M768" s="20">
        <v>1.3704906115303794E-2</v>
      </c>
      <c r="N768" s="20">
        <v>2.4450807537036955E-3</v>
      </c>
      <c r="O768" s="20">
        <v>0.17840915750406772</v>
      </c>
      <c r="P768" s="20">
        <v>0.86</v>
      </c>
      <c r="Q768" s="20"/>
      <c r="R768" s="20"/>
      <c r="S768" s="20"/>
      <c r="T768" s="20">
        <v>0.14000000000000001</v>
      </c>
    </row>
    <row r="769" spans="13:20" x14ac:dyDescent="0.2">
      <c r="M769" s="20">
        <v>1.2373519109814901E-2</v>
      </c>
      <c r="N769" s="20">
        <v>2.2371681788541254E-3</v>
      </c>
      <c r="O769" s="20">
        <v>0.18080290328072979</v>
      </c>
      <c r="P769" s="20">
        <v>0.75</v>
      </c>
      <c r="Q769" s="20">
        <v>0.04</v>
      </c>
      <c r="R769" s="20">
        <v>0.20999999999999996</v>
      </c>
      <c r="S769" s="20"/>
      <c r="T769" s="20"/>
    </row>
    <row r="770" spans="13:20" x14ac:dyDescent="0.2">
      <c r="M770" s="20">
        <v>9.4323959889134439E-3</v>
      </c>
      <c r="N770" s="20">
        <v>8.8951210825286768E-4</v>
      </c>
      <c r="O770" s="20">
        <v>9.4303940303012479E-2</v>
      </c>
      <c r="P770" s="20"/>
      <c r="Q770" s="20"/>
      <c r="R770" s="20">
        <v>0.23</v>
      </c>
      <c r="S770" s="20">
        <v>0.55000000000000004</v>
      </c>
      <c r="T770" s="20">
        <v>0.21999999999999997</v>
      </c>
    </row>
    <row r="771" spans="13:20" x14ac:dyDescent="0.2">
      <c r="M771" s="20">
        <v>1.1961157535285134E-2</v>
      </c>
      <c r="N771" s="20">
        <v>2.1648422069153474E-3</v>
      </c>
      <c r="O771" s="20">
        <v>0.18098935663451582</v>
      </c>
      <c r="P771" s="20">
        <v>0.7</v>
      </c>
      <c r="Q771" s="20">
        <v>0.04</v>
      </c>
      <c r="R771" s="20">
        <v>0.26</v>
      </c>
      <c r="S771" s="20"/>
      <c r="T771" s="20"/>
    </row>
    <row r="772" spans="13:20" x14ac:dyDescent="0.2">
      <c r="M772" s="20">
        <v>1.0306551326648743E-2</v>
      </c>
      <c r="N772" s="20">
        <v>1.452412349612573E-3</v>
      </c>
      <c r="O772" s="20">
        <v>0.14092127459329659</v>
      </c>
      <c r="P772" s="20">
        <v>0.3899999999999999</v>
      </c>
      <c r="Q772" s="20"/>
      <c r="R772" s="20"/>
      <c r="S772" s="20">
        <v>0.49</v>
      </c>
      <c r="T772" s="20">
        <v>0.12</v>
      </c>
    </row>
    <row r="773" spans="13:20" x14ac:dyDescent="0.2">
      <c r="M773" s="20">
        <v>1.0640292918049975E-2</v>
      </c>
      <c r="N773" s="20">
        <v>1.5873730583011881E-3</v>
      </c>
      <c r="O773" s="20">
        <v>0.14918509015935086</v>
      </c>
      <c r="P773" s="20">
        <v>0.37</v>
      </c>
      <c r="Q773" s="20">
        <v>6.0000000000000053E-2</v>
      </c>
      <c r="R773" s="20"/>
      <c r="S773" s="20">
        <v>0.32</v>
      </c>
      <c r="T773" s="20">
        <v>0.25</v>
      </c>
    </row>
    <row r="774" spans="13:20" x14ac:dyDescent="0.2">
      <c r="M774" s="20">
        <v>1.1155032780301373E-2</v>
      </c>
      <c r="N774" s="20">
        <v>6.252751898528278E-4</v>
      </c>
      <c r="O774" s="20">
        <v>5.6053191610247778E-2</v>
      </c>
      <c r="P774" s="20"/>
      <c r="Q774" s="20"/>
      <c r="R774" s="20"/>
      <c r="S774" s="20">
        <v>0.9</v>
      </c>
      <c r="T774" s="20">
        <v>0.10000000000000009</v>
      </c>
    </row>
    <row r="775" spans="13:20" x14ac:dyDescent="0.2">
      <c r="M775" s="20">
        <v>1.1146564562637018E-2</v>
      </c>
      <c r="N775" s="20">
        <v>1.088930407572104E-3</v>
      </c>
      <c r="O775" s="20">
        <v>9.7692019945066239E-2</v>
      </c>
      <c r="P775" s="20">
        <v>7.0000000000000173E-2</v>
      </c>
      <c r="Q775" s="20">
        <v>0.27</v>
      </c>
      <c r="R775" s="20">
        <v>0.25</v>
      </c>
      <c r="S775" s="20">
        <v>0.35</v>
      </c>
      <c r="T775" s="20">
        <v>0.06</v>
      </c>
    </row>
    <row r="776" spans="13:20" x14ac:dyDescent="0.2">
      <c r="M776" s="20">
        <v>1.2990288880520688E-2</v>
      </c>
      <c r="N776" s="20">
        <v>2.2997218530166038E-3</v>
      </c>
      <c r="O776" s="20">
        <v>0.17703392697179374</v>
      </c>
      <c r="P776" s="20">
        <v>0.77999999999999992</v>
      </c>
      <c r="Q776" s="20"/>
      <c r="R776" s="20"/>
      <c r="S776" s="20">
        <v>0.06</v>
      </c>
      <c r="T776" s="20">
        <v>0.16</v>
      </c>
    </row>
    <row r="777" spans="13:20" x14ac:dyDescent="0.2">
      <c r="M777" s="20">
        <v>1.0903051617023381E-2</v>
      </c>
      <c r="N777" s="20">
        <v>1.2097891430996634E-3</v>
      </c>
      <c r="O777" s="20">
        <v>0.11095876508653504</v>
      </c>
      <c r="P777" s="20"/>
      <c r="Q777" s="20">
        <v>0.19</v>
      </c>
      <c r="R777" s="20">
        <v>0.32</v>
      </c>
      <c r="S777" s="20">
        <v>0.15</v>
      </c>
      <c r="T777" s="20">
        <v>0.33999999999999997</v>
      </c>
    </row>
    <row r="778" spans="13:20" x14ac:dyDescent="0.2">
      <c r="M778" s="20">
        <v>1.1534413402383682E-2</v>
      </c>
      <c r="N778" s="20">
        <v>1.6913661019611721E-3</v>
      </c>
      <c r="O778" s="20">
        <v>0.14663650789659033</v>
      </c>
      <c r="P778" s="20">
        <v>0.33000000000000018</v>
      </c>
      <c r="Q778" s="20"/>
      <c r="R778" s="20"/>
      <c r="S778" s="20">
        <v>0.19</v>
      </c>
      <c r="T778" s="20">
        <v>0.48</v>
      </c>
    </row>
    <row r="779" spans="13:20" x14ac:dyDescent="0.2">
      <c r="M779" s="20">
        <v>1.1166187997186647E-2</v>
      </c>
      <c r="N779" s="20">
        <v>1.5671080106352828E-3</v>
      </c>
      <c r="O779" s="20">
        <v>0.14034404678034437</v>
      </c>
      <c r="P779" s="20">
        <v>0.27</v>
      </c>
      <c r="Q779" s="20">
        <v>4.0000000000000036E-2</v>
      </c>
      <c r="R779" s="20"/>
      <c r="S779" s="20">
        <v>0.24</v>
      </c>
      <c r="T779" s="20">
        <v>0.45</v>
      </c>
    </row>
    <row r="780" spans="13:20" x14ac:dyDescent="0.2">
      <c r="M780" s="20">
        <v>9.8517444126806422E-3</v>
      </c>
      <c r="N780" s="20">
        <v>9.8515309700272476E-4</v>
      </c>
      <c r="O780" s="20">
        <v>9.9997833453199209E-2</v>
      </c>
      <c r="P780" s="20"/>
      <c r="Q780" s="20"/>
      <c r="R780" s="20">
        <v>0.74</v>
      </c>
      <c r="S780" s="20">
        <v>0.2599999999999999</v>
      </c>
      <c r="T780" s="20"/>
    </row>
    <row r="781" spans="13:20" x14ac:dyDescent="0.2">
      <c r="M781" s="20">
        <v>1.3524957073238543E-2</v>
      </c>
      <c r="N781" s="20">
        <v>1.8688452986357789E-3</v>
      </c>
      <c r="O781" s="20">
        <v>0.13817754012200242</v>
      </c>
      <c r="P781" s="20">
        <v>0.42</v>
      </c>
      <c r="Q781" s="20">
        <v>0.43000000000000005</v>
      </c>
      <c r="R781" s="20"/>
      <c r="S781" s="20"/>
      <c r="T781" s="20">
        <v>0.15</v>
      </c>
    </row>
    <row r="782" spans="13:20" x14ac:dyDescent="0.2">
      <c r="M782" s="20">
        <v>6.8849376323285322E-3</v>
      </c>
      <c r="N782" s="20">
        <v>7.7689662249856789E-4</v>
      </c>
      <c r="O782" s="20">
        <v>0.11284003777327119</v>
      </c>
      <c r="P782" s="20">
        <v>0.15</v>
      </c>
      <c r="Q782" s="20">
        <v>0.08</v>
      </c>
      <c r="R782" s="20">
        <v>0</v>
      </c>
      <c r="S782" s="20">
        <v>0.34</v>
      </c>
      <c r="T782" s="20">
        <v>7.0000000000000007E-2</v>
      </c>
    </row>
    <row r="783" spans="13:20" x14ac:dyDescent="0.2">
      <c r="M783" s="20">
        <v>9.7649949534561343E-3</v>
      </c>
      <c r="N783" s="20">
        <v>9.6647446354172523E-4</v>
      </c>
      <c r="O783" s="20">
        <v>9.8973370508467079E-2</v>
      </c>
      <c r="P783" s="20"/>
      <c r="Q783" s="20"/>
      <c r="R783" s="20">
        <v>0.71</v>
      </c>
      <c r="S783" s="20">
        <v>0.29000000000000004</v>
      </c>
      <c r="T783" s="20"/>
    </row>
    <row r="784" spans="13:20" x14ac:dyDescent="0.2">
      <c r="M784" s="20">
        <v>1.173190785472342E-2</v>
      </c>
      <c r="N784" s="20">
        <v>1.2525844323368553E-3</v>
      </c>
      <c r="O784" s="20">
        <v>0.10676732615424935</v>
      </c>
      <c r="P784" s="20">
        <v>0.04</v>
      </c>
      <c r="Q784" s="20">
        <v>4.0000000000000036E-2</v>
      </c>
      <c r="R784" s="20"/>
      <c r="S784" s="20">
        <v>0.31</v>
      </c>
      <c r="T784" s="20">
        <v>0.61</v>
      </c>
    </row>
    <row r="785" spans="13:20" x14ac:dyDescent="0.2">
      <c r="M785" s="20">
        <v>1.4367156485985239E-2</v>
      </c>
      <c r="N785" s="20">
        <v>2.5277830698028371E-3</v>
      </c>
      <c r="O785" s="20">
        <v>0.17594177889470466</v>
      </c>
      <c r="P785" s="20">
        <v>0.95</v>
      </c>
      <c r="Q785" s="20">
        <v>5.0000000000000044E-2</v>
      </c>
      <c r="R785" s="20"/>
      <c r="S785" s="20"/>
      <c r="T785" s="20"/>
    </row>
    <row r="786" spans="13:20" x14ac:dyDescent="0.2">
      <c r="M786" s="20">
        <v>1.0688621248473359E-2</v>
      </c>
      <c r="N786" s="20">
        <v>1.0175993720284156E-3</v>
      </c>
      <c r="O786" s="20">
        <v>9.5203988276201468E-2</v>
      </c>
      <c r="P786" s="20"/>
      <c r="Q786" s="20">
        <v>0.2</v>
      </c>
      <c r="R786" s="20">
        <v>0.55000000000000004</v>
      </c>
      <c r="S786" s="20">
        <v>0.25</v>
      </c>
      <c r="T786" s="20"/>
    </row>
    <row r="787" spans="13:20" x14ac:dyDescent="0.2">
      <c r="M787" s="20">
        <v>9.5408883757678985E-3</v>
      </c>
      <c r="N787" s="20">
        <v>1.0354100200867275E-3</v>
      </c>
      <c r="O787" s="20">
        <v>0.10852343925503609</v>
      </c>
      <c r="P787" s="20"/>
      <c r="Q787" s="20">
        <v>0.05</v>
      </c>
      <c r="R787" s="20">
        <v>0.42</v>
      </c>
      <c r="S787" s="20">
        <v>0.32</v>
      </c>
      <c r="T787" s="20">
        <v>0.20999999999999985</v>
      </c>
    </row>
    <row r="788" spans="13:20" x14ac:dyDescent="0.2">
      <c r="M788" s="20">
        <v>1.0729014215921741E-2</v>
      </c>
      <c r="N788" s="20">
        <v>6.4271148355106629E-4</v>
      </c>
      <c r="O788" s="20">
        <v>5.9904057410725527E-2</v>
      </c>
      <c r="P788" s="20"/>
      <c r="Q788" s="20"/>
      <c r="R788" s="20">
        <v>0.19</v>
      </c>
      <c r="S788" s="20">
        <v>0.81</v>
      </c>
      <c r="T788" s="20"/>
    </row>
    <row r="789" spans="13:20" x14ac:dyDescent="0.2">
      <c r="M789" s="20">
        <v>1.5757614238489259E-2</v>
      </c>
      <c r="N789" s="20">
        <v>1.6859148333769594E-3</v>
      </c>
      <c r="O789" s="20">
        <v>0.10699048776425653</v>
      </c>
      <c r="P789" s="20">
        <v>0.31</v>
      </c>
      <c r="Q789" s="20">
        <v>0.69</v>
      </c>
      <c r="R789" s="20"/>
      <c r="S789" s="20"/>
      <c r="T789" s="20"/>
    </row>
    <row r="790" spans="13:20" x14ac:dyDescent="0.2">
      <c r="M790" s="20">
        <v>1.0237955221876791E-2</v>
      </c>
      <c r="N790" s="20">
        <v>9.1777417269496087E-4</v>
      </c>
      <c r="O790" s="20">
        <v>8.9644284703827529E-2</v>
      </c>
      <c r="P790" s="20"/>
      <c r="Q790" s="20"/>
      <c r="R790" s="20"/>
      <c r="S790" s="20">
        <v>0.61</v>
      </c>
      <c r="T790" s="20">
        <v>0.39000000000000012</v>
      </c>
    </row>
    <row r="791" spans="13:20" x14ac:dyDescent="0.2">
      <c r="M791" s="20">
        <v>1.4227492800594425E-2</v>
      </c>
      <c r="N791" s="20">
        <v>1.7875562631083635E-3</v>
      </c>
      <c r="O791" s="20">
        <v>0.12564098876463176</v>
      </c>
      <c r="P791" s="20">
        <v>0.23999999999999988</v>
      </c>
      <c r="Q791" s="20"/>
      <c r="R791" s="20"/>
      <c r="S791" s="20"/>
      <c r="T791" s="20">
        <v>0.76</v>
      </c>
    </row>
    <row r="792" spans="13:20" x14ac:dyDescent="0.2">
      <c r="M792" s="20">
        <v>1.0033226412641778E-2</v>
      </c>
      <c r="N792" s="20">
        <v>1.3569652461390574E-3</v>
      </c>
      <c r="O792" s="20">
        <v>0.13524714686287684</v>
      </c>
      <c r="P792" s="20">
        <v>0.30000000000000004</v>
      </c>
      <c r="Q792" s="20"/>
      <c r="R792" s="20"/>
      <c r="S792" s="20">
        <v>0.49</v>
      </c>
      <c r="T792" s="20">
        <v>0.21</v>
      </c>
    </row>
    <row r="793" spans="13:20" x14ac:dyDescent="0.2">
      <c r="M793" s="20">
        <v>1.0977548684537796E-2</v>
      </c>
      <c r="N793" s="20">
        <v>1.0791529218492409E-3</v>
      </c>
      <c r="O793" s="20">
        <v>9.830545533077524E-2</v>
      </c>
      <c r="P793" s="20"/>
      <c r="Q793" s="20"/>
      <c r="R793" s="20"/>
      <c r="S793" s="20">
        <v>0.45</v>
      </c>
      <c r="T793" s="20">
        <v>0.54999999999999993</v>
      </c>
    </row>
    <row r="794" spans="13:20" x14ac:dyDescent="0.2">
      <c r="M794" s="20">
        <v>1.1078226110210934E-2</v>
      </c>
      <c r="N794" s="20">
        <v>6.353613616749699E-4</v>
      </c>
      <c r="O794" s="20">
        <v>5.7352265187054607E-2</v>
      </c>
      <c r="P794" s="20"/>
      <c r="Q794" s="20"/>
      <c r="R794" s="20"/>
      <c r="S794" s="20">
        <v>0.89</v>
      </c>
      <c r="T794" s="20">
        <v>0.10999999999999988</v>
      </c>
    </row>
    <row r="795" spans="13:20" x14ac:dyDescent="0.2">
      <c r="M795" s="20">
        <v>1.4183944142920537E-2</v>
      </c>
      <c r="N795" s="20">
        <v>9.2617903360945469E-4</v>
      </c>
      <c r="O795" s="20">
        <v>6.5297707342687708E-2</v>
      </c>
      <c r="P795" s="20"/>
      <c r="Q795" s="20">
        <v>0.5</v>
      </c>
      <c r="R795" s="20">
        <v>0.04</v>
      </c>
      <c r="S795" s="20">
        <v>0.45999999999999996</v>
      </c>
      <c r="T795" s="20"/>
    </row>
    <row r="796" spans="13:20" x14ac:dyDescent="0.2">
      <c r="M796" s="20">
        <v>1.3826620564832233E-2</v>
      </c>
      <c r="N796" s="20">
        <v>2.2646992459197505E-3</v>
      </c>
      <c r="O796" s="20">
        <v>0.16379268059759833</v>
      </c>
      <c r="P796" s="20">
        <v>0.75</v>
      </c>
      <c r="Q796" s="20">
        <v>0.25</v>
      </c>
      <c r="R796" s="20"/>
      <c r="S796" s="20"/>
      <c r="T796" s="20"/>
    </row>
    <row r="797" spans="13:20" x14ac:dyDescent="0.2">
      <c r="M797" s="20">
        <v>1.3958733968459012E-2</v>
      </c>
      <c r="N797" s="20">
        <v>2.3830869666671395E-3</v>
      </c>
      <c r="O797" s="20">
        <v>0.17072371835812147</v>
      </c>
      <c r="P797" s="20">
        <v>0.84</v>
      </c>
      <c r="Q797" s="20">
        <v>0.16000000000000014</v>
      </c>
      <c r="R797" s="20"/>
      <c r="S797" s="20"/>
      <c r="T797" s="20"/>
    </row>
    <row r="798" spans="13:20" x14ac:dyDescent="0.2">
      <c r="M798" s="20">
        <v>1.3902640725373946E-2</v>
      </c>
      <c r="N798" s="20">
        <v>1.8405824317047612E-3</v>
      </c>
      <c r="O798" s="20">
        <v>0.13239085063497921</v>
      </c>
      <c r="P798" s="20">
        <v>0.29000000000000004</v>
      </c>
      <c r="Q798" s="20"/>
      <c r="R798" s="20"/>
      <c r="S798" s="20"/>
      <c r="T798" s="20">
        <v>0.71</v>
      </c>
    </row>
    <row r="799" spans="13:20" x14ac:dyDescent="0.2">
      <c r="M799" s="20">
        <v>1.2729269205409699E-2</v>
      </c>
      <c r="N799" s="20">
        <v>1.9347087891627434E-3</v>
      </c>
      <c r="O799" s="20">
        <v>0.15198899150789652</v>
      </c>
      <c r="P799" s="20">
        <v>0.41</v>
      </c>
      <c r="Q799" s="20">
        <v>0.13</v>
      </c>
      <c r="R799" s="20"/>
      <c r="S799" s="20"/>
      <c r="T799" s="20">
        <v>0.46</v>
      </c>
    </row>
    <row r="800" spans="13:20" x14ac:dyDescent="0.2">
      <c r="M800" s="20">
        <v>1.0725350755565655E-2</v>
      </c>
      <c r="N800" s="20">
        <v>1.1034511089223886E-3</v>
      </c>
      <c r="O800" s="20">
        <v>0.10288251956233505</v>
      </c>
      <c r="P800" s="20"/>
      <c r="Q800" s="20"/>
      <c r="R800" s="20">
        <v>0.93</v>
      </c>
      <c r="S800" s="20">
        <v>6.9999999999999951E-2</v>
      </c>
      <c r="T800" s="20"/>
    </row>
    <row r="801" spans="13:20" x14ac:dyDescent="0.2">
      <c r="M801" s="20">
        <v>9.9894402387009865E-3</v>
      </c>
      <c r="N801" s="20">
        <v>1.0465941630177266E-3</v>
      </c>
      <c r="O801" s="20">
        <v>0.10477005097473054</v>
      </c>
      <c r="P801" s="20">
        <v>0.15000000000000013</v>
      </c>
      <c r="Q801" s="20"/>
      <c r="R801" s="20"/>
      <c r="S801" s="20">
        <v>0.64</v>
      </c>
      <c r="T801" s="20">
        <v>0.21</v>
      </c>
    </row>
    <row r="802" spans="13:20" x14ac:dyDescent="0.2">
      <c r="M802" s="20">
        <v>1.6301105982438266E-2</v>
      </c>
      <c r="N802" s="20">
        <v>1.5330306538456546E-3</v>
      </c>
      <c r="O802" s="20">
        <v>9.4044579275617268E-2</v>
      </c>
      <c r="P802" s="20">
        <v>0</v>
      </c>
      <c r="Q802" s="20"/>
      <c r="R802" s="20"/>
      <c r="S802" s="20"/>
      <c r="T802" s="20">
        <v>1</v>
      </c>
    </row>
    <row r="803" spans="13:20" x14ac:dyDescent="0.2">
      <c r="M803" s="20">
        <v>1.2638399329780453E-2</v>
      </c>
      <c r="N803" s="20">
        <v>1.8285128857811193E-3</v>
      </c>
      <c r="O803" s="20">
        <v>0.14467915105930451</v>
      </c>
      <c r="P803" s="20">
        <v>0.51</v>
      </c>
      <c r="Q803" s="20">
        <v>0.28999999999999992</v>
      </c>
      <c r="R803" s="20"/>
      <c r="S803" s="20">
        <v>0.17</v>
      </c>
      <c r="T803" s="20">
        <v>0.03</v>
      </c>
    </row>
    <row r="804" spans="13:20" x14ac:dyDescent="0.2">
      <c r="M804" s="20">
        <v>1.0248298050818193E-2</v>
      </c>
      <c r="N804" s="20">
        <v>6.9874738393406498E-4</v>
      </c>
      <c r="O804" s="20">
        <v>6.8181797647686407E-2</v>
      </c>
      <c r="P804" s="20"/>
      <c r="Q804" s="20"/>
      <c r="R804" s="20">
        <v>0.28000000000000003</v>
      </c>
      <c r="S804" s="20">
        <v>0.72000000000000008</v>
      </c>
      <c r="T804" s="20"/>
    </row>
    <row r="805" spans="13:20" x14ac:dyDescent="0.2">
      <c r="M805" s="20">
        <v>1.0555765828257549E-2</v>
      </c>
      <c r="N805" s="20">
        <v>1.33594014200092E-3</v>
      </c>
      <c r="O805" s="20">
        <v>0.12656022914269641</v>
      </c>
      <c r="P805" s="20">
        <v>0.13000000000000023</v>
      </c>
      <c r="Q805" s="20"/>
      <c r="R805" s="20">
        <v>0.11</v>
      </c>
      <c r="S805" s="20">
        <v>0.28999999999999998</v>
      </c>
      <c r="T805" s="20">
        <v>0.47</v>
      </c>
    </row>
    <row r="806" spans="13:20" x14ac:dyDescent="0.2">
      <c r="M806" s="20">
        <v>1.049835125197526E-2</v>
      </c>
      <c r="N806" s="20">
        <v>1.0785462643077225E-3</v>
      </c>
      <c r="O806" s="20">
        <v>0.10273482363288183</v>
      </c>
      <c r="P806" s="20"/>
      <c r="Q806" s="20"/>
      <c r="R806" s="20">
        <v>0.89</v>
      </c>
      <c r="S806" s="20">
        <v>0.1100000000000001</v>
      </c>
      <c r="T806" s="20"/>
    </row>
    <row r="807" spans="13:20" x14ac:dyDescent="0.2">
      <c r="M807" s="20">
        <v>9.7581295475757824E-3</v>
      </c>
      <c r="N807" s="20">
        <v>8.7531460534172475E-4</v>
      </c>
      <c r="O807" s="20">
        <v>8.9701064233071157E-2</v>
      </c>
      <c r="P807" s="20"/>
      <c r="Q807" s="20"/>
      <c r="R807" s="20">
        <v>0.11</v>
      </c>
      <c r="S807" s="20">
        <v>0.61</v>
      </c>
      <c r="T807" s="20">
        <v>0.28000000000000003</v>
      </c>
    </row>
    <row r="808" spans="13:20" x14ac:dyDescent="0.2">
      <c r="M808" s="20">
        <v>1.313164794902149E-2</v>
      </c>
      <c r="N808" s="20">
        <v>2.0016595812948059E-3</v>
      </c>
      <c r="O808" s="20">
        <v>0.1524301891937303</v>
      </c>
      <c r="P808" s="20">
        <v>0.56000000000000005</v>
      </c>
      <c r="Q808" s="20">
        <v>0.34</v>
      </c>
      <c r="R808" s="20">
        <v>9.9999999999999978E-2</v>
      </c>
      <c r="S808" s="20"/>
      <c r="T808" s="20"/>
    </row>
    <row r="809" spans="13:20" x14ac:dyDescent="0.2">
      <c r="M809" s="20">
        <v>1.0071806873128789E-2</v>
      </c>
      <c r="N809" s="20">
        <v>7.2365222854873102E-4</v>
      </c>
      <c r="O809" s="20">
        <v>7.1849295530021395E-2</v>
      </c>
      <c r="P809" s="20"/>
      <c r="Q809" s="20"/>
      <c r="R809" s="20">
        <v>0.32</v>
      </c>
      <c r="S809" s="20">
        <v>0.68</v>
      </c>
      <c r="T809" s="20"/>
    </row>
    <row r="810" spans="13:20" x14ac:dyDescent="0.2">
      <c r="M810" s="20">
        <v>1.4637253852239254E-2</v>
      </c>
      <c r="N810" s="20">
        <v>2.593554025773609E-3</v>
      </c>
      <c r="O810" s="20">
        <v>0.17718856637693953</v>
      </c>
      <c r="P810" s="20">
        <v>1</v>
      </c>
      <c r="Q810" s="20">
        <v>0</v>
      </c>
      <c r="R810" s="20"/>
      <c r="S810" s="20"/>
      <c r="T810" s="20"/>
    </row>
    <row r="811" spans="13:20" x14ac:dyDescent="0.2">
      <c r="M811" s="20">
        <v>1.159620142516552E-2</v>
      </c>
      <c r="N811" s="20">
        <v>1.0498093768198081E-3</v>
      </c>
      <c r="O811" s="20">
        <v>9.0530453751998669E-2</v>
      </c>
      <c r="P811" s="20">
        <v>0.02</v>
      </c>
      <c r="Q811" s="20">
        <v>0.32</v>
      </c>
      <c r="R811" s="20">
        <v>0.39</v>
      </c>
      <c r="S811" s="20">
        <v>0.27</v>
      </c>
      <c r="T811" s="20"/>
    </row>
    <row r="812" spans="13:20" x14ac:dyDescent="0.2">
      <c r="M812" s="20">
        <v>1.1685438589619162E-2</v>
      </c>
      <c r="N812" s="20">
        <v>1.950563268298114E-3</v>
      </c>
      <c r="O812" s="20">
        <v>0.16692255522449195</v>
      </c>
      <c r="P812" s="20">
        <v>0.66</v>
      </c>
      <c r="Q812" s="20"/>
      <c r="R812" s="20"/>
      <c r="S812" s="20">
        <v>0.28000000000000003</v>
      </c>
      <c r="T812" s="20">
        <v>0.06</v>
      </c>
    </row>
    <row r="813" spans="13:20" x14ac:dyDescent="0.2">
      <c r="M813" s="20">
        <v>1.4367450600776129E-2</v>
      </c>
      <c r="N813" s="20">
        <v>1.1771960925783958E-3</v>
      </c>
      <c r="O813" s="20">
        <v>8.1934932319503079E-2</v>
      </c>
      <c r="P813" s="20"/>
      <c r="Q813" s="20">
        <v>0.61</v>
      </c>
      <c r="R813" s="20">
        <v>0.31</v>
      </c>
      <c r="S813" s="20">
        <v>8.0000000000000071E-2</v>
      </c>
      <c r="T813" s="20"/>
    </row>
    <row r="814" spans="13:20" x14ac:dyDescent="0.2">
      <c r="M814" s="20">
        <v>1.1136879733501909E-2</v>
      </c>
      <c r="N814" s="20">
        <v>1.0926427106867532E-3</v>
      </c>
      <c r="O814" s="20">
        <v>9.8110308886596886E-2</v>
      </c>
      <c r="P814" s="20"/>
      <c r="Q814" s="20">
        <v>0.25</v>
      </c>
      <c r="R814" s="20">
        <v>0.61</v>
      </c>
      <c r="S814" s="20">
        <v>0.14000000000000012</v>
      </c>
      <c r="T814" s="20"/>
    </row>
    <row r="815" spans="13:20" x14ac:dyDescent="0.2">
      <c r="M815" s="20">
        <v>1.1535577892675369E-2</v>
      </c>
      <c r="N815" s="20">
        <v>1.9637790364119131E-3</v>
      </c>
      <c r="O815" s="20">
        <v>0.17023672803239739</v>
      </c>
      <c r="P815" s="20">
        <v>0.55000000000000004</v>
      </c>
      <c r="Q815" s="20">
        <v>0.14999999999999991</v>
      </c>
      <c r="R815" s="20">
        <v>0.27</v>
      </c>
      <c r="S815" s="20">
        <v>0.01</v>
      </c>
      <c r="T815" s="20">
        <v>0.02</v>
      </c>
    </row>
    <row r="816" spans="13:20" x14ac:dyDescent="0.2">
      <c r="M816" s="20">
        <v>1.0909084634781437E-2</v>
      </c>
      <c r="N816" s="20">
        <v>1.122129742383388E-3</v>
      </c>
      <c r="O816" s="20">
        <v>0.10286195221235167</v>
      </c>
      <c r="P816" s="20"/>
      <c r="Q816" s="20"/>
      <c r="R816" s="20">
        <v>0.96</v>
      </c>
      <c r="S816" s="20">
        <v>3.9999999999999925E-2</v>
      </c>
      <c r="T816" s="20"/>
    </row>
    <row r="817" spans="13:20" x14ac:dyDescent="0.2">
      <c r="M817" s="20">
        <v>1.2901282973642719E-2</v>
      </c>
      <c r="N817" s="20">
        <v>1.766253261113612E-3</v>
      </c>
      <c r="O817" s="20">
        <v>0.13690524149590874</v>
      </c>
      <c r="P817" s="20">
        <v>0.28000000000000003</v>
      </c>
      <c r="Q817" s="20">
        <v>0.25</v>
      </c>
      <c r="R817" s="20"/>
      <c r="S817" s="20"/>
      <c r="T817" s="20">
        <v>0.47</v>
      </c>
    </row>
    <row r="818" spans="13:20" x14ac:dyDescent="0.2">
      <c r="M818" s="20">
        <v>9.6072504934051357E-3</v>
      </c>
      <c r="N818" s="20">
        <v>1.0416772258869107E-3</v>
      </c>
      <c r="O818" s="20">
        <v>0.10842615445511351</v>
      </c>
      <c r="P818" s="20"/>
      <c r="Q818" s="20"/>
      <c r="R818" s="20">
        <v>0.28000000000000003</v>
      </c>
      <c r="S818" s="20">
        <v>0.38</v>
      </c>
      <c r="T818" s="20">
        <v>0.34000000000000008</v>
      </c>
    </row>
    <row r="819" spans="13:20" x14ac:dyDescent="0.2">
      <c r="M819" s="20">
        <v>1.2994685620591234E-2</v>
      </c>
      <c r="N819" s="20">
        <v>2.0951080409674708E-3</v>
      </c>
      <c r="O819" s="20">
        <v>0.16122806677581994</v>
      </c>
      <c r="P819" s="20">
        <v>0.53000000000000014</v>
      </c>
      <c r="Q819" s="20"/>
      <c r="R819" s="20"/>
      <c r="S819" s="20"/>
      <c r="T819" s="20">
        <v>0.47</v>
      </c>
    </row>
    <row r="820" spans="13:20" x14ac:dyDescent="0.2">
      <c r="M820" s="20">
        <v>1.4593023709096226E-2</v>
      </c>
      <c r="N820" s="20">
        <v>1.7345300945119657E-3</v>
      </c>
      <c r="O820" s="20">
        <v>0.11886022589210118</v>
      </c>
      <c r="P820" s="20">
        <v>0.18999999999999984</v>
      </c>
      <c r="Q820" s="20"/>
      <c r="R820" s="20"/>
      <c r="S820" s="20"/>
      <c r="T820" s="20">
        <v>0.81</v>
      </c>
    </row>
    <row r="821" spans="13:20" x14ac:dyDescent="0.2">
      <c r="M821" s="20">
        <v>9.9933207079883832E-3</v>
      </c>
      <c r="N821" s="20">
        <v>9.9301911616433199E-4</v>
      </c>
      <c r="O821" s="20">
        <v>9.936828259404705E-2</v>
      </c>
      <c r="P821" s="20"/>
      <c r="Q821" s="20">
        <v>0.06</v>
      </c>
      <c r="R821" s="20">
        <v>0.68</v>
      </c>
      <c r="S821" s="20">
        <v>0.26000000000000012</v>
      </c>
      <c r="T821" s="20"/>
    </row>
    <row r="822" spans="13:20" x14ac:dyDescent="0.2">
      <c r="M822" s="20">
        <v>1.4013216223519354E-2</v>
      </c>
      <c r="N822" s="20">
        <v>2.4093953490554481E-3</v>
      </c>
      <c r="O822" s="20">
        <v>0.17193735618034586</v>
      </c>
      <c r="P822" s="20">
        <v>0.86</v>
      </c>
      <c r="Q822" s="20">
        <v>0.1399999999999999</v>
      </c>
      <c r="R822" s="20"/>
      <c r="S822" s="20"/>
      <c r="T822" s="20"/>
    </row>
    <row r="823" spans="13:20" x14ac:dyDescent="0.2">
      <c r="M823" s="20">
        <v>1.2956551174077428E-2</v>
      </c>
      <c r="N823" s="20">
        <v>2.1799499107217064E-3</v>
      </c>
      <c r="O823" s="20">
        <v>0.16825078536973631</v>
      </c>
      <c r="P823" s="20">
        <v>0.60999999999999988</v>
      </c>
      <c r="Q823" s="20"/>
      <c r="R823" s="20"/>
      <c r="S823" s="20"/>
      <c r="T823" s="20">
        <v>0.39</v>
      </c>
    </row>
    <row r="824" spans="13:20" x14ac:dyDescent="0.2">
      <c r="M824" s="20">
        <v>1.3701390154798274E-2</v>
      </c>
      <c r="N824" s="20">
        <v>1.675085264950285E-3</v>
      </c>
      <c r="O824" s="20">
        <v>0.12225659192426284</v>
      </c>
      <c r="P824" s="20">
        <v>0.17</v>
      </c>
      <c r="Q824" s="20">
        <v>0.14999999999999991</v>
      </c>
      <c r="R824" s="20"/>
      <c r="S824" s="20"/>
      <c r="T824" s="20">
        <v>0.68</v>
      </c>
    </row>
    <row r="825" spans="13:20" x14ac:dyDescent="0.2">
      <c r="M825" s="20">
        <v>1.2683010246434709E-2</v>
      </c>
      <c r="N825" s="20">
        <v>1.6665222012426529E-3</v>
      </c>
      <c r="O825" s="20">
        <v>0.13139800164642498</v>
      </c>
      <c r="P825" s="20">
        <v>0.23999999999999988</v>
      </c>
      <c r="Q825" s="20"/>
      <c r="R825" s="20"/>
      <c r="S825" s="20">
        <v>0.12</v>
      </c>
      <c r="T825" s="20">
        <v>0.64</v>
      </c>
    </row>
    <row r="826" spans="13:20" x14ac:dyDescent="0.2">
      <c r="M826" s="20">
        <v>1.0220621362782867E-2</v>
      </c>
      <c r="N826" s="20">
        <v>9.0768800087281812E-4</v>
      </c>
      <c r="O826" s="20">
        <v>8.88094733827096E-2</v>
      </c>
      <c r="P826" s="20"/>
      <c r="Q826" s="20"/>
      <c r="R826" s="20"/>
      <c r="S826" s="20">
        <v>0.62</v>
      </c>
      <c r="T826" s="20">
        <v>0.37999999999999989</v>
      </c>
    </row>
    <row r="827" spans="13:20" x14ac:dyDescent="0.2">
      <c r="M827" s="20">
        <v>1.0737864322713711E-2</v>
      </c>
      <c r="N827" s="20">
        <v>1.4242300817346935E-3</v>
      </c>
      <c r="O827" s="20">
        <v>0.13263625232459231</v>
      </c>
      <c r="P827" s="20">
        <v>0.42999999999999994</v>
      </c>
      <c r="Q827" s="20"/>
      <c r="R827" s="20"/>
      <c r="S827" s="20">
        <v>0.56000000000000005</v>
      </c>
      <c r="T827" s="20">
        <v>0.01</v>
      </c>
    </row>
    <row r="828" spans="13:20" x14ac:dyDescent="0.2">
      <c r="M828" s="20">
        <v>1.3088010981072576E-2</v>
      </c>
      <c r="N828" s="20">
        <v>2.0420818723710732E-3</v>
      </c>
      <c r="O828" s="20">
        <v>0.15602690701621971</v>
      </c>
      <c r="P828" s="20">
        <v>0.48000000000000009</v>
      </c>
      <c r="Q828" s="20"/>
      <c r="R828" s="20"/>
      <c r="S828" s="20"/>
      <c r="T828" s="20">
        <v>0.52</v>
      </c>
    </row>
    <row r="829" spans="13:20" x14ac:dyDescent="0.2">
      <c r="M829" s="20">
        <v>1.0360438366497051E-2</v>
      </c>
      <c r="N829" s="20">
        <v>1.1830165727770992E-3</v>
      </c>
      <c r="O829" s="20">
        <v>0.11418595728561694</v>
      </c>
      <c r="P829" s="20"/>
      <c r="Q829" s="20"/>
      <c r="R829" s="20">
        <v>0.75</v>
      </c>
      <c r="S829" s="20">
        <v>0.06</v>
      </c>
      <c r="T829" s="20">
        <v>0.19000000000000006</v>
      </c>
    </row>
    <row r="830" spans="13:20" x14ac:dyDescent="0.2">
      <c r="M830" s="20">
        <v>1.6693406595016065E-2</v>
      </c>
      <c r="N830" s="20">
        <v>1.5543729214354159E-3</v>
      </c>
      <c r="O830" s="20">
        <v>9.3112985212945393E-2</v>
      </c>
      <c r="P830" s="20">
        <v>0.21</v>
      </c>
      <c r="Q830" s="20">
        <v>0.78999999999999992</v>
      </c>
      <c r="R830" s="20"/>
      <c r="S830" s="20"/>
      <c r="T830" s="20"/>
    </row>
    <row r="831" spans="13:20" x14ac:dyDescent="0.2">
      <c r="M831" s="20">
        <v>1.3993973667379787E-2</v>
      </c>
      <c r="N831" s="20">
        <v>2.0805405692015896E-3</v>
      </c>
      <c r="O831" s="20">
        <v>0.14867403774321575</v>
      </c>
      <c r="P831" s="20">
        <v>0.61</v>
      </c>
      <c r="Q831" s="20">
        <v>0.39</v>
      </c>
      <c r="R831" s="20"/>
      <c r="S831" s="20"/>
      <c r="T831" s="20"/>
    </row>
    <row r="832" spans="13:20" x14ac:dyDescent="0.2">
      <c r="M832" s="20">
        <v>1.374509820351749E-2</v>
      </c>
      <c r="N832" s="20">
        <v>1.5728100966917052E-3</v>
      </c>
      <c r="O832" s="20">
        <v>0.11442698141576096</v>
      </c>
      <c r="P832" s="20">
        <v>0.1</v>
      </c>
      <c r="Q832" s="20">
        <v>0.26</v>
      </c>
      <c r="R832" s="20"/>
      <c r="S832" s="20"/>
      <c r="T832" s="20">
        <v>0.64</v>
      </c>
    </row>
    <row r="833" spans="13:20" x14ac:dyDescent="0.2">
      <c r="M833" s="20">
        <v>1.0199118291272596E-2</v>
      </c>
      <c r="N833" s="20">
        <v>1.0411889973857235E-3</v>
      </c>
      <c r="O833" s="20">
        <v>0.10208617722148304</v>
      </c>
      <c r="P833" s="20"/>
      <c r="Q833" s="20"/>
      <c r="R833" s="20">
        <v>0.83</v>
      </c>
      <c r="S833" s="20">
        <v>0.17000000000000004</v>
      </c>
      <c r="T833" s="20"/>
    </row>
    <row r="834" spans="13:20" x14ac:dyDescent="0.2">
      <c r="M834" s="20">
        <v>1.0765513519660843E-2</v>
      </c>
      <c r="N834" s="20">
        <v>1.2538433077505669E-3</v>
      </c>
      <c r="O834" s="20">
        <v>0.11646850895321416</v>
      </c>
      <c r="P834" s="20"/>
      <c r="Q834" s="20">
        <v>0.11</v>
      </c>
      <c r="R834" s="20">
        <v>0.52</v>
      </c>
      <c r="S834" s="20">
        <v>0.05</v>
      </c>
      <c r="T834" s="20">
        <v>0.31999999999999984</v>
      </c>
    </row>
    <row r="835" spans="13:20" x14ac:dyDescent="0.2">
      <c r="M835" s="20">
        <v>1.0884569668754332E-2</v>
      </c>
      <c r="N835" s="20">
        <v>7.1715233555451027E-4</v>
      </c>
      <c r="O835" s="20">
        <v>6.5887063740626847E-2</v>
      </c>
      <c r="P835" s="20">
        <v>5.0000000000000155E-2</v>
      </c>
      <c r="Q835" s="20"/>
      <c r="R835" s="20">
        <v>0.03</v>
      </c>
      <c r="S835" s="20">
        <v>0.85</v>
      </c>
      <c r="T835" s="20">
        <v>7.0000000000000007E-2</v>
      </c>
    </row>
    <row r="836" spans="13:20" x14ac:dyDescent="0.2">
      <c r="M836" s="20">
        <v>1.0861569183889952E-2</v>
      </c>
      <c r="N836" s="20">
        <v>9.0642588130200488E-4</v>
      </c>
      <c r="O836" s="20">
        <v>8.3452571719234619E-2</v>
      </c>
      <c r="P836" s="20">
        <v>0.16999999999999993</v>
      </c>
      <c r="Q836" s="20"/>
      <c r="R836" s="20"/>
      <c r="S836" s="20">
        <v>0.8</v>
      </c>
      <c r="T836" s="20">
        <v>0.03</v>
      </c>
    </row>
    <row r="837" spans="13:20" x14ac:dyDescent="0.2">
      <c r="M837" s="20">
        <v>1.2558068991622534E-2</v>
      </c>
      <c r="N837" s="20">
        <v>1.7886146750592763E-3</v>
      </c>
      <c r="O837" s="20">
        <v>0.14242752418803065</v>
      </c>
      <c r="P837" s="20">
        <v>0.41</v>
      </c>
      <c r="Q837" s="20">
        <v>0.37</v>
      </c>
      <c r="R837" s="20">
        <v>0.21999999999999997</v>
      </c>
      <c r="S837" s="20"/>
      <c r="T837" s="20"/>
    </row>
    <row r="838" spans="13:20" x14ac:dyDescent="0.2">
      <c r="M838" s="20">
        <v>1.1286071671928853E-2</v>
      </c>
      <c r="N838" s="20">
        <v>1.1194976091378113E-3</v>
      </c>
      <c r="O838" s="20">
        <v>9.919284952994481E-2</v>
      </c>
      <c r="P838" s="20"/>
      <c r="Q838" s="20"/>
      <c r="R838" s="20"/>
      <c r="S838" s="20">
        <v>0.41</v>
      </c>
      <c r="T838" s="20">
        <v>0.59000000000000008</v>
      </c>
    </row>
    <row r="839" spans="13:20" x14ac:dyDescent="0.2">
      <c r="M839" s="20">
        <v>1.8794551774568874E-2</v>
      </c>
      <c r="N839" s="20">
        <v>1.2755128999709724E-3</v>
      </c>
      <c r="O839" s="20">
        <v>6.7866098392241725E-2</v>
      </c>
      <c r="P839" s="20"/>
      <c r="Q839" s="20">
        <v>0.98</v>
      </c>
      <c r="R839" s="20">
        <v>2.0000000000000018E-2</v>
      </c>
      <c r="S839" s="20"/>
      <c r="T839" s="20"/>
    </row>
    <row r="840" spans="13:20" x14ac:dyDescent="0.2">
      <c r="M840" s="20">
        <v>1.4023079188701031E-2</v>
      </c>
      <c r="N840" s="20">
        <v>2.0673863780074353E-3</v>
      </c>
      <c r="O840" s="20">
        <v>0.14742741948381871</v>
      </c>
      <c r="P840" s="20">
        <v>0.6</v>
      </c>
      <c r="Q840" s="20">
        <v>0.39999999999999991</v>
      </c>
      <c r="R840" s="20"/>
      <c r="S840" s="20"/>
      <c r="T840" s="20"/>
    </row>
    <row r="841" spans="13:20" x14ac:dyDescent="0.2">
      <c r="M841" s="20">
        <v>9.991102745609045E-3</v>
      </c>
      <c r="N841" s="20">
        <v>1.5413218547557367E-3</v>
      </c>
      <c r="O841" s="20">
        <v>0.15426944292341774</v>
      </c>
      <c r="P841" s="20">
        <v>0.26999999999999991</v>
      </c>
      <c r="Q841" s="20"/>
      <c r="R841" s="20">
        <v>0.25</v>
      </c>
      <c r="S841" s="20">
        <v>0.18</v>
      </c>
      <c r="T841" s="20">
        <v>0.3</v>
      </c>
    </row>
    <row r="842" spans="13:20" x14ac:dyDescent="0.2">
      <c r="M842" s="20">
        <v>1.1155032780301373E-2</v>
      </c>
      <c r="N842" s="20">
        <v>6.252751898528278E-4</v>
      </c>
      <c r="O842" s="20">
        <v>5.6053191610247778E-2</v>
      </c>
      <c r="P842" s="20"/>
      <c r="Q842" s="20"/>
      <c r="R842" s="20"/>
      <c r="S842" s="20">
        <v>0.9</v>
      </c>
      <c r="T842" s="20">
        <v>0.10000000000000009</v>
      </c>
    </row>
    <row r="843" spans="13:20" x14ac:dyDescent="0.2">
      <c r="M843" s="20">
        <v>1.0889749372653659E-2</v>
      </c>
      <c r="N843" s="20">
        <v>1.1237504831522489E-3</v>
      </c>
      <c r="O843" s="20">
        <v>0.10319342022454725</v>
      </c>
      <c r="P843" s="20"/>
      <c r="Q843" s="20">
        <v>0.21</v>
      </c>
      <c r="R843" s="20">
        <v>0.19</v>
      </c>
      <c r="S843" s="20">
        <v>0.28000000000000003</v>
      </c>
      <c r="T843" s="20">
        <v>0.31999999999999984</v>
      </c>
    </row>
    <row r="844" spans="13:20" x14ac:dyDescent="0.2">
      <c r="M844" s="20">
        <v>1.4043816940215014E-2</v>
      </c>
      <c r="N844" s="20">
        <v>2.4225495402496028E-3</v>
      </c>
      <c r="O844" s="20">
        <v>0.17249936755530743</v>
      </c>
      <c r="P844" s="20">
        <v>0.87</v>
      </c>
      <c r="Q844" s="20">
        <v>0.13</v>
      </c>
      <c r="R844" s="20"/>
      <c r="S844" s="20"/>
      <c r="T844" s="20"/>
    </row>
    <row r="845" spans="13:20" x14ac:dyDescent="0.2">
      <c r="M845" s="20">
        <v>8.4207903126743786E-3</v>
      </c>
      <c r="N845" s="20">
        <v>1.0800479292031094E-3</v>
      </c>
      <c r="O845" s="20">
        <v>0.12825968692956261</v>
      </c>
      <c r="P845" s="20">
        <v>0.13</v>
      </c>
      <c r="Q845" s="20">
        <v>0.2</v>
      </c>
      <c r="R845" s="20">
        <v>0.25</v>
      </c>
      <c r="S845" s="20">
        <v>0.09</v>
      </c>
      <c r="T845" s="20">
        <v>0.1</v>
      </c>
    </row>
    <row r="846" spans="13:20" x14ac:dyDescent="0.2">
      <c r="M846" s="20">
        <v>1.4123718142303428E-2</v>
      </c>
      <c r="N846" s="20">
        <v>2.0279238044249724E-3</v>
      </c>
      <c r="O846" s="20">
        <v>0.14358285714800026</v>
      </c>
      <c r="P846" s="20">
        <v>0.56999999999999995</v>
      </c>
      <c r="Q846" s="20">
        <v>0.43000000000000016</v>
      </c>
      <c r="R846" s="20"/>
      <c r="S846" s="20"/>
      <c r="T846" s="20"/>
    </row>
    <row r="847" spans="13:20" x14ac:dyDescent="0.2">
      <c r="M847" s="20">
        <v>1.3487410603480647E-2</v>
      </c>
      <c r="N847" s="20">
        <v>9.9204534991258393E-4</v>
      </c>
      <c r="O847" s="20">
        <v>7.3553432832879753E-2</v>
      </c>
      <c r="P847" s="20"/>
      <c r="Q847" s="20">
        <v>0.48</v>
      </c>
      <c r="R847" s="20">
        <v>0.17</v>
      </c>
      <c r="S847" s="20">
        <v>0.35</v>
      </c>
      <c r="T847" s="20"/>
    </row>
    <row r="848" spans="13:20" x14ac:dyDescent="0.2">
      <c r="M848" s="20">
        <v>1.2192372238821525E-2</v>
      </c>
      <c r="N848" s="20">
        <v>1.1172229665508365E-3</v>
      </c>
      <c r="O848" s="20">
        <v>9.1632944325100732E-2</v>
      </c>
      <c r="P848" s="20"/>
      <c r="Q848" s="20">
        <v>0.39</v>
      </c>
      <c r="R848" s="20">
        <v>0.48</v>
      </c>
      <c r="S848" s="20">
        <v>0.13</v>
      </c>
      <c r="T848" s="20"/>
    </row>
    <row r="849" spans="13:20" x14ac:dyDescent="0.2">
      <c r="M849" s="20">
        <v>1.2790744922334856E-2</v>
      </c>
      <c r="N849" s="20">
        <v>8.3671465982150376E-4</v>
      </c>
      <c r="O849" s="20">
        <v>6.5415631763592996E-2</v>
      </c>
      <c r="P849" s="20"/>
      <c r="Q849" s="20">
        <v>0.34</v>
      </c>
      <c r="R849" s="20">
        <v>0.09</v>
      </c>
      <c r="S849" s="20">
        <v>0.56999999999999995</v>
      </c>
      <c r="T849" s="20"/>
    </row>
    <row r="850" spans="13:20" x14ac:dyDescent="0.2">
      <c r="M850" s="20">
        <v>1.2424068284695557E-2</v>
      </c>
      <c r="N850" s="20">
        <v>1.4140560549781845E-3</v>
      </c>
      <c r="O850" s="20">
        <v>0.11381586309534961</v>
      </c>
      <c r="P850" s="20">
        <v>0.3</v>
      </c>
      <c r="Q850" s="20">
        <v>0.33000000000000007</v>
      </c>
      <c r="R850" s="20"/>
      <c r="S850" s="20">
        <v>0.35</v>
      </c>
      <c r="T850" s="20">
        <v>0.02</v>
      </c>
    </row>
    <row r="851" spans="13:20" x14ac:dyDescent="0.2">
      <c r="M851" s="20">
        <v>1.0604287175707699E-2</v>
      </c>
      <c r="N851" s="20">
        <v>1.6572052408921597E-3</v>
      </c>
      <c r="O851" s="20">
        <v>0.15627691078458206</v>
      </c>
      <c r="P851" s="20">
        <v>0.34</v>
      </c>
      <c r="Q851" s="20">
        <v>0.14000000000000001</v>
      </c>
      <c r="R851" s="20">
        <v>0.51999999999999991</v>
      </c>
      <c r="S851" s="20"/>
      <c r="T851" s="20"/>
    </row>
    <row r="852" spans="13:20" x14ac:dyDescent="0.2">
      <c r="M852" s="20">
        <v>1.2742793474200874E-2</v>
      </c>
      <c r="N852" s="20">
        <v>9.9663175305830971E-4</v>
      </c>
      <c r="O852" s="20">
        <v>7.8211402788257972E-2</v>
      </c>
      <c r="P852" s="20"/>
      <c r="Q852" s="20">
        <v>0.42</v>
      </c>
      <c r="R852" s="20">
        <v>0.25</v>
      </c>
      <c r="S852" s="20">
        <v>0.32999999999999996</v>
      </c>
      <c r="T852" s="20"/>
    </row>
    <row r="853" spans="13:20" x14ac:dyDescent="0.2">
      <c r="M853" s="20">
        <v>1.3054771929003813E-2</v>
      </c>
      <c r="N853" s="20">
        <v>1.9444952152424624E-3</v>
      </c>
      <c r="O853" s="20">
        <v>0.14894899932509534</v>
      </c>
      <c r="P853" s="20">
        <v>0.4</v>
      </c>
      <c r="Q853" s="20">
        <v>4.9999999999999933E-2</v>
      </c>
      <c r="R853" s="20"/>
      <c r="S853" s="20"/>
      <c r="T853" s="20">
        <v>0.55000000000000004</v>
      </c>
    </row>
    <row r="854" spans="13:20" x14ac:dyDescent="0.2">
      <c r="M854" s="20">
        <v>1.6200182288353199E-2</v>
      </c>
      <c r="N854" s="20">
        <v>1.5436358875649345E-3</v>
      </c>
      <c r="O854" s="20">
        <v>9.5285093716180033E-2</v>
      </c>
      <c r="P854" s="20">
        <v>1.000000000000012E-2</v>
      </c>
      <c r="Q854" s="20"/>
      <c r="R854" s="20"/>
      <c r="S854" s="20"/>
      <c r="T854" s="20">
        <v>0.99</v>
      </c>
    </row>
    <row r="855" spans="13:20" x14ac:dyDescent="0.2">
      <c r="M855" s="20">
        <v>1.0345406250637363E-2</v>
      </c>
      <c r="N855" s="20">
        <v>6.8629496162673186E-4</v>
      </c>
      <c r="O855" s="20">
        <v>6.6338135497042511E-2</v>
      </c>
      <c r="P855" s="20"/>
      <c r="Q855" s="20"/>
      <c r="R855" s="20">
        <v>0.26</v>
      </c>
      <c r="S855" s="20">
        <v>0.74</v>
      </c>
      <c r="T855" s="20"/>
    </row>
    <row r="856" spans="13:20" x14ac:dyDescent="0.2">
      <c r="M856" s="20">
        <v>1.457921900807845E-2</v>
      </c>
      <c r="N856" s="20">
        <v>2.5803998345794547E-3</v>
      </c>
      <c r="O856" s="20">
        <v>0.17699163673648338</v>
      </c>
      <c r="P856" s="20">
        <v>0.99</v>
      </c>
      <c r="Q856" s="20">
        <v>9.9999999999998979E-3</v>
      </c>
      <c r="R856" s="20"/>
      <c r="S856" s="20"/>
      <c r="T856" s="20"/>
    </row>
    <row r="857" spans="13:20" x14ac:dyDescent="0.2">
      <c r="M857" s="20">
        <v>1.3347723042218191E-2</v>
      </c>
      <c r="N857" s="20">
        <v>1.4852150535179559E-3</v>
      </c>
      <c r="O857" s="20">
        <v>0.11127104217103498</v>
      </c>
      <c r="P857" s="20">
        <v>0.12</v>
      </c>
      <c r="Q857" s="20">
        <v>0.49</v>
      </c>
      <c r="R857" s="20">
        <v>0.13</v>
      </c>
      <c r="S857" s="20"/>
      <c r="T857" s="20">
        <v>0.26</v>
      </c>
    </row>
    <row r="858" spans="13:20" x14ac:dyDescent="0.2">
      <c r="M858" s="20">
        <v>1.6397669149737778E-2</v>
      </c>
      <c r="N858" s="20">
        <v>1.5938354950178792E-3</v>
      </c>
      <c r="O858" s="20">
        <v>9.7198905555633E-2</v>
      </c>
      <c r="P858" s="20">
        <v>0.24</v>
      </c>
      <c r="Q858" s="20">
        <v>0.76</v>
      </c>
      <c r="R858" s="20"/>
      <c r="S858" s="20"/>
      <c r="T858" s="20"/>
    </row>
    <row r="859" spans="13:20" x14ac:dyDescent="0.2">
      <c r="M859" s="20">
        <v>1.0457552217227443E-2</v>
      </c>
      <c r="N859" s="20">
        <v>9.8837737544995837E-4</v>
      </c>
      <c r="O859" s="20">
        <v>9.4513262273913073E-2</v>
      </c>
      <c r="P859" s="20"/>
      <c r="Q859" s="20"/>
      <c r="R859" s="20"/>
      <c r="S859" s="20">
        <v>0.54</v>
      </c>
      <c r="T859" s="20">
        <v>0.45999999999999996</v>
      </c>
    </row>
    <row r="860" spans="13:20" x14ac:dyDescent="0.2">
      <c r="M860" s="20">
        <v>1.4227492800594425E-2</v>
      </c>
      <c r="N860" s="20">
        <v>1.7875562631083637E-3</v>
      </c>
      <c r="O860" s="20">
        <v>0.12564098876463176</v>
      </c>
      <c r="P860" s="20">
        <v>0.24</v>
      </c>
      <c r="Q860" s="20"/>
      <c r="R860" s="20"/>
      <c r="S860" s="20"/>
      <c r="T860" s="20">
        <v>0.76</v>
      </c>
    </row>
    <row r="861" spans="13:20" x14ac:dyDescent="0.2">
      <c r="M861" s="20">
        <v>1.0366194227320609E-2</v>
      </c>
      <c r="N861" s="20">
        <v>1.2369702352076082E-3</v>
      </c>
      <c r="O861" s="20">
        <v>0.11932732573614269</v>
      </c>
      <c r="P861" s="20">
        <v>2.0000000000000129E-2</v>
      </c>
      <c r="Q861" s="20"/>
      <c r="R861" s="20">
        <v>0.43</v>
      </c>
      <c r="S861" s="20">
        <v>0.15</v>
      </c>
      <c r="T861" s="20">
        <v>0.4</v>
      </c>
    </row>
    <row r="862" spans="13:20" x14ac:dyDescent="0.2">
      <c r="M862" s="20">
        <v>1.0211542800587916E-2</v>
      </c>
      <c r="N862" s="20">
        <v>8.2699862629567788E-4</v>
      </c>
      <c r="O862" s="20">
        <v>8.0986648388533866E-2</v>
      </c>
      <c r="P862" s="20"/>
      <c r="Q862" s="20"/>
      <c r="R862" s="20"/>
      <c r="S862" s="20">
        <v>0.7</v>
      </c>
      <c r="T862" s="20">
        <v>0.29999999999999993</v>
      </c>
    </row>
    <row r="863" spans="13:20" x14ac:dyDescent="0.2">
      <c r="M863" s="20">
        <v>1.3882356534975659E-2</v>
      </c>
      <c r="N863" s="20">
        <v>2.146311525172361E-3</v>
      </c>
      <c r="O863" s="20">
        <v>0.15460714611131579</v>
      </c>
      <c r="P863" s="20">
        <v>0.66</v>
      </c>
      <c r="Q863" s="20">
        <v>0.33999999999999986</v>
      </c>
      <c r="R863" s="20"/>
      <c r="S863" s="20"/>
      <c r="T863" s="20"/>
    </row>
    <row r="864" spans="13:20" x14ac:dyDescent="0.2">
      <c r="M864" s="20">
        <v>1.2834122427984901E-2</v>
      </c>
      <c r="N864" s="20">
        <v>2.1939229095554224E-3</v>
      </c>
      <c r="O864" s="20">
        <v>0.17094452089467035</v>
      </c>
      <c r="P864" s="20">
        <v>0.64</v>
      </c>
      <c r="Q864" s="20">
        <v>7.0000000000000173E-2</v>
      </c>
      <c r="R864" s="20"/>
      <c r="S864" s="20"/>
      <c r="T864" s="20">
        <v>0.28999999999999998</v>
      </c>
    </row>
    <row r="865" spans="13:20" x14ac:dyDescent="0.2">
      <c r="M865" s="20">
        <v>1.3680292337424614E-2</v>
      </c>
      <c r="N865" s="20">
        <v>1.4315865676605461E-3</v>
      </c>
      <c r="O865" s="20">
        <v>0.10464590465981588</v>
      </c>
      <c r="P865" s="20">
        <v>0.04</v>
      </c>
      <c r="Q865" s="20">
        <v>5.0000000000000044E-2</v>
      </c>
      <c r="R865" s="20"/>
      <c r="S865" s="20">
        <v>0.13</v>
      </c>
      <c r="T865" s="20">
        <v>0.78</v>
      </c>
    </row>
    <row r="866" spans="13:20" x14ac:dyDescent="0.2">
      <c r="M866" s="20">
        <v>1.3521701753187086E-2</v>
      </c>
      <c r="N866" s="20">
        <v>1.9148190677397182E-3</v>
      </c>
      <c r="O866" s="20">
        <v>0.14161080481518476</v>
      </c>
      <c r="P866" s="20">
        <v>0.36</v>
      </c>
      <c r="Q866" s="20"/>
      <c r="R866" s="20"/>
      <c r="S866" s="20"/>
      <c r="T866" s="20">
        <v>0.64</v>
      </c>
    </row>
    <row r="867" spans="13:20" x14ac:dyDescent="0.2">
      <c r="M867" s="20">
        <v>1.2749013599251052E-2</v>
      </c>
      <c r="N867" s="20">
        <v>1.8379409396736938E-3</v>
      </c>
      <c r="O867" s="20">
        <v>0.14416338372889215</v>
      </c>
      <c r="P867" s="20">
        <v>0.35</v>
      </c>
      <c r="Q867" s="20">
        <v>0.26</v>
      </c>
      <c r="R867" s="20"/>
      <c r="S867" s="20"/>
      <c r="T867" s="20">
        <v>0.39</v>
      </c>
    </row>
    <row r="868" spans="13:20" x14ac:dyDescent="0.2">
      <c r="M868" s="20">
        <v>1.0392937603379624E-2</v>
      </c>
      <c r="N868" s="20">
        <v>1.0660938420003895E-3</v>
      </c>
      <c r="O868" s="20">
        <v>0.10257868205171483</v>
      </c>
      <c r="P868" s="20"/>
      <c r="Q868" s="20"/>
      <c r="R868" s="20">
        <v>0.87</v>
      </c>
      <c r="S868" s="20">
        <v>0.13</v>
      </c>
      <c r="T868" s="20"/>
    </row>
    <row r="869" spans="13:20" x14ac:dyDescent="0.2">
      <c r="M869" s="20">
        <v>9.9426050621316542E-3</v>
      </c>
      <c r="N869" s="20">
        <v>1.1914340018076806E-3</v>
      </c>
      <c r="O869" s="20">
        <v>0.11983117043897165</v>
      </c>
      <c r="P869" s="20">
        <v>0.21999999999999997</v>
      </c>
      <c r="Q869" s="20"/>
      <c r="R869" s="20"/>
      <c r="S869" s="20">
        <v>0.56999999999999995</v>
      </c>
      <c r="T869" s="20">
        <v>0.21</v>
      </c>
    </row>
    <row r="870" spans="13:20" x14ac:dyDescent="0.2">
      <c r="M870" s="20">
        <v>1.5712515718385011E-2</v>
      </c>
      <c r="N870" s="20">
        <v>1.5966620561613323E-3</v>
      </c>
      <c r="O870" s="20">
        <v>0.1016172129771109</v>
      </c>
      <c r="P870" s="20">
        <v>6.0000000000000164E-2</v>
      </c>
      <c r="Q870" s="20"/>
      <c r="R870" s="20"/>
      <c r="S870" s="20"/>
      <c r="T870" s="20">
        <v>0.94</v>
      </c>
    </row>
    <row r="871" spans="13:20" x14ac:dyDescent="0.2">
      <c r="M871" s="20">
        <v>1.1243555625401903E-2</v>
      </c>
      <c r="N871" s="20">
        <v>5.9290179432173399E-4</v>
      </c>
      <c r="O871" s="20">
        <v>5.2732588700164021E-2</v>
      </c>
      <c r="P871" s="20"/>
      <c r="Q871" s="20"/>
      <c r="R871" s="20">
        <v>0.11</v>
      </c>
      <c r="S871" s="20">
        <v>0.8899999999999999</v>
      </c>
      <c r="T871" s="20"/>
    </row>
    <row r="872" spans="13:20" x14ac:dyDescent="0.2">
      <c r="M872" s="20">
        <v>1.3024971778664534E-2</v>
      </c>
      <c r="N872" s="20">
        <v>9.8680133713817918E-4</v>
      </c>
      <c r="O872" s="20">
        <v>7.5762262975080111E-2</v>
      </c>
      <c r="P872" s="20"/>
      <c r="Q872" s="20">
        <v>0.44</v>
      </c>
      <c r="R872" s="20">
        <v>0.21</v>
      </c>
      <c r="S872" s="20">
        <v>0.34999999999999987</v>
      </c>
      <c r="T872" s="20"/>
    </row>
    <row r="873" spans="13:20" x14ac:dyDescent="0.2">
      <c r="M873" s="20">
        <v>1.383981491350712E-2</v>
      </c>
      <c r="N873" s="20">
        <v>2.2910076283080591E-3</v>
      </c>
      <c r="O873" s="20">
        <v>0.16553744704144308</v>
      </c>
      <c r="P873" s="20">
        <v>0.77</v>
      </c>
      <c r="Q873" s="20">
        <v>0.22999999999999998</v>
      </c>
      <c r="R873" s="20"/>
      <c r="S873" s="20"/>
      <c r="T873" s="20"/>
    </row>
    <row r="874" spans="13:20" x14ac:dyDescent="0.2">
      <c r="M874" s="20">
        <v>1.0201929652973663E-2</v>
      </c>
      <c r="N874" s="20">
        <v>7.0497359508773149E-4</v>
      </c>
      <c r="O874" s="20">
        <v>6.9101985513323486E-2</v>
      </c>
      <c r="P874" s="20"/>
      <c r="Q874" s="20"/>
      <c r="R874" s="20">
        <v>0.28999999999999998</v>
      </c>
      <c r="S874" s="20">
        <v>0.71000000000000008</v>
      </c>
      <c r="T874" s="20"/>
    </row>
    <row r="875" spans="13:20" x14ac:dyDescent="0.2">
      <c r="M875" s="20">
        <v>1.6852964635850839E-2</v>
      </c>
      <c r="N875" s="20">
        <v>1.2558478520669544E-3</v>
      </c>
      <c r="O875" s="20">
        <v>7.4517918906411545E-2</v>
      </c>
      <c r="P875" s="20"/>
      <c r="Q875" s="20">
        <v>0.83</v>
      </c>
      <c r="R875" s="20">
        <v>0.16999999999999993</v>
      </c>
      <c r="S875" s="20"/>
      <c r="T875" s="20"/>
    </row>
    <row r="876" spans="13:20" x14ac:dyDescent="0.2">
      <c r="M876" s="20">
        <v>1.0138228791227267E-2</v>
      </c>
      <c r="N876" s="20">
        <v>9.6907757210757837E-4</v>
      </c>
      <c r="O876" s="20">
        <v>9.5586476894872707E-2</v>
      </c>
      <c r="P876" s="20"/>
      <c r="Q876" s="20"/>
      <c r="R876" s="20">
        <v>0.05</v>
      </c>
      <c r="S876" s="20">
        <v>0.54</v>
      </c>
      <c r="T876" s="20">
        <v>0.40999999999999992</v>
      </c>
    </row>
    <row r="877" spans="13:20" x14ac:dyDescent="0.2">
      <c r="M877" s="20">
        <v>1.2203446686908479E-2</v>
      </c>
      <c r="N877" s="20">
        <v>1.9070023958066655E-3</v>
      </c>
      <c r="O877" s="20">
        <v>0.1562675238178772</v>
      </c>
      <c r="P877" s="20">
        <v>0.5</v>
      </c>
      <c r="Q877" s="20">
        <v>0.28000000000000003</v>
      </c>
      <c r="R877" s="20">
        <v>0.21999999999999997</v>
      </c>
      <c r="S877" s="20"/>
      <c r="T877" s="20"/>
    </row>
    <row r="878" spans="13:20" x14ac:dyDescent="0.2">
      <c r="M878" s="20">
        <v>1.1571701745567787E-2</v>
      </c>
      <c r="N878" s="20">
        <v>1.1811206700316856E-3</v>
      </c>
      <c r="O878" s="20">
        <v>0.10206974704339235</v>
      </c>
      <c r="P878" s="20"/>
      <c r="Q878" s="20">
        <v>0.26</v>
      </c>
      <c r="R878" s="20">
        <v>0.74</v>
      </c>
      <c r="S878" s="20"/>
      <c r="T878" s="20"/>
    </row>
    <row r="879" spans="13:20" x14ac:dyDescent="0.2">
      <c r="M879" s="20">
        <v>1.4637253852239254E-2</v>
      </c>
      <c r="N879" s="20">
        <v>2.593554025773609E-3</v>
      </c>
      <c r="O879" s="20">
        <v>0.17718856637693953</v>
      </c>
      <c r="P879" s="20">
        <v>1</v>
      </c>
      <c r="Q879" s="20">
        <v>0</v>
      </c>
      <c r="R879" s="20"/>
      <c r="S879" s="20"/>
      <c r="T879" s="20"/>
    </row>
    <row r="880" spans="13:20" x14ac:dyDescent="0.2">
      <c r="M880" s="20">
        <v>1.6001662566933018E-2</v>
      </c>
      <c r="N880" s="20">
        <v>1.5648463550034933E-3</v>
      </c>
      <c r="O880" s="20">
        <v>9.7792735502197373E-2</v>
      </c>
      <c r="P880" s="20">
        <v>3.0000000000000027E-2</v>
      </c>
      <c r="Q880" s="20"/>
      <c r="R880" s="20"/>
      <c r="S880" s="20"/>
      <c r="T880" s="20">
        <v>0.97</v>
      </c>
    </row>
    <row r="881" spans="13:20" x14ac:dyDescent="0.2">
      <c r="M881" s="20">
        <v>1.2148350296246753E-2</v>
      </c>
      <c r="N881" s="20">
        <v>9.1011819047190064E-4</v>
      </c>
      <c r="O881" s="20">
        <v>7.4917019041925603E-2</v>
      </c>
      <c r="P881" s="20"/>
      <c r="Q881" s="20">
        <v>0.33</v>
      </c>
      <c r="R881" s="20">
        <v>0.22</v>
      </c>
      <c r="S881" s="20">
        <v>0.44999999999999996</v>
      </c>
      <c r="T881" s="20"/>
    </row>
    <row r="882" spans="13:20" x14ac:dyDescent="0.2">
      <c r="M882" s="20">
        <v>1.6301105982438266E-2</v>
      </c>
      <c r="N882" s="20">
        <v>1.5330306538456546E-3</v>
      </c>
      <c r="O882" s="20">
        <v>9.4044579275617268E-2</v>
      </c>
      <c r="P882" s="20">
        <v>0</v>
      </c>
      <c r="Q882" s="20"/>
      <c r="R882" s="20"/>
      <c r="S882" s="20"/>
      <c r="T882" s="20">
        <v>1</v>
      </c>
    </row>
    <row r="883" spans="13:20" x14ac:dyDescent="0.2">
      <c r="M883" s="20">
        <v>1.0738752877259276E-2</v>
      </c>
      <c r="N883" s="20">
        <v>1.0660980580641463E-3</v>
      </c>
      <c r="O883" s="20">
        <v>9.9275779063856595E-2</v>
      </c>
      <c r="P883" s="20"/>
      <c r="Q883" s="20">
        <v>0.19</v>
      </c>
      <c r="R883" s="20">
        <v>0.64</v>
      </c>
      <c r="S883" s="20">
        <v>0.16999999999999993</v>
      </c>
      <c r="T883" s="20"/>
    </row>
    <row r="884" spans="13:20" x14ac:dyDescent="0.2">
      <c r="M884" s="20">
        <v>1.1099399626355087E-2</v>
      </c>
      <c r="N884" s="20">
        <v>1.3173636165241631E-3</v>
      </c>
      <c r="O884" s="20">
        <v>0.11868782644748958</v>
      </c>
      <c r="P884" s="20">
        <v>0.11999999999999988</v>
      </c>
      <c r="Q884" s="20"/>
      <c r="R884" s="20"/>
      <c r="S884" s="20">
        <v>0.34</v>
      </c>
      <c r="T884" s="20">
        <v>0.54</v>
      </c>
    </row>
    <row r="885" spans="13:20" x14ac:dyDescent="0.2">
      <c r="M885" s="20">
        <v>1.2982396460022395E-2</v>
      </c>
      <c r="N885" s="20">
        <v>2.1057132746867503E-3</v>
      </c>
      <c r="O885" s="20">
        <v>0.16219757894245651</v>
      </c>
      <c r="P885" s="20">
        <v>0.54</v>
      </c>
      <c r="Q885" s="20"/>
      <c r="R885" s="20"/>
      <c r="S885" s="20"/>
      <c r="T885" s="20">
        <v>0.46</v>
      </c>
    </row>
    <row r="886" spans="13:20" x14ac:dyDescent="0.2">
      <c r="M886" s="20">
        <v>1.0776284349146825E-2</v>
      </c>
      <c r="N886" s="20">
        <v>1.0488944063828133E-3</v>
      </c>
      <c r="O886" s="20">
        <v>9.7333586642584818E-2</v>
      </c>
      <c r="P886" s="20"/>
      <c r="Q886" s="20"/>
      <c r="R886" s="20"/>
      <c r="S886" s="20">
        <v>0.48</v>
      </c>
      <c r="T886" s="20">
        <v>0.51999999999999991</v>
      </c>
    </row>
    <row r="887" spans="13:20" x14ac:dyDescent="0.2">
      <c r="M887" s="20">
        <v>1.2676821541502115E-2</v>
      </c>
      <c r="N887" s="20">
        <v>1.9139077255439646E-3</v>
      </c>
      <c r="O887" s="20">
        <v>0.15097694002223683</v>
      </c>
      <c r="P887" s="20">
        <v>0.4</v>
      </c>
      <c r="Q887" s="20">
        <v>0.16999999999999982</v>
      </c>
      <c r="R887" s="20"/>
      <c r="S887" s="20"/>
      <c r="T887" s="20">
        <v>0.43</v>
      </c>
    </row>
    <row r="888" spans="13:20" x14ac:dyDescent="0.2">
      <c r="M888" s="20">
        <v>1.1389840932162649E-2</v>
      </c>
      <c r="N888" s="20">
        <v>1.73901173338656E-3</v>
      </c>
      <c r="O888" s="20">
        <v>0.15268094995742532</v>
      </c>
      <c r="P888" s="20">
        <v>0.43</v>
      </c>
      <c r="Q888" s="20">
        <v>0.15000000000000002</v>
      </c>
      <c r="R888" s="20"/>
      <c r="S888" s="20">
        <v>0.21</v>
      </c>
      <c r="T888" s="20">
        <v>0.21</v>
      </c>
    </row>
    <row r="889" spans="13:20" x14ac:dyDescent="0.2">
      <c r="M889" s="20">
        <v>9.8211596976906755E-3</v>
      </c>
      <c r="N889" s="20">
        <v>9.7892688584905814E-4</v>
      </c>
      <c r="O889" s="20">
        <v>9.9675284384107984E-2</v>
      </c>
      <c r="P889" s="20"/>
      <c r="Q889" s="20"/>
      <c r="R889" s="20">
        <v>0.73</v>
      </c>
      <c r="S889" s="20">
        <v>0.26999999999999991</v>
      </c>
      <c r="T889" s="20"/>
    </row>
    <row r="890" spans="13:20" x14ac:dyDescent="0.2">
      <c r="M890" s="20">
        <v>1.0502583005742474E-2</v>
      </c>
      <c r="N890" s="20">
        <v>9.9846354727210068E-4</v>
      </c>
      <c r="O890" s="20">
        <v>9.5068379533508371E-2</v>
      </c>
      <c r="P890" s="20"/>
      <c r="Q890" s="20"/>
      <c r="R890" s="20"/>
      <c r="S890" s="20">
        <v>0.53</v>
      </c>
      <c r="T890" s="20">
        <v>0.46999999999999986</v>
      </c>
    </row>
    <row r="891" spans="13:20" x14ac:dyDescent="0.2">
      <c r="M891" s="20">
        <v>1.3849894403893379E-2</v>
      </c>
      <c r="N891" s="20">
        <v>2.3041618195022134E-3</v>
      </c>
      <c r="O891" s="20">
        <v>0.16636674275686061</v>
      </c>
      <c r="P891" s="20">
        <v>0.78</v>
      </c>
      <c r="Q891" s="20">
        <v>0.21999999999999997</v>
      </c>
      <c r="R891" s="20"/>
      <c r="S891" s="20"/>
      <c r="T891" s="20"/>
    </row>
    <row r="892" spans="13:20" x14ac:dyDescent="0.2">
      <c r="M892" s="20">
        <v>1.0237955221876791E-2</v>
      </c>
      <c r="N892" s="20">
        <v>9.1777417269496087E-4</v>
      </c>
      <c r="O892" s="20">
        <v>8.9644284703827529E-2</v>
      </c>
      <c r="P892" s="20"/>
      <c r="Q892" s="20"/>
      <c r="R892" s="20"/>
      <c r="S892" s="20">
        <v>0.61</v>
      </c>
      <c r="T892" s="20">
        <v>0.39000000000000012</v>
      </c>
    </row>
    <row r="893" spans="13:20" x14ac:dyDescent="0.2">
      <c r="M893" s="20">
        <v>1.0972784808687778E-2</v>
      </c>
      <c r="N893" s="20">
        <v>1.1283559535370546E-3</v>
      </c>
      <c r="O893" s="20">
        <v>0.10283223203681814</v>
      </c>
      <c r="P893" s="20"/>
      <c r="Q893" s="20"/>
      <c r="R893" s="20">
        <v>0.97</v>
      </c>
      <c r="S893" s="20">
        <v>3.0000000000000027E-2</v>
      </c>
      <c r="T893" s="20"/>
    </row>
    <row r="894" spans="13:20" x14ac:dyDescent="0.2">
      <c r="M894" s="20">
        <v>1.5904108076560286E-2</v>
      </c>
      <c r="N894" s="20">
        <v>1.5754515887227726E-3</v>
      </c>
      <c r="O894" s="20">
        <v>9.9059411639983566E-2</v>
      </c>
      <c r="P894" s="20">
        <v>3.9999999999999925E-2</v>
      </c>
      <c r="Q894" s="20"/>
      <c r="R894" s="20"/>
      <c r="S894" s="20"/>
      <c r="T894" s="20">
        <v>0.96</v>
      </c>
    </row>
    <row r="895" spans="13:20" x14ac:dyDescent="0.2">
      <c r="M895" s="20">
        <v>1.3823512354188865E-2</v>
      </c>
      <c r="N895" s="20">
        <v>2.2515450547255962E-3</v>
      </c>
      <c r="O895" s="20">
        <v>0.16287792834672168</v>
      </c>
      <c r="P895" s="20">
        <v>0.74</v>
      </c>
      <c r="Q895" s="20">
        <v>0.26</v>
      </c>
      <c r="R895" s="20">
        <v>0</v>
      </c>
      <c r="S895" s="20"/>
      <c r="T895" s="20"/>
    </row>
    <row r="896" spans="13:20" x14ac:dyDescent="0.2">
      <c r="M896" s="20">
        <v>9.6730729121530835E-3</v>
      </c>
      <c r="N896" s="20">
        <v>9.4156961892705919E-4</v>
      </c>
      <c r="O896" s="20">
        <v>9.7339245499130603E-2</v>
      </c>
      <c r="P896" s="20"/>
      <c r="Q896" s="20"/>
      <c r="R896" s="20">
        <v>0.67</v>
      </c>
      <c r="S896" s="20">
        <v>0.32999999999999996</v>
      </c>
      <c r="T896" s="20"/>
    </row>
    <row r="897" spans="13:20" x14ac:dyDescent="0.2">
      <c r="M897" s="20">
        <v>1.0064185502766181E-2</v>
      </c>
      <c r="N897" s="20">
        <v>1.0530469015599094E-3</v>
      </c>
      <c r="O897" s="20">
        <v>0.10463309735998758</v>
      </c>
      <c r="P897" s="20">
        <v>7.9999999999999849E-2</v>
      </c>
      <c r="Q897" s="20"/>
      <c r="R897" s="20"/>
      <c r="S897" s="20">
        <v>0.56000000000000005</v>
      </c>
      <c r="T897" s="20">
        <v>0.36</v>
      </c>
    </row>
    <row r="898" spans="13:20" x14ac:dyDescent="0.2">
      <c r="M898" s="20">
        <v>1.3474696834592237E-2</v>
      </c>
      <c r="N898" s="20">
        <v>1.9254243014589975E-3</v>
      </c>
      <c r="O898" s="20">
        <v>0.14289184573830624</v>
      </c>
      <c r="P898" s="20">
        <v>0.36999999999999988</v>
      </c>
      <c r="Q898" s="20"/>
      <c r="R898" s="20"/>
      <c r="S898" s="20"/>
      <c r="T898" s="20">
        <v>0.63</v>
      </c>
    </row>
    <row r="899" spans="13:20" x14ac:dyDescent="0.2">
      <c r="M899" s="20">
        <v>1.3065123935181404E-2</v>
      </c>
      <c r="N899" s="20">
        <v>2.0526871060903519E-3</v>
      </c>
      <c r="O899" s="20">
        <v>0.1571119505849411</v>
      </c>
      <c r="P899" s="20">
        <v>0.48999999999999988</v>
      </c>
      <c r="Q899" s="20"/>
      <c r="R899" s="20"/>
      <c r="S899" s="20"/>
      <c r="T899" s="20">
        <v>0.51</v>
      </c>
    </row>
    <row r="900" spans="13:20" x14ac:dyDescent="0.2">
      <c r="M900" s="20">
        <v>1.0894593143071665E-2</v>
      </c>
      <c r="N900" s="20">
        <v>1.270553328389286E-3</v>
      </c>
      <c r="O900" s="20">
        <v>0.1166223751271781</v>
      </c>
      <c r="P900" s="20"/>
      <c r="Q900" s="20"/>
      <c r="R900" s="20">
        <v>0.68</v>
      </c>
      <c r="S900" s="20">
        <v>0</v>
      </c>
      <c r="T900" s="20">
        <v>0.31999999999999984</v>
      </c>
    </row>
    <row r="901" spans="13:20" x14ac:dyDescent="0.2">
      <c r="M901" s="20">
        <v>1.6280068522945342E-2</v>
      </c>
      <c r="N901" s="20">
        <v>1.4649597487216804E-3</v>
      </c>
      <c r="O901" s="20">
        <v>8.9984863801829018E-2</v>
      </c>
      <c r="P901" s="20">
        <v>0.15</v>
      </c>
      <c r="Q901" s="20">
        <v>0.77</v>
      </c>
      <c r="R901" s="20">
        <v>8.0000000000000071E-2</v>
      </c>
      <c r="S901" s="20"/>
      <c r="T901" s="20"/>
    </row>
    <row r="902" spans="13:20" x14ac:dyDescent="0.2">
      <c r="M902" s="20">
        <v>1.148920964723065E-2</v>
      </c>
      <c r="N902" s="20">
        <v>5.8493050256425735E-4</v>
      </c>
      <c r="O902" s="20">
        <v>5.0911291596567619E-2</v>
      </c>
      <c r="P902" s="20"/>
      <c r="Q902" s="20"/>
      <c r="R902" s="20"/>
      <c r="S902" s="20">
        <v>0.94</v>
      </c>
      <c r="T902" s="20">
        <v>5.9999999999999942E-2</v>
      </c>
    </row>
    <row r="903" spans="13:20" x14ac:dyDescent="0.2">
      <c r="M903" s="20">
        <v>1.4188266558946014E-2</v>
      </c>
      <c r="N903" s="20">
        <v>2.4751663050262196E-3</v>
      </c>
      <c r="O903" s="20">
        <v>0.17445163542304418</v>
      </c>
      <c r="P903" s="20">
        <v>0.91</v>
      </c>
      <c r="Q903" s="20">
        <v>8.9999999999999858E-2</v>
      </c>
      <c r="R903" s="20"/>
      <c r="S903" s="20"/>
      <c r="T903" s="20"/>
    </row>
    <row r="904" spans="13:20" x14ac:dyDescent="0.2">
      <c r="M904" s="20">
        <v>9.9533208727755271E-3</v>
      </c>
      <c r="N904" s="20">
        <v>1.0038317304637244E-3</v>
      </c>
      <c r="O904" s="20">
        <v>0.10085395048495022</v>
      </c>
      <c r="P904" s="20"/>
      <c r="Q904" s="20"/>
      <c r="R904" s="20">
        <v>0.77</v>
      </c>
      <c r="S904" s="20">
        <v>0.22999999999999998</v>
      </c>
      <c r="T904" s="20"/>
    </row>
    <row r="905" spans="13:20" x14ac:dyDescent="0.2">
      <c r="M905" s="20">
        <v>9.8269661087508967E-3</v>
      </c>
      <c r="N905" s="20">
        <v>8.3474183093546666E-4</v>
      </c>
      <c r="O905" s="20">
        <v>8.4944002217747602E-2</v>
      </c>
      <c r="P905" s="20"/>
      <c r="Q905" s="20">
        <v>0.04</v>
      </c>
      <c r="R905" s="20">
        <v>0.45</v>
      </c>
      <c r="S905" s="20">
        <v>0.51</v>
      </c>
      <c r="T905" s="20"/>
    </row>
    <row r="906" spans="13:20" x14ac:dyDescent="0.2">
      <c r="M906" s="20">
        <v>1.2629863889833153E-2</v>
      </c>
      <c r="N906" s="20">
        <v>1.9380765542771788E-3</v>
      </c>
      <c r="O906" s="20">
        <v>0.15345189553763131</v>
      </c>
      <c r="P906" s="20">
        <v>0.43</v>
      </c>
      <c r="Q906" s="20">
        <v>0.19999999999999996</v>
      </c>
      <c r="R906" s="20"/>
      <c r="S906" s="20"/>
      <c r="T906" s="20">
        <v>0.37</v>
      </c>
    </row>
    <row r="907" spans="13:20" x14ac:dyDescent="0.2">
      <c r="M907" s="20">
        <v>1.4023348987052714E-2</v>
      </c>
      <c r="N907" s="20">
        <v>1.7880753250055002E-3</v>
      </c>
      <c r="O907" s="20">
        <v>0.12750701181696114</v>
      </c>
      <c r="P907" s="20">
        <v>0.24999999999999989</v>
      </c>
      <c r="Q907" s="20"/>
      <c r="R907" s="20"/>
      <c r="S907" s="20">
        <v>0.01</v>
      </c>
      <c r="T907" s="20">
        <v>0.74</v>
      </c>
    </row>
    <row r="908" spans="13:20" x14ac:dyDescent="0.2">
      <c r="M908" s="20">
        <v>1.0296407620438911E-2</v>
      </c>
      <c r="N908" s="20">
        <v>1.6576408780315396E-3</v>
      </c>
      <c r="O908" s="20">
        <v>0.16099215756969792</v>
      </c>
      <c r="P908" s="20">
        <v>0.41</v>
      </c>
      <c r="Q908" s="20">
        <v>0.09</v>
      </c>
      <c r="R908" s="20">
        <v>0.3</v>
      </c>
      <c r="S908" s="20">
        <v>0.17000000000000015</v>
      </c>
      <c r="T908" s="20">
        <v>0.03</v>
      </c>
    </row>
    <row r="909" spans="13:20" x14ac:dyDescent="0.2">
      <c r="M909" s="20">
        <v>9.9927369620703664E-3</v>
      </c>
      <c r="N909" s="20">
        <v>7.3610465085606404E-4</v>
      </c>
      <c r="O909" s="20">
        <v>7.3663967504609726E-2</v>
      </c>
      <c r="P909" s="20"/>
      <c r="Q909" s="20"/>
      <c r="R909" s="20">
        <v>0.34</v>
      </c>
      <c r="S909" s="20">
        <v>0.66</v>
      </c>
      <c r="T909" s="20"/>
    </row>
    <row r="910" spans="13:20" x14ac:dyDescent="0.2">
      <c r="M910" s="20">
        <v>1.8001796391182504E-2</v>
      </c>
      <c r="N910" s="20">
        <v>1.2676468808093654E-3</v>
      </c>
      <c r="O910" s="20">
        <v>7.0417799049781168E-2</v>
      </c>
      <c r="P910" s="20"/>
      <c r="Q910" s="20">
        <v>0.92</v>
      </c>
      <c r="R910" s="20">
        <v>7.999999999999996E-2</v>
      </c>
      <c r="S910" s="20"/>
      <c r="T910" s="20"/>
    </row>
    <row r="911" spans="13:20" x14ac:dyDescent="0.2">
      <c r="M911" s="20">
        <v>1.3140044380384162E-2</v>
      </c>
      <c r="N911" s="20">
        <v>2.0208714049325138E-3</v>
      </c>
      <c r="O911" s="20">
        <v>0.15379486906066536</v>
      </c>
      <c r="P911" s="20">
        <v>0.46000000000000008</v>
      </c>
      <c r="Q911" s="20"/>
      <c r="R911" s="20"/>
      <c r="S911" s="20"/>
      <c r="T911" s="20">
        <v>0.54</v>
      </c>
    </row>
    <row r="912" spans="13:20" x14ac:dyDescent="0.2">
      <c r="M912" s="20">
        <v>9.9911027456090467E-3</v>
      </c>
      <c r="N912" s="20">
        <v>1.5413218547557371E-3</v>
      </c>
      <c r="O912" s="20">
        <v>0.15426944292341777</v>
      </c>
      <c r="P912" s="20">
        <v>0.27000000000000013</v>
      </c>
      <c r="Q912" s="20"/>
      <c r="R912" s="20">
        <v>0.25</v>
      </c>
      <c r="S912" s="20">
        <v>0.18</v>
      </c>
      <c r="T912" s="20">
        <v>0.3</v>
      </c>
    </row>
    <row r="913" spans="13:20" x14ac:dyDescent="0.2">
      <c r="M913" s="20">
        <v>1.0678381654700331E-2</v>
      </c>
      <c r="N913" s="20">
        <v>6.9587839260782519E-4</v>
      </c>
      <c r="O913" s="20">
        <v>6.5167027655498588E-2</v>
      </c>
      <c r="P913" s="20"/>
      <c r="Q913" s="20"/>
      <c r="R913" s="20"/>
      <c r="S913" s="20">
        <v>0.83</v>
      </c>
      <c r="T913" s="20">
        <v>0.16999999999999993</v>
      </c>
    </row>
    <row r="914" spans="13:20" x14ac:dyDescent="0.2">
      <c r="M914" s="20">
        <v>1.0428899969981496E-2</v>
      </c>
      <c r="N914" s="20">
        <v>1.035290155605521E-3</v>
      </c>
      <c r="O914" s="20">
        <v>9.9271271043494133E-2</v>
      </c>
      <c r="P914" s="20">
        <v>0.14000000000000001</v>
      </c>
      <c r="Q914" s="20">
        <v>0.12</v>
      </c>
      <c r="R914" s="20">
        <v>0.21</v>
      </c>
      <c r="S914" s="20">
        <v>0.53000000000000014</v>
      </c>
      <c r="T914" s="20"/>
    </row>
    <row r="915" spans="13:20" x14ac:dyDescent="0.2">
      <c r="M915" s="20">
        <v>1.4516805794357721E-2</v>
      </c>
      <c r="N915" s="20">
        <v>1.7451353282312454E-3</v>
      </c>
      <c r="O915" s="20">
        <v>0.12021482914027347</v>
      </c>
      <c r="P915" s="20">
        <v>0.19999999999999996</v>
      </c>
      <c r="Q915" s="20"/>
      <c r="R915" s="20"/>
      <c r="S915" s="20"/>
      <c r="T915" s="20">
        <v>0.8</v>
      </c>
    </row>
    <row r="916" spans="13:20" x14ac:dyDescent="0.2">
      <c r="M916" s="20">
        <v>7.1736687616552729E-3</v>
      </c>
      <c r="N916" s="20">
        <v>8.6764310614961912E-4</v>
      </c>
      <c r="O916" s="20">
        <v>0.12094830901411965</v>
      </c>
      <c r="P916" s="20">
        <v>0.13</v>
      </c>
      <c r="Q916" s="20">
        <v>0.25</v>
      </c>
      <c r="R916" s="20">
        <v>0.09</v>
      </c>
      <c r="S916" s="20">
        <v>0.03</v>
      </c>
      <c r="T916" s="20">
        <v>0.06</v>
      </c>
    </row>
    <row r="917" spans="13:20" x14ac:dyDescent="0.2">
      <c r="M917" s="20">
        <v>1.4123718142303425E-2</v>
      </c>
      <c r="N917" s="20">
        <v>2.027923804424972E-3</v>
      </c>
      <c r="O917" s="20">
        <v>0.14358285714800023</v>
      </c>
      <c r="P917" s="20">
        <v>0.56999999999999995</v>
      </c>
      <c r="Q917" s="20">
        <v>0.42999999999999994</v>
      </c>
      <c r="R917" s="20"/>
      <c r="S917" s="20"/>
      <c r="T917" s="20"/>
    </row>
    <row r="918" spans="13:20" x14ac:dyDescent="0.2">
      <c r="M918" s="20">
        <v>1.3176423407809038E-2</v>
      </c>
      <c r="N918" s="20">
        <v>9.0192758255971082E-4</v>
      </c>
      <c r="O918" s="20">
        <v>6.8450106272782738E-2</v>
      </c>
      <c r="P918" s="20"/>
      <c r="Q918" s="20">
        <v>0.41</v>
      </c>
      <c r="R918" s="20">
        <v>0.11</v>
      </c>
      <c r="S918" s="20">
        <v>0.48</v>
      </c>
      <c r="T918" s="20"/>
    </row>
    <row r="919" spans="13:20" x14ac:dyDescent="0.2">
      <c r="M919" s="20">
        <v>1.2594249762566156E-2</v>
      </c>
      <c r="N919" s="20">
        <v>1.6636719383438816E-3</v>
      </c>
      <c r="O919" s="20">
        <v>0.13209774061245061</v>
      </c>
      <c r="P919" s="20">
        <v>0.32</v>
      </c>
      <c r="Q919" s="20">
        <v>0.41</v>
      </c>
      <c r="R919" s="20">
        <v>0.27000000000000013</v>
      </c>
      <c r="S919" s="20"/>
      <c r="T919" s="20"/>
    </row>
    <row r="920" spans="13:20" x14ac:dyDescent="0.2">
      <c r="M920" s="20">
        <v>1.2840115359770742E-2</v>
      </c>
      <c r="N920" s="20">
        <v>7.4790789566223179E-4</v>
      </c>
      <c r="O920" s="20">
        <v>5.8247755156896466E-2</v>
      </c>
      <c r="P920" s="20"/>
      <c r="Q920" s="20">
        <v>0.28000000000000003</v>
      </c>
      <c r="R920" s="20">
        <v>0.02</v>
      </c>
      <c r="S920" s="20">
        <v>0.7</v>
      </c>
      <c r="T920" s="20"/>
    </row>
    <row r="921" spans="13:20" x14ac:dyDescent="0.2">
      <c r="M921" s="20">
        <v>1.2494847842069487E-2</v>
      </c>
      <c r="N921" s="20">
        <v>1.4009018637840302E-3</v>
      </c>
      <c r="O921" s="20">
        <v>0.11211836122303692</v>
      </c>
      <c r="P921" s="20">
        <v>0.28999999999999998</v>
      </c>
      <c r="Q921" s="20">
        <v>0.34000000000000008</v>
      </c>
      <c r="R921" s="20"/>
      <c r="S921" s="20">
        <v>0.35</v>
      </c>
      <c r="T921" s="20">
        <v>0.02</v>
      </c>
    </row>
    <row r="922" spans="13:20" x14ac:dyDescent="0.2">
      <c r="M922" s="20">
        <v>1.0051442704506577E-2</v>
      </c>
      <c r="N922" s="20">
        <v>1.5044993829405981E-3</v>
      </c>
      <c r="O922" s="20">
        <v>0.14967994418015773</v>
      </c>
      <c r="P922" s="20">
        <v>0.27</v>
      </c>
      <c r="Q922" s="20">
        <v>0.08</v>
      </c>
      <c r="R922" s="20">
        <v>0.57999999999999996</v>
      </c>
      <c r="S922" s="20">
        <v>7.0000000000000173E-2</v>
      </c>
      <c r="T922" s="20"/>
    </row>
    <row r="923" spans="13:20" x14ac:dyDescent="0.2">
      <c r="M923" s="20">
        <v>1.390963939135785E-2</v>
      </c>
      <c r="N923" s="20">
        <v>1.6517845910851857E-3</v>
      </c>
      <c r="O923" s="20">
        <v>0.11875107216017766</v>
      </c>
      <c r="P923" s="20">
        <v>0.3</v>
      </c>
      <c r="Q923" s="20">
        <v>0.54</v>
      </c>
      <c r="R923" s="20">
        <v>0.15999999999999992</v>
      </c>
      <c r="S923" s="20"/>
      <c r="T923" s="20"/>
    </row>
    <row r="924" spans="13:20" x14ac:dyDescent="0.2">
      <c r="M924" s="20">
        <v>1.8001796391182507E-2</v>
      </c>
      <c r="N924" s="20">
        <v>1.2676468808093654E-3</v>
      </c>
      <c r="O924" s="20">
        <v>7.0417799049781155E-2</v>
      </c>
      <c r="P924" s="20"/>
      <c r="Q924" s="20">
        <v>0.92</v>
      </c>
      <c r="R924" s="20">
        <v>8.0000000000000071E-2</v>
      </c>
      <c r="S924" s="20"/>
      <c r="T924" s="20"/>
    </row>
    <row r="925" spans="13:20" x14ac:dyDescent="0.2">
      <c r="M925" s="20">
        <v>1.6200182288353199E-2</v>
      </c>
      <c r="N925" s="20">
        <v>1.5436358875649339E-3</v>
      </c>
      <c r="O925" s="20">
        <v>9.5285093716179992E-2</v>
      </c>
      <c r="P925" s="20">
        <v>9.9999999999998979E-3</v>
      </c>
      <c r="Q925" s="20"/>
      <c r="R925" s="20"/>
      <c r="S925" s="20"/>
      <c r="T925" s="20">
        <v>0.99</v>
      </c>
    </row>
    <row r="926" spans="13:20" x14ac:dyDescent="0.2">
      <c r="M926" s="20">
        <v>1.0729014215921739E-2</v>
      </c>
      <c r="N926" s="20">
        <v>6.4271148355106618E-4</v>
      </c>
      <c r="O926" s="20">
        <v>5.9904057410725527E-2</v>
      </c>
      <c r="P926" s="20"/>
      <c r="Q926" s="20"/>
      <c r="R926" s="20">
        <v>0.19</v>
      </c>
      <c r="S926" s="20">
        <v>0.80999999999999994</v>
      </c>
      <c r="T926" s="20"/>
    </row>
    <row r="927" spans="13:20" x14ac:dyDescent="0.2">
      <c r="M927" s="20">
        <v>1.4273481573858953E-2</v>
      </c>
      <c r="N927" s="20">
        <v>2.501474687414529E-3</v>
      </c>
      <c r="O927" s="20">
        <v>0.17525329573380566</v>
      </c>
      <c r="P927" s="20">
        <v>0.93</v>
      </c>
      <c r="Q927" s="20">
        <v>7.0000000000000062E-2</v>
      </c>
      <c r="R927" s="20"/>
      <c r="S927" s="20"/>
      <c r="T927" s="20"/>
    </row>
    <row r="928" spans="13:20" x14ac:dyDescent="0.2">
      <c r="M928" s="20">
        <v>1.2575938306504112E-2</v>
      </c>
      <c r="N928" s="20">
        <v>1.7026976087638193E-3</v>
      </c>
      <c r="O928" s="20">
        <v>0.13539328575452744</v>
      </c>
      <c r="P928" s="20">
        <v>0.42</v>
      </c>
      <c r="Q928" s="20">
        <v>0.33000000000000007</v>
      </c>
      <c r="R928" s="20"/>
      <c r="S928" s="20">
        <v>0.19</v>
      </c>
      <c r="T928" s="20">
        <v>0.06</v>
      </c>
    </row>
    <row r="929" spans="13:20" x14ac:dyDescent="0.2">
      <c r="M929" s="20">
        <v>1.7001045882918224E-2</v>
      </c>
      <c r="N929" s="20">
        <v>1.514910347852953E-3</v>
      </c>
      <c r="O929" s="20">
        <v>8.9106891322201356E-2</v>
      </c>
      <c r="P929" s="20">
        <v>0.18</v>
      </c>
      <c r="Q929" s="20">
        <v>0.82</v>
      </c>
      <c r="R929" s="20"/>
      <c r="S929" s="20"/>
      <c r="T929" s="20"/>
    </row>
    <row r="930" spans="13:20" x14ac:dyDescent="0.2">
      <c r="M930" s="20">
        <v>1.0457552217227443E-2</v>
      </c>
      <c r="N930" s="20">
        <v>9.8837737544995837E-4</v>
      </c>
      <c r="O930" s="20">
        <v>9.4513262273913073E-2</v>
      </c>
      <c r="P930" s="20"/>
      <c r="Q930" s="20"/>
      <c r="R930" s="20"/>
      <c r="S930" s="20">
        <v>0.54</v>
      </c>
      <c r="T930" s="20">
        <v>0.45999999999999996</v>
      </c>
    </row>
    <row r="931" spans="13:20" x14ac:dyDescent="0.2">
      <c r="M931" s="20">
        <v>1.020004936847505E-2</v>
      </c>
      <c r="N931" s="20">
        <v>8.3708479811782062E-4</v>
      </c>
      <c r="O931" s="20">
        <v>8.2066739863531496E-2</v>
      </c>
      <c r="P931" s="20"/>
      <c r="Q931" s="20"/>
      <c r="R931" s="20"/>
      <c r="S931" s="20">
        <v>0.69</v>
      </c>
      <c r="T931" s="20">
        <v>0.31000000000000005</v>
      </c>
    </row>
    <row r="932" spans="13:20" x14ac:dyDescent="0.2">
      <c r="M932" s="20">
        <v>1.0304214798572258E-2</v>
      </c>
      <c r="N932" s="20">
        <v>1.5573030707468078E-3</v>
      </c>
      <c r="O932" s="20">
        <v>0.15113262885034059</v>
      </c>
      <c r="P932" s="20">
        <v>0.22999999999999998</v>
      </c>
      <c r="Q932" s="20"/>
      <c r="R932" s="20">
        <v>0.36</v>
      </c>
      <c r="S932" s="20">
        <v>0.08</v>
      </c>
      <c r="T932" s="20">
        <v>0.33</v>
      </c>
    </row>
    <row r="933" spans="13:20" x14ac:dyDescent="0.2">
      <c r="M933" s="20">
        <v>1.0206866714333995E-2</v>
      </c>
      <c r="N933" s="20">
        <v>8.9760182905067559E-4</v>
      </c>
      <c r="O933" s="20">
        <v>8.7940976812220933E-2</v>
      </c>
      <c r="P933" s="20"/>
      <c r="Q933" s="20"/>
      <c r="R933" s="20"/>
      <c r="S933" s="20">
        <v>0.63</v>
      </c>
      <c r="T933" s="20">
        <v>0.36999999999999988</v>
      </c>
    </row>
    <row r="934" spans="13:20" x14ac:dyDescent="0.2">
      <c r="M934" s="20">
        <v>1.3640414807856069E-2</v>
      </c>
      <c r="N934" s="20">
        <v>2.048988174038876E-3</v>
      </c>
      <c r="O934" s="20">
        <v>0.1502145061496796</v>
      </c>
      <c r="P934" s="20">
        <v>0.59</v>
      </c>
      <c r="Q934" s="20">
        <v>0.37</v>
      </c>
      <c r="R934" s="20">
        <v>4.0000000000000036E-2</v>
      </c>
      <c r="S934" s="20"/>
      <c r="T934" s="20"/>
    </row>
    <row r="935" spans="13:20" x14ac:dyDescent="0.2">
      <c r="M935" s="20">
        <v>1.1863708145930605E-2</v>
      </c>
      <c r="N935" s="20">
        <v>5.4458581527568734E-4</v>
      </c>
      <c r="O935" s="20">
        <v>4.5903507451208407E-2</v>
      </c>
      <c r="P935" s="20"/>
      <c r="Q935" s="20"/>
      <c r="R935" s="20"/>
      <c r="S935" s="20">
        <v>0.98</v>
      </c>
      <c r="T935" s="20">
        <v>1.9999999999999907E-2</v>
      </c>
    </row>
    <row r="936" spans="13:20" x14ac:dyDescent="0.2">
      <c r="M936" s="20">
        <v>1.3429929163689722E-2</v>
      </c>
      <c r="N936" s="20">
        <v>1.6957425929148067E-3</v>
      </c>
      <c r="O936" s="20">
        <v>0.12626593723960644</v>
      </c>
      <c r="P936" s="20">
        <v>0.21999999999999997</v>
      </c>
      <c r="Q936" s="20"/>
      <c r="R936" s="20"/>
      <c r="S936" s="20">
        <v>7.0000000000000007E-2</v>
      </c>
      <c r="T936" s="20">
        <v>0.71</v>
      </c>
    </row>
    <row r="937" spans="13:20" x14ac:dyDescent="0.2">
      <c r="M937" s="20">
        <v>1.0850416461202859E-2</v>
      </c>
      <c r="N937" s="20">
        <v>6.3025906124373316E-4</v>
      </c>
      <c r="O937" s="20">
        <v>5.8086163189893243E-2</v>
      </c>
      <c r="P937" s="20"/>
      <c r="Q937" s="20"/>
      <c r="R937" s="20">
        <v>0.17</v>
      </c>
      <c r="S937" s="20">
        <v>0.83</v>
      </c>
      <c r="T937" s="20"/>
    </row>
    <row r="938" spans="13:20" x14ac:dyDescent="0.2">
      <c r="M938" s="20">
        <v>1.4107761123317455E-2</v>
      </c>
      <c r="N938" s="20">
        <v>1.2243837754205254E-3</v>
      </c>
      <c r="O938" s="20">
        <v>8.6787957686414979E-2</v>
      </c>
      <c r="P938" s="20"/>
      <c r="Q938" s="20">
        <v>0.59</v>
      </c>
      <c r="R938" s="20">
        <v>0.41000000000000003</v>
      </c>
      <c r="S938" s="20"/>
      <c r="T938" s="20"/>
    </row>
    <row r="939" spans="13:20" x14ac:dyDescent="0.2">
      <c r="M939" s="20">
        <v>1.1668151988341318E-2</v>
      </c>
      <c r="N939" s="20">
        <v>1.1837426764188881E-3</v>
      </c>
      <c r="O939" s="20">
        <v>0.10145074195139642</v>
      </c>
      <c r="P939" s="20"/>
      <c r="Q939" s="20">
        <v>0.28000000000000003</v>
      </c>
      <c r="R939" s="20">
        <v>0.72</v>
      </c>
      <c r="S939" s="20"/>
      <c r="T939" s="20"/>
    </row>
    <row r="940" spans="13:20" x14ac:dyDescent="0.2">
      <c r="M940" s="20">
        <v>1.3044338301955736E-2</v>
      </c>
      <c r="N940" s="20">
        <v>2.0632923398096322E-3</v>
      </c>
      <c r="O940" s="20">
        <v>0.15817531652795935</v>
      </c>
      <c r="P940" s="20">
        <v>0.50000000000000011</v>
      </c>
      <c r="Q940" s="20"/>
      <c r="R940" s="20"/>
      <c r="S940" s="20"/>
      <c r="T940" s="20">
        <v>0.5</v>
      </c>
    </row>
    <row r="941" spans="13:20" x14ac:dyDescent="0.2">
      <c r="M941" s="20">
        <v>1.3900120420019861E-2</v>
      </c>
      <c r="N941" s="20">
        <v>2.1331573339782072E-3</v>
      </c>
      <c r="O941" s="20">
        <v>0.15346322690168171</v>
      </c>
      <c r="P941" s="20">
        <v>0.65</v>
      </c>
      <c r="Q941" s="20">
        <v>0.35</v>
      </c>
      <c r="R941" s="20"/>
      <c r="S941" s="20"/>
      <c r="T941" s="20"/>
    </row>
    <row r="942" spans="13:20" x14ac:dyDescent="0.2">
      <c r="M942" s="20">
        <v>1.0977451207559594E-2</v>
      </c>
      <c r="N942" s="20">
        <v>6.8734940647709381E-4</v>
      </c>
      <c r="O942" s="20">
        <v>6.2614662864887288E-2</v>
      </c>
      <c r="P942" s="20">
        <v>3.0000000000000027E-2</v>
      </c>
      <c r="Q942" s="20"/>
      <c r="R942" s="20"/>
      <c r="S942" s="20">
        <v>0.87</v>
      </c>
      <c r="T942" s="20">
        <v>0.1</v>
      </c>
    </row>
    <row r="943" spans="13:20" x14ac:dyDescent="0.2">
      <c r="M943" s="20">
        <v>1.2775777626675748E-2</v>
      </c>
      <c r="N943" s="20">
        <v>1.8871899393358756E-3</v>
      </c>
      <c r="O943" s="20">
        <v>0.14771624823802776</v>
      </c>
      <c r="P943" s="20">
        <v>0.37</v>
      </c>
      <c r="Q943" s="20">
        <v>0.14999999999999991</v>
      </c>
      <c r="R943" s="20"/>
      <c r="S943" s="20"/>
      <c r="T943" s="20">
        <v>0.48</v>
      </c>
    </row>
    <row r="944" spans="13:20" x14ac:dyDescent="0.2">
      <c r="M944" s="20">
        <v>1.0883169457945992E-2</v>
      </c>
      <c r="N944" s="20">
        <v>1.1572346329613101E-3</v>
      </c>
      <c r="O944" s="20">
        <v>0.10633250152292659</v>
      </c>
      <c r="P944" s="20"/>
      <c r="Q944" s="20">
        <v>0.15</v>
      </c>
      <c r="R944" s="20">
        <v>0.77</v>
      </c>
      <c r="S944" s="20">
        <v>0.04</v>
      </c>
      <c r="T944" s="20">
        <v>3.9999999999999813E-2</v>
      </c>
    </row>
    <row r="945" spans="13:20" x14ac:dyDescent="0.2">
      <c r="M945" s="20">
        <v>1.0556532643402264E-2</v>
      </c>
      <c r="N945" s="20">
        <v>6.6139011701206582E-4</v>
      </c>
      <c r="O945" s="20">
        <v>6.2652211607134897E-2</v>
      </c>
      <c r="P945" s="20"/>
      <c r="Q945" s="20"/>
      <c r="R945" s="20">
        <v>0.22</v>
      </c>
      <c r="S945" s="20">
        <v>0.77999999999999992</v>
      </c>
      <c r="T945" s="20"/>
    </row>
    <row r="946" spans="13:20" x14ac:dyDescent="0.2">
      <c r="M946" s="20">
        <v>1.5998727079513643E-2</v>
      </c>
      <c r="N946" s="20">
        <v>1.2466708297117458E-3</v>
      </c>
      <c r="O946" s="20">
        <v>7.7923126228467698E-2</v>
      </c>
      <c r="P946" s="20"/>
      <c r="Q946" s="20">
        <v>0.76</v>
      </c>
      <c r="R946" s="20">
        <v>0.23999999999999988</v>
      </c>
      <c r="S946" s="20"/>
      <c r="T946" s="20"/>
    </row>
    <row r="947" spans="13:20" x14ac:dyDescent="0.2">
      <c r="M947" s="20">
        <v>1.8928536094734424E-2</v>
      </c>
      <c r="N947" s="20">
        <v>1.2768239031645738E-3</v>
      </c>
      <c r="O947" s="20">
        <v>6.745497363210054E-2</v>
      </c>
      <c r="P947" s="20"/>
      <c r="Q947" s="20">
        <v>0.99</v>
      </c>
      <c r="R947" s="20">
        <v>1.0000000000000009E-2</v>
      </c>
      <c r="S947" s="20"/>
      <c r="T947" s="20"/>
    </row>
    <row r="948" spans="13:20" x14ac:dyDescent="0.2">
      <c r="M948" s="20">
        <v>1.0108202031305797E-2</v>
      </c>
      <c r="N948" s="20">
        <v>1.3623060546866948E-3</v>
      </c>
      <c r="O948" s="20">
        <v>0.13477234135878363</v>
      </c>
      <c r="P948" s="20">
        <v>0.10999999999999988</v>
      </c>
      <c r="Q948" s="20"/>
      <c r="R948" s="20">
        <v>0.64</v>
      </c>
      <c r="S948" s="20">
        <v>0.04</v>
      </c>
      <c r="T948" s="20">
        <v>0.21</v>
      </c>
    </row>
    <row r="949" spans="13:20" x14ac:dyDescent="0.2">
      <c r="M949" s="20">
        <v>1.1526754040348287E-2</v>
      </c>
      <c r="N949" s="20">
        <v>1.1798096668380843E-3</v>
      </c>
      <c r="O949" s="20">
        <v>0.10235402462031155</v>
      </c>
      <c r="P949" s="20"/>
      <c r="Q949" s="20">
        <v>0.25</v>
      </c>
      <c r="R949" s="20">
        <v>0.75</v>
      </c>
      <c r="S949" s="20"/>
      <c r="T949" s="20"/>
    </row>
    <row r="950" spans="13:20" x14ac:dyDescent="0.2">
      <c r="M950" s="20">
        <v>1.4273481573858949E-2</v>
      </c>
      <c r="N950" s="20">
        <v>2.501474687414529E-3</v>
      </c>
      <c r="O950" s="20">
        <v>0.17525329573380571</v>
      </c>
      <c r="P950" s="20">
        <v>0.93</v>
      </c>
      <c r="Q950" s="20">
        <v>6.9999999999999951E-2</v>
      </c>
      <c r="R950" s="20"/>
      <c r="S950" s="20"/>
      <c r="T950" s="20"/>
    </row>
    <row r="951" spans="13:20" x14ac:dyDescent="0.2">
      <c r="M951" s="20">
        <v>1.5344006605141125E-2</v>
      </c>
      <c r="N951" s="20">
        <v>1.6390829910384497E-3</v>
      </c>
      <c r="O951" s="20">
        <v>0.1068223595843124</v>
      </c>
      <c r="P951" s="20">
        <v>9.9999999999999867E-2</v>
      </c>
      <c r="Q951" s="20"/>
      <c r="R951" s="20"/>
      <c r="S951" s="20"/>
      <c r="T951" s="20">
        <v>0.9</v>
      </c>
    </row>
    <row r="952" spans="13:20" x14ac:dyDescent="0.2">
      <c r="M952" s="20">
        <v>1.194726974926384E-2</v>
      </c>
      <c r="N952" s="20">
        <v>8.2000042311902754E-4</v>
      </c>
      <c r="O952" s="20">
        <v>6.863496349612043E-2</v>
      </c>
      <c r="P952" s="20"/>
      <c r="Q952" s="20">
        <v>0.26</v>
      </c>
      <c r="R952" s="20">
        <v>0.16</v>
      </c>
      <c r="S952" s="20">
        <v>0.57999999999999996</v>
      </c>
      <c r="T952" s="20"/>
    </row>
    <row r="953" spans="13:20" x14ac:dyDescent="0.2">
      <c r="M953" s="20">
        <v>1.1489209647230651E-2</v>
      </c>
      <c r="N953" s="20">
        <v>5.8493050256425757E-4</v>
      </c>
      <c r="O953" s="20">
        <v>5.0911291596567619E-2</v>
      </c>
      <c r="P953" s="20"/>
      <c r="Q953" s="20"/>
      <c r="R953" s="20"/>
      <c r="S953" s="20">
        <v>0.94</v>
      </c>
      <c r="T953" s="20">
        <v>6.0000000000000053E-2</v>
      </c>
    </row>
    <row r="954" spans="13:20" x14ac:dyDescent="0.2">
      <c r="M954" s="20">
        <v>1.0738752877259276E-2</v>
      </c>
      <c r="N954" s="20">
        <v>1.0660980580641463E-3</v>
      </c>
      <c r="O954" s="20">
        <v>9.9275779063856595E-2</v>
      </c>
      <c r="P954" s="20"/>
      <c r="Q954" s="20">
        <v>0.19</v>
      </c>
      <c r="R954" s="20">
        <v>0.64</v>
      </c>
      <c r="S954" s="20">
        <v>0.16999999999999993</v>
      </c>
      <c r="T954" s="20"/>
    </row>
    <row r="955" spans="13:20" x14ac:dyDescent="0.2">
      <c r="M955" s="20">
        <v>9.1839692802579871E-3</v>
      </c>
      <c r="N955" s="20">
        <v>1.0820244447874584E-3</v>
      </c>
      <c r="O955" s="20">
        <v>0.11781664460849146</v>
      </c>
      <c r="P955" s="20">
        <v>0.12</v>
      </c>
      <c r="Q955" s="20"/>
      <c r="R955" s="20">
        <v>0.27</v>
      </c>
      <c r="S955" s="20">
        <v>0.47</v>
      </c>
      <c r="T955" s="20">
        <v>0.14000000000000001</v>
      </c>
    </row>
    <row r="956" spans="13:20" x14ac:dyDescent="0.2">
      <c r="M956" s="20">
        <v>1.5255066422544934E-2</v>
      </c>
      <c r="N956" s="20">
        <v>1.6496882247577292E-3</v>
      </c>
      <c r="O956" s="20">
        <v>0.10814035016718852</v>
      </c>
      <c r="P956" s="20">
        <v>0.10999999999999988</v>
      </c>
      <c r="Q956" s="20"/>
      <c r="R956" s="20"/>
      <c r="S956" s="20"/>
      <c r="T956" s="20">
        <v>0.89</v>
      </c>
    </row>
    <row r="957" spans="13:20" x14ac:dyDescent="0.2">
      <c r="M957" s="20">
        <v>1.3151819981509568E-2</v>
      </c>
      <c r="N957" s="20">
        <v>1.8995253228904694E-3</v>
      </c>
      <c r="O957" s="20">
        <v>0.14443060546457095</v>
      </c>
      <c r="P957" s="20">
        <v>0.36</v>
      </c>
      <c r="Q957" s="20">
        <v>6.0000000000000053E-2</v>
      </c>
      <c r="R957" s="20"/>
      <c r="S957" s="20"/>
      <c r="T957" s="20">
        <v>0.57999999999999996</v>
      </c>
    </row>
    <row r="958" spans="13:20" x14ac:dyDescent="0.2">
      <c r="M958" s="20">
        <v>1.3296815935497617E-2</v>
      </c>
      <c r="N958" s="20">
        <v>1.6563312204304081E-3</v>
      </c>
      <c r="O958" s="20">
        <v>0.12456600350529122</v>
      </c>
      <c r="P958" s="20">
        <v>0.21</v>
      </c>
      <c r="Q958" s="20">
        <v>0.39000000000000012</v>
      </c>
      <c r="R958" s="20"/>
      <c r="S958" s="20"/>
      <c r="T958" s="20">
        <v>0.4</v>
      </c>
    </row>
    <row r="959" spans="13:20" x14ac:dyDescent="0.2">
      <c r="M959" s="20">
        <v>1.0447636538556886E-2</v>
      </c>
      <c r="N959" s="20">
        <v>1.1393001533212405E-3</v>
      </c>
      <c r="O959" s="20">
        <v>0.10904860148193957</v>
      </c>
      <c r="P959" s="20"/>
      <c r="Q959" s="20"/>
      <c r="R959" s="20">
        <v>0.21</v>
      </c>
      <c r="S959" s="20">
        <v>0.31</v>
      </c>
      <c r="T959" s="20">
        <v>0.48000000000000009</v>
      </c>
    </row>
    <row r="960" spans="13:20" x14ac:dyDescent="0.2">
      <c r="M960" s="20">
        <v>1.076141786180595E-2</v>
      </c>
      <c r="N960" s="20">
        <v>1.3916002525591197E-3</v>
      </c>
      <c r="O960" s="20">
        <v>0.12931383860654075</v>
      </c>
      <c r="P960" s="20">
        <v>0.18999999999999984</v>
      </c>
      <c r="Q960" s="20"/>
      <c r="R960" s="20"/>
      <c r="S960" s="20">
        <v>0.34</v>
      </c>
      <c r="T960" s="20">
        <v>0.47</v>
      </c>
    </row>
    <row r="961" spans="13:20" x14ac:dyDescent="0.2">
      <c r="M961" s="20">
        <v>1.0473843234688167E-2</v>
      </c>
      <c r="N961" s="20">
        <v>7.3622307989639531E-4</v>
      </c>
      <c r="O961" s="20">
        <v>7.0291588617453146E-2</v>
      </c>
      <c r="P961" s="20"/>
      <c r="Q961" s="20"/>
      <c r="R961" s="20"/>
      <c r="S961" s="20">
        <v>0.79</v>
      </c>
      <c r="T961" s="20">
        <v>0.20999999999999996</v>
      </c>
    </row>
    <row r="962" spans="13:20" x14ac:dyDescent="0.2">
      <c r="M962" s="20">
        <v>1.0043237985763611E-2</v>
      </c>
      <c r="N962" s="20">
        <v>7.2663964891530209E-4</v>
      </c>
      <c r="O962" s="20">
        <v>7.2351133164953479E-2</v>
      </c>
      <c r="P962" s="20"/>
      <c r="Q962" s="20"/>
      <c r="R962" s="20">
        <v>0.26</v>
      </c>
      <c r="S962" s="20">
        <v>0.7</v>
      </c>
      <c r="T962" s="20">
        <v>4.0000000000000036E-2</v>
      </c>
    </row>
    <row r="963" spans="13:20" x14ac:dyDescent="0.2">
      <c r="M963" s="20">
        <v>1.0972784808687778E-2</v>
      </c>
      <c r="N963" s="20">
        <v>1.1283559535370546E-3</v>
      </c>
      <c r="O963" s="20">
        <v>0.10283223203681814</v>
      </c>
      <c r="P963" s="20"/>
      <c r="Q963" s="20"/>
      <c r="R963" s="20">
        <v>0.97</v>
      </c>
      <c r="S963" s="20">
        <v>3.0000000000000027E-2</v>
      </c>
      <c r="T963" s="20"/>
    </row>
    <row r="964" spans="13:20" x14ac:dyDescent="0.2">
      <c r="M964" s="20">
        <v>1.5255066422544934E-2</v>
      </c>
      <c r="N964" s="20">
        <v>1.6496882247577299E-3</v>
      </c>
      <c r="O964" s="20">
        <v>0.10814035016718858</v>
      </c>
      <c r="P964" s="20">
        <v>0.1100000000000001</v>
      </c>
      <c r="Q964" s="20"/>
      <c r="R964" s="20"/>
      <c r="S964" s="20"/>
      <c r="T964" s="20">
        <v>0.89</v>
      </c>
    </row>
    <row r="965" spans="13:20" x14ac:dyDescent="0.2">
      <c r="M965" s="20">
        <v>1.2653573775764926E-2</v>
      </c>
      <c r="N965" s="20">
        <v>2.141111671656099E-3</v>
      </c>
      <c r="O965" s="20">
        <v>0.16921003580481875</v>
      </c>
      <c r="P965" s="20">
        <v>0.67</v>
      </c>
      <c r="Q965" s="20">
        <v>0.19</v>
      </c>
      <c r="R965" s="20">
        <v>0.1399999999999999</v>
      </c>
      <c r="S965" s="20"/>
      <c r="T965" s="20"/>
    </row>
    <row r="966" spans="13:20" x14ac:dyDescent="0.2">
      <c r="M966" s="20">
        <v>9.5795363962064995E-3</v>
      </c>
      <c r="N966" s="20">
        <v>8.9798614085139341E-4</v>
      </c>
      <c r="O966" s="20">
        <v>9.3740041658696163E-2</v>
      </c>
      <c r="P966" s="20"/>
      <c r="Q966" s="20"/>
      <c r="R966" s="20">
        <v>0.6</v>
      </c>
      <c r="S966" s="20">
        <v>0.39999999999999991</v>
      </c>
      <c r="T966" s="20"/>
    </row>
    <row r="967" spans="13:20" x14ac:dyDescent="0.2">
      <c r="M967" s="20">
        <v>9.3750437785534522E-3</v>
      </c>
      <c r="N967" s="20">
        <v>1.0413074264260546E-3</v>
      </c>
      <c r="O967" s="20">
        <v>0.11107227347654328</v>
      </c>
      <c r="P967" s="20"/>
      <c r="Q967" s="20"/>
      <c r="R967" s="20">
        <v>0.49</v>
      </c>
      <c r="S967" s="20">
        <v>0.3</v>
      </c>
      <c r="T967" s="20">
        <v>0.20999999999999996</v>
      </c>
    </row>
    <row r="968" spans="13:20" x14ac:dyDescent="0.2">
      <c r="M968" s="20">
        <v>1.3474696834592237E-2</v>
      </c>
      <c r="N968" s="20">
        <v>1.9254243014589975E-3</v>
      </c>
      <c r="O968" s="20">
        <v>0.14289184573830624</v>
      </c>
      <c r="P968" s="20">
        <v>0.36999999999999988</v>
      </c>
      <c r="Q968" s="20"/>
      <c r="R968" s="20"/>
      <c r="S968" s="20"/>
      <c r="T968" s="20">
        <v>0.63</v>
      </c>
    </row>
    <row r="969" spans="13:20" x14ac:dyDescent="0.2">
      <c r="M969" s="20">
        <v>1.0977548684537798E-2</v>
      </c>
      <c r="N969" s="20">
        <v>1.0791529218492411E-3</v>
      </c>
      <c r="O969" s="20">
        <v>9.8305455330775254E-2</v>
      </c>
      <c r="P969" s="20"/>
      <c r="Q969" s="20"/>
      <c r="R969" s="20"/>
      <c r="S969" s="20">
        <v>0.45</v>
      </c>
      <c r="T969" s="20">
        <v>0.55000000000000004</v>
      </c>
    </row>
    <row r="970" spans="13:20" x14ac:dyDescent="0.2">
      <c r="M970" s="20">
        <v>9.5973862690342821E-3</v>
      </c>
      <c r="N970" s="20">
        <v>9.1043856315872643E-4</v>
      </c>
      <c r="O970" s="20">
        <v>9.486317812342647E-2</v>
      </c>
      <c r="P970" s="20"/>
      <c r="Q970" s="20"/>
      <c r="R970" s="20">
        <v>0.62</v>
      </c>
      <c r="S970" s="20">
        <v>0.37999999999999989</v>
      </c>
      <c r="T970" s="20"/>
    </row>
    <row r="971" spans="13:20" x14ac:dyDescent="0.2">
      <c r="M971" s="20">
        <v>1.0654913118182561E-2</v>
      </c>
      <c r="N971" s="20">
        <v>1.861073124772481E-3</v>
      </c>
      <c r="O971" s="20">
        <v>0.17466807135166293</v>
      </c>
      <c r="P971" s="20">
        <v>0.49</v>
      </c>
      <c r="Q971" s="20">
        <v>0.04</v>
      </c>
      <c r="R971" s="20">
        <v>0.47</v>
      </c>
      <c r="S971" s="20"/>
      <c r="T971" s="20"/>
    </row>
    <row r="972" spans="13:20" x14ac:dyDescent="0.2">
      <c r="M972" s="20">
        <v>1.3009110546230461E-2</v>
      </c>
      <c r="N972" s="20">
        <v>2.0845028072481913E-3</v>
      </c>
      <c r="O972" s="20">
        <v>0.16023407594550726</v>
      </c>
      <c r="P972" s="20">
        <v>0.52</v>
      </c>
      <c r="Q972" s="20"/>
      <c r="R972" s="20"/>
      <c r="S972" s="20"/>
      <c r="T972" s="20">
        <v>0.48</v>
      </c>
    </row>
    <row r="973" spans="13:20" x14ac:dyDescent="0.2">
      <c r="M973" s="20">
        <v>1.4057166436817375E-2</v>
      </c>
      <c r="N973" s="20">
        <v>1.4628880560085011E-3</v>
      </c>
      <c r="O973" s="20">
        <v>0.1040670651929556</v>
      </c>
      <c r="P973" s="20">
        <v>0.03</v>
      </c>
      <c r="Q973" s="20">
        <v>0.39999999999999991</v>
      </c>
      <c r="R973" s="20"/>
      <c r="S973" s="20"/>
      <c r="T973" s="20">
        <v>0.56999999999999995</v>
      </c>
    </row>
    <row r="974" spans="13:20" x14ac:dyDescent="0.2">
      <c r="M974" s="20">
        <v>9.7394437849265582E-3</v>
      </c>
      <c r="N974" s="20">
        <v>9.6024825238805872E-4</v>
      </c>
      <c r="O974" s="20">
        <v>9.85937465827572E-2</v>
      </c>
      <c r="P974" s="20"/>
      <c r="Q974" s="20"/>
      <c r="R974" s="20">
        <v>0.7</v>
      </c>
      <c r="S974" s="20">
        <v>0.30000000000000004</v>
      </c>
      <c r="T974" s="20"/>
    </row>
    <row r="975" spans="13:20" x14ac:dyDescent="0.2">
      <c r="M975" s="20">
        <v>1.4579219008078452E-2</v>
      </c>
      <c r="N975" s="20">
        <v>2.5803998345794547E-3</v>
      </c>
      <c r="O975" s="20">
        <v>0.17699163673648338</v>
      </c>
      <c r="P975" s="20">
        <v>0.99</v>
      </c>
      <c r="Q975" s="20">
        <v>1.000000000000012E-2</v>
      </c>
      <c r="R975" s="20"/>
      <c r="S975" s="20"/>
      <c r="T975" s="20"/>
    </row>
    <row r="976" spans="13:20" x14ac:dyDescent="0.2">
      <c r="M976" s="20">
        <v>1.8132536690980538E-2</v>
      </c>
      <c r="N976" s="20">
        <v>1.2689578840029666E-3</v>
      </c>
      <c r="O976" s="20">
        <v>6.998236957293294E-2</v>
      </c>
      <c r="P976" s="20"/>
      <c r="Q976" s="20">
        <v>0.93</v>
      </c>
      <c r="R976" s="20">
        <v>6.9999999999999951E-2</v>
      </c>
      <c r="S976" s="20"/>
      <c r="T976" s="20"/>
    </row>
    <row r="977" spans="13:20" x14ac:dyDescent="0.2">
      <c r="M977" s="20">
        <v>1.1530266089066507E-2</v>
      </c>
      <c r="N977" s="20">
        <v>1.8279720207409929E-3</v>
      </c>
      <c r="O977" s="20">
        <v>0.15853684612485697</v>
      </c>
      <c r="P977" s="20">
        <v>0.63000000000000012</v>
      </c>
      <c r="Q977" s="20"/>
      <c r="R977" s="20"/>
      <c r="S977" s="20">
        <v>0.37</v>
      </c>
      <c r="T977" s="20">
        <v>0</v>
      </c>
    </row>
    <row r="978" spans="13:20" x14ac:dyDescent="0.2">
      <c r="M978" s="20">
        <v>1.0267488646913093E-2</v>
      </c>
      <c r="N978" s="20">
        <v>7.967401108292505E-4</v>
      </c>
      <c r="O978" s="20">
        <v>7.7598343492572497E-2</v>
      </c>
      <c r="P978" s="20"/>
      <c r="Q978" s="20"/>
      <c r="R978" s="20"/>
      <c r="S978" s="20">
        <v>0.73</v>
      </c>
      <c r="T978" s="20">
        <v>0.27</v>
      </c>
    </row>
    <row r="979" spans="13:20" x14ac:dyDescent="0.2">
      <c r="M979" s="20">
        <v>1.8026487575849275E-2</v>
      </c>
      <c r="N979" s="20">
        <v>1.228978610693765E-3</v>
      </c>
      <c r="O979" s="20">
        <v>6.8176265926606305E-2</v>
      </c>
      <c r="P979" s="20"/>
      <c r="Q979" s="20">
        <v>0.91</v>
      </c>
      <c r="R979" s="20">
        <v>0.03</v>
      </c>
      <c r="S979" s="20">
        <v>5.9999999999999831E-2</v>
      </c>
      <c r="T979" s="20"/>
    </row>
    <row r="980" spans="13:20" x14ac:dyDescent="0.2">
      <c r="M980" s="20">
        <v>1.1847712451197557E-2</v>
      </c>
      <c r="N980" s="20">
        <v>1.0995265314690987E-3</v>
      </c>
      <c r="O980" s="20">
        <v>9.2804964333681114E-2</v>
      </c>
      <c r="P980" s="20"/>
      <c r="Q980" s="20">
        <v>0.35</v>
      </c>
      <c r="R980" s="20">
        <v>0.5</v>
      </c>
      <c r="S980" s="20">
        <v>0.15000000000000002</v>
      </c>
      <c r="T980" s="20"/>
    </row>
    <row r="981" spans="13:20" x14ac:dyDescent="0.2">
      <c r="M981" s="20">
        <v>1.7103671905773409E-2</v>
      </c>
      <c r="N981" s="20">
        <v>1.2584698584541571E-3</v>
      </c>
      <c r="O981" s="20">
        <v>7.3578928863184984E-2</v>
      </c>
      <c r="P981" s="20"/>
      <c r="Q981" s="20">
        <v>0.85</v>
      </c>
      <c r="R981" s="20">
        <v>0.15000000000000013</v>
      </c>
      <c r="S981" s="20"/>
      <c r="T981" s="20"/>
    </row>
    <row r="982" spans="13:20" x14ac:dyDescent="0.2">
      <c r="M982" s="20">
        <v>1.3112988436391915E-2</v>
      </c>
      <c r="N982" s="20">
        <v>2.0314766386517933E-3</v>
      </c>
      <c r="O982" s="20">
        <v>0.1549209509720853</v>
      </c>
      <c r="P982" s="20">
        <v>0.47000000000000008</v>
      </c>
      <c r="Q982" s="20"/>
      <c r="R982" s="20"/>
      <c r="S982" s="20"/>
      <c r="T982" s="20">
        <v>0.53</v>
      </c>
    </row>
    <row r="983" spans="13:20" x14ac:dyDescent="0.2">
      <c r="M983" s="20">
        <v>1.0794508160719118E-2</v>
      </c>
      <c r="N983" s="20">
        <v>1.8616546902949374E-3</v>
      </c>
      <c r="O983" s="20">
        <v>0.17246313241667105</v>
      </c>
      <c r="P983" s="20">
        <v>0.48000000000000009</v>
      </c>
      <c r="Q983" s="20"/>
      <c r="R983" s="20">
        <v>0.18</v>
      </c>
      <c r="S983" s="20">
        <v>0.11</v>
      </c>
      <c r="T983" s="20">
        <v>0.23</v>
      </c>
    </row>
    <row r="984" spans="13:20" x14ac:dyDescent="0.2">
      <c r="M984" s="20">
        <v>9.9803990432990614E-3</v>
      </c>
      <c r="N984" s="20">
        <v>1.0643487613965796E-3</v>
      </c>
      <c r="O984" s="20">
        <v>0.1066439084027601</v>
      </c>
      <c r="P984" s="20"/>
      <c r="Q984" s="20"/>
      <c r="R984" s="20">
        <v>0.77</v>
      </c>
      <c r="S984" s="20">
        <v>0.17</v>
      </c>
      <c r="T984" s="20">
        <v>6.0000000000000053E-2</v>
      </c>
    </row>
    <row r="985" spans="13:20" x14ac:dyDescent="0.2">
      <c r="M985" s="20">
        <v>1.0857473299339521E-2</v>
      </c>
      <c r="N985" s="20">
        <v>1.2824211900041166E-3</v>
      </c>
      <c r="O985" s="20">
        <v>0.11811414632556623</v>
      </c>
      <c r="P985" s="20">
        <v>0.08</v>
      </c>
      <c r="Q985" s="20">
        <v>0.15</v>
      </c>
      <c r="R985" s="20">
        <v>0.76999999999999991</v>
      </c>
      <c r="S985" s="20"/>
      <c r="T985" s="20"/>
    </row>
    <row r="986" spans="13:20" x14ac:dyDescent="0.2">
      <c r="M986" s="20">
        <v>1.4442119867290834E-2</v>
      </c>
      <c r="N986" s="20">
        <v>1.7557405619505252E-3</v>
      </c>
      <c r="O986" s="20">
        <v>0.12157083434316354</v>
      </c>
      <c r="P986" s="20">
        <v>0.20999999999999996</v>
      </c>
      <c r="Q986" s="20"/>
      <c r="R986" s="20"/>
      <c r="S986" s="20"/>
      <c r="T986" s="20">
        <v>0.79</v>
      </c>
    </row>
    <row r="987" spans="13:20" x14ac:dyDescent="0.2">
      <c r="M987" s="20">
        <v>5.1856939532221591E-3</v>
      </c>
      <c r="N987" s="20">
        <v>6.5137126010217632E-4</v>
      </c>
      <c r="O987" s="20">
        <v>0.12560927543698241</v>
      </c>
      <c r="P987" s="20">
        <v>0.12</v>
      </c>
      <c r="Q987" s="20">
        <v>0.18</v>
      </c>
      <c r="R987" s="20">
        <v>0.02</v>
      </c>
      <c r="S987" s="20">
        <v>0.02</v>
      </c>
      <c r="T987" s="20">
        <v>0.05</v>
      </c>
    </row>
    <row r="988" spans="13:20" x14ac:dyDescent="0.2">
      <c r="M988" s="20">
        <v>1.4434072448601476E-2</v>
      </c>
      <c r="N988" s="20">
        <v>1.935844466065892E-3</v>
      </c>
      <c r="O988" s="20">
        <v>0.13411630521872966</v>
      </c>
      <c r="P988" s="20">
        <v>0.5</v>
      </c>
      <c r="Q988" s="20">
        <v>0.50000000000000011</v>
      </c>
      <c r="R988" s="20"/>
      <c r="S988" s="20"/>
      <c r="T988" s="20"/>
    </row>
    <row r="989" spans="13:20" x14ac:dyDescent="0.2">
      <c r="M989" s="20">
        <v>1.2176532509436731E-2</v>
      </c>
      <c r="N989" s="20">
        <v>9.8713469685173644E-4</v>
      </c>
      <c r="O989" s="20">
        <v>8.1068620815220899E-2</v>
      </c>
      <c r="P989" s="20"/>
      <c r="Q989" s="20">
        <v>0.34</v>
      </c>
      <c r="R989" s="20">
        <v>0.04</v>
      </c>
      <c r="S989" s="20">
        <v>0.44</v>
      </c>
      <c r="T989" s="20">
        <v>0.17999999999999994</v>
      </c>
    </row>
    <row r="990" spans="13:20" x14ac:dyDescent="0.2">
      <c r="M990" s="20">
        <v>9.7033999791486351E-3</v>
      </c>
      <c r="N990" s="20">
        <v>1.0344234362259785E-3</v>
      </c>
      <c r="O990" s="20">
        <v>0.10660422516322343</v>
      </c>
      <c r="P990" s="20"/>
      <c r="Q990" s="20">
        <v>7.0000000000000007E-2</v>
      </c>
      <c r="R990" s="20">
        <v>0.54</v>
      </c>
      <c r="S990" s="20">
        <v>0.27</v>
      </c>
      <c r="T990" s="20">
        <v>0.11999999999999988</v>
      </c>
    </row>
    <row r="991" spans="13:20" x14ac:dyDescent="0.2">
      <c r="M991" s="20">
        <v>1.2927532193759682E-2</v>
      </c>
      <c r="N991" s="20">
        <v>2.2552246705509374E-3</v>
      </c>
      <c r="O991" s="20">
        <v>0.17445129021914707</v>
      </c>
      <c r="P991" s="20">
        <v>0.7</v>
      </c>
      <c r="Q991" s="20"/>
      <c r="R991" s="20"/>
      <c r="S991" s="20">
        <v>0.02</v>
      </c>
      <c r="T991" s="20">
        <v>0.28000000000000003</v>
      </c>
    </row>
    <row r="992" spans="13:20" x14ac:dyDescent="0.2">
      <c r="M992" s="20">
        <v>1.8528130402520309E-2</v>
      </c>
      <c r="N992" s="20">
        <v>1.2728908935837702E-3</v>
      </c>
      <c r="O992" s="20">
        <v>6.8700449852761386E-2</v>
      </c>
      <c r="P992" s="20"/>
      <c r="Q992" s="20">
        <v>0.96</v>
      </c>
      <c r="R992" s="20">
        <v>4.0000000000000147E-2</v>
      </c>
      <c r="S992" s="20"/>
      <c r="T992" s="20"/>
    </row>
    <row r="993" spans="13:20" x14ac:dyDescent="0.2">
      <c r="M993" s="20">
        <v>1.3316679604496166E-2</v>
      </c>
      <c r="N993" s="20">
        <v>1.3094201182974672E-3</v>
      </c>
      <c r="O993" s="20">
        <v>9.8329325116101943E-2</v>
      </c>
      <c r="P993" s="20">
        <v>0.01</v>
      </c>
      <c r="Q993" s="20">
        <v>0.51</v>
      </c>
      <c r="R993" s="20">
        <v>0.27</v>
      </c>
      <c r="S993" s="20"/>
      <c r="T993" s="20">
        <v>0.21</v>
      </c>
    </row>
    <row r="994" spans="13:20" x14ac:dyDescent="0.2">
      <c r="M994" s="20">
        <v>1.296142779781387E-2</v>
      </c>
      <c r="N994" s="20">
        <v>1.5413512080156887E-3</v>
      </c>
      <c r="O994" s="20">
        <v>0.1189183191897778</v>
      </c>
      <c r="P994" s="20">
        <v>0.23</v>
      </c>
      <c r="Q994" s="20">
        <v>0.47</v>
      </c>
      <c r="R994" s="20">
        <v>0.30000000000000004</v>
      </c>
      <c r="S994" s="20"/>
      <c r="T994" s="20"/>
    </row>
    <row r="995" spans="13:20" x14ac:dyDescent="0.2">
      <c r="M995" s="20">
        <v>1.8001796391182507E-2</v>
      </c>
      <c r="N995" s="20">
        <v>1.2676468808093654E-3</v>
      </c>
      <c r="O995" s="20">
        <v>7.0417799049781155E-2</v>
      </c>
      <c r="P995" s="20"/>
      <c r="Q995" s="20">
        <v>0.92</v>
      </c>
      <c r="R995" s="20">
        <v>8.0000000000000071E-2</v>
      </c>
      <c r="S995" s="20"/>
      <c r="T995" s="20"/>
    </row>
    <row r="996" spans="13:20" x14ac:dyDescent="0.2">
      <c r="M996" s="20">
        <v>1.5618520989042381E-2</v>
      </c>
      <c r="N996" s="20">
        <v>1.6072672898806116E-3</v>
      </c>
      <c r="O996" s="20">
        <v>0.10290777795210161</v>
      </c>
      <c r="P996" s="20">
        <v>7.0000000000000007E-2</v>
      </c>
      <c r="Q996" s="20">
        <v>1.1102230246251565E-16</v>
      </c>
      <c r="R996" s="20"/>
      <c r="S996" s="20"/>
      <c r="T996" s="20">
        <v>0.93</v>
      </c>
    </row>
    <row r="997" spans="13:20" x14ac:dyDescent="0.2">
      <c r="M997" s="20">
        <v>1.2954703186351401E-2</v>
      </c>
      <c r="N997" s="20">
        <v>2.1481342095638679E-3</v>
      </c>
      <c r="O997" s="20">
        <v>0.16581886737683524</v>
      </c>
      <c r="P997" s="20">
        <v>0.57999999999999996</v>
      </c>
      <c r="Q997" s="20"/>
      <c r="R997" s="20"/>
      <c r="S997" s="20"/>
      <c r="T997" s="20">
        <v>0.42</v>
      </c>
    </row>
    <row r="998" spans="13:20" x14ac:dyDescent="0.2">
      <c r="M998" s="20">
        <v>1.0166449208827442E-2</v>
      </c>
      <c r="N998" s="20">
        <v>7.7303222584934139E-4</v>
      </c>
      <c r="O998" s="20">
        <v>7.6037583031263664E-2</v>
      </c>
      <c r="P998" s="20"/>
      <c r="Q998" s="20">
        <v>0.03</v>
      </c>
      <c r="R998" s="20">
        <v>0.12</v>
      </c>
      <c r="S998" s="20">
        <v>0.7</v>
      </c>
      <c r="T998" s="20">
        <v>0.14999999999999991</v>
      </c>
    </row>
    <row r="999" spans="13:20" x14ac:dyDescent="0.2">
      <c r="M999" s="20">
        <v>1.2857868552415571E-2</v>
      </c>
      <c r="N999" s="20">
        <v>1.1365898284416019E-3</v>
      </c>
      <c r="O999" s="20">
        <v>8.8396441743688076E-2</v>
      </c>
      <c r="P999" s="20">
        <v>0.06</v>
      </c>
      <c r="Q999" s="20">
        <v>0.41999999999999982</v>
      </c>
      <c r="R999" s="20"/>
      <c r="S999" s="20">
        <v>0.35</v>
      </c>
      <c r="T999" s="20">
        <v>0.17</v>
      </c>
    </row>
    <row r="1000" spans="13:20" x14ac:dyDescent="0.2">
      <c r="M1000" s="20">
        <v>1.0840390896534007E-2</v>
      </c>
      <c r="N1000" s="20">
        <v>1.0589805782049563E-3</v>
      </c>
      <c r="O1000" s="20">
        <v>9.76884125593242E-2</v>
      </c>
      <c r="P1000" s="20"/>
      <c r="Q1000" s="20"/>
      <c r="R1000" s="20"/>
      <c r="S1000" s="20">
        <v>0.47</v>
      </c>
      <c r="T1000" s="20">
        <v>0.53000000000000014</v>
      </c>
    </row>
    <row r="1001" spans="13:20" x14ac:dyDescent="0.2">
      <c r="M1001" s="20">
        <v>1.0206866714333995E-2</v>
      </c>
      <c r="N1001" s="20">
        <v>8.9760182905067559E-4</v>
      </c>
      <c r="O1001" s="20">
        <v>8.7940976812220933E-2</v>
      </c>
      <c r="P1001" s="20"/>
      <c r="Q1001" s="20"/>
      <c r="R1001" s="20"/>
      <c r="S1001" s="20">
        <v>0.63</v>
      </c>
      <c r="T1001" s="20">
        <v>0.36999999999999988</v>
      </c>
    </row>
    <row r="1002" spans="13:20" x14ac:dyDescent="0.2">
      <c r="M1002" s="20">
        <v>1.1003620775674079E-2</v>
      </c>
      <c r="N1002" s="20">
        <v>1.628944227878349E-3</v>
      </c>
      <c r="O1002" s="20">
        <v>0.14803711079170304</v>
      </c>
      <c r="P1002" s="20">
        <v>0.25</v>
      </c>
      <c r="Q1002" s="20">
        <v>0.16999999999999993</v>
      </c>
      <c r="R1002" s="20">
        <v>0.3</v>
      </c>
      <c r="S1002" s="20">
        <v>0.01</v>
      </c>
      <c r="T1002" s="20">
        <v>0.27</v>
      </c>
    </row>
    <row r="1003" spans="13:20" x14ac:dyDescent="0.2">
      <c r="M1003" s="20">
        <v>1.0196705760860779E-2</v>
      </c>
      <c r="N1003" s="20">
        <v>8.8751565722853328E-4</v>
      </c>
      <c r="O1003" s="20">
        <v>8.703944960687103E-2</v>
      </c>
      <c r="P1003" s="20"/>
      <c r="Q1003" s="20"/>
      <c r="R1003" s="20"/>
      <c r="S1003" s="20">
        <v>0.64</v>
      </c>
      <c r="T1003" s="20">
        <v>0.3600000000000001</v>
      </c>
    </row>
    <row r="1004" spans="13:20" x14ac:dyDescent="0.2">
      <c r="M1004" s="20">
        <v>1.0753666487159103E-2</v>
      </c>
      <c r="N1004" s="20">
        <v>7.1415061744293997E-4</v>
      </c>
      <c r="O1004" s="20">
        <v>6.6409965224019499E-2</v>
      </c>
      <c r="P1004" s="20"/>
      <c r="Q1004" s="20">
        <v>7.0000000000000007E-2</v>
      </c>
      <c r="R1004" s="20">
        <v>0.22</v>
      </c>
      <c r="S1004" s="20">
        <v>0.71000000000000008</v>
      </c>
      <c r="T1004" s="20"/>
    </row>
    <row r="1005" spans="13:20" x14ac:dyDescent="0.2">
      <c r="M1005" s="20">
        <v>1.0785756323386879E-2</v>
      </c>
      <c r="N1005" s="20">
        <v>1.4141439099125516E-3</v>
      </c>
      <c r="O1005" s="20">
        <v>0.13111216937529427</v>
      </c>
      <c r="P1005" s="20">
        <v>0.43000000000000016</v>
      </c>
      <c r="Q1005" s="20"/>
      <c r="R1005" s="20"/>
      <c r="S1005" s="20">
        <v>0.56999999999999995</v>
      </c>
      <c r="T1005" s="20">
        <v>0</v>
      </c>
    </row>
    <row r="1006" spans="13:20" x14ac:dyDescent="0.2">
      <c r="M1006" s="20">
        <v>1.3735378999056679E-2</v>
      </c>
      <c r="N1006" s="20">
        <v>1.5885132453607345E-3</v>
      </c>
      <c r="O1006" s="20">
        <v>0.11565121322606613</v>
      </c>
      <c r="P1006" s="20">
        <v>0.11</v>
      </c>
      <c r="Q1006" s="20">
        <v>0.24</v>
      </c>
      <c r="R1006" s="20"/>
      <c r="S1006" s="20"/>
      <c r="T1006" s="20">
        <v>0.65</v>
      </c>
    </row>
    <row r="1007" spans="13:20" x14ac:dyDescent="0.2">
      <c r="M1007" s="20">
        <v>9.9533208727755271E-3</v>
      </c>
      <c r="N1007" s="20">
        <v>1.0038317304637244E-3</v>
      </c>
      <c r="O1007" s="20">
        <v>0.10085395048495022</v>
      </c>
      <c r="P1007" s="20"/>
      <c r="Q1007" s="20"/>
      <c r="R1007" s="20">
        <v>0.77</v>
      </c>
      <c r="S1007" s="20">
        <v>0.22999999999999998</v>
      </c>
      <c r="T1007" s="20"/>
    </row>
    <row r="1008" spans="13:20" x14ac:dyDescent="0.2">
      <c r="M1008" s="20">
        <v>1.7103671905773405E-2</v>
      </c>
      <c r="N1008" s="20">
        <v>1.2584698584541566E-3</v>
      </c>
      <c r="O1008" s="20">
        <v>7.3578928863184956E-2</v>
      </c>
      <c r="P1008" s="20"/>
      <c r="Q1008" s="20">
        <v>0.85</v>
      </c>
      <c r="R1008" s="20">
        <v>0.14999999999999991</v>
      </c>
      <c r="S1008" s="20"/>
      <c r="T1008" s="20"/>
    </row>
    <row r="1009" spans="13:20" x14ac:dyDescent="0.2">
      <c r="M1009" s="20">
        <v>1.0069275629952633E-2</v>
      </c>
      <c r="N1009" s="20">
        <v>1.0225103639247238E-3</v>
      </c>
      <c r="O1009" s="20">
        <v>0.10154755927855497</v>
      </c>
      <c r="P1009" s="20"/>
      <c r="Q1009" s="20"/>
      <c r="R1009" s="20">
        <v>0.8</v>
      </c>
      <c r="S1009" s="20">
        <v>0.19999999999999996</v>
      </c>
      <c r="T1009" s="20"/>
    </row>
    <row r="1010" spans="13:20" x14ac:dyDescent="0.2">
      <c r="M1010" s="20">
        <v>1.0815420333215591E-2</v>
      </c>
      <c r="N1010" s="20">
        <v>1.2593432458447144E-3</v>
      </c>
      <c r="O1010" s="20">
        <v>0.11643960262710308</v>
      </c>
      <c r="P1010" s="20"/>
      <c r="Q1010" s="20"/>
      <c r="R1010" s="20">
        <v>0.5</v>
      </c>
      <c r="S1010" s="20">
        <v>0.08</v>
      </c>
      <c r="T1010" s="20">
        <v>0.42000000000000004</v>
      </c>
    </row>
    <row r="1011" spans="13:20" x14ac:dyDescent="0.2">
      <c r="M1011" s="20">
        <v>1.0899293496276661E-2</v>
      </c>
      <c r="N1011" s="20">
        <v>8.8573447576058284E-4</v>
      </c>
      <c r="O1011" s="20">
        <v>8.1265311009668759E-2</v>
      </c>
      <c r="P1011" s="20">
        <v>0.15999999999999992</v>
      </c>
      <c r="Q1011" s="20"/>
      <c r="R1011" s="20"/>
      <c r="S1011" s="20">
        <v>0.81</v>
      </c>
      <c r="T1011" s="20">
        <v>0.03</v>
      </c>
    </row>
    <row r="1012" spans="13:20" x14ac:dyDescent="0.2">
      <c r="M1012" s="20">
        <v>1.2009980207731219E-2</v>
      </c>
      <c r="N1012" s="20">
        <v>1.7598713787310878E-3</v>
      </c>
      <c r="O1012" s="20">
        <v>0.14653407818259356</v>
      </c>
      <c r="P1012" s="20">
        <v>0.31</v>
      </c>
      <c r="Q1012" s="20">
        <v>0.16</v>
      </c>
      <c r="R1012" s="20">
        <v>0.08</v>
      </c>
      <c r="S1012" s="20">
        <v>3.0000000000000027E-2</v>
      </c>
      <c r="T1012" s="20">
        <v>0.42</v>
      </c>
    </row>
    <row r="1013" spans="13:20" x14ac:dyDescent="0.2">
      <c r="M1013" s="20">
        <v>1.384281010373742E-2</v>
      </c>
      <c r="N1013" s="20">
        <v>1.8511876654240412E-3</v>
      </c>
      <c r="O1013" s="20">
        <v>0.13372918154271574</v>
      </c>
      <c r="P1013" s="20">
        <v>0.30000000000000016</v>
      </c>
      <c r="Q1013" s="20"/>
      <c r="R1013" s="20"/>
      <c r="S1013" s="20"/>
      <c r="T1013" s="20">
        <v>0.7</v>
      </c>
    </row>
    <row r="1014" spans="13:20" x14ac:dyDescent="0.2">
      <c r="M1014" s="20">
        <v>1.0967889516596763E-2</v>
      </c>
      <c r="N1014" s="20">
        <v>1.1355685791337397E-3</v>
      </c>
      <c r="O1014" s="20">
        <v>0.10353574198713265</v>
      </c>
      <c r="P1014" s="20"/>
      <c r="Q1014" s="20">
        <v>0.15</v>
      </c>
      <c r="R1014" s="20">
        <v>0.8</v>
      </c>
      <c r="S1014" s="20">
        <v>5.0000000000000044E-2</v>
      </c>
      <c r="T1014" s="20"/>
    </row>
    <row r="1015" spans="13:20" x14ac:dyDescent="0.2">
      <c r="M1015" s="20">
        <v>1.1571701745567788E-2</v>
      </c>
      <c r="N1015" s="20">
        <v>1.1811206700316859E-3</v>
      </c>
      <c r="O1015" s="20">
        <v>0.10206974704339235</v>
      </c>
      <c r="P1015" s="20"/>
      <c r="Q1015" s="20">
        <v>0.26</v>
      </c>
      <c r="R1015" s="20">
        <v>0.7400000000000001</v>
      </c>
      <c r="S1015" s="20"/>
      <c r="T1015" s="20"/>
    </row>
    <row r="1016" spans="13:20" x14ac:dyDescent="0.2">
      <c r="M1016" s="20">
        <v>9.4430050215710132E-3</v>
      </c>
      <c r="N1016" s="20">
        <v>8.3846007926077467E-4</v>
      </c>
      <c r="O1016" s="20">
        <v>8.8791658729975104E-2</v>
      </c>
      <c r="P1016" s="20"/>
      <c r="Q1016" s="20"/>
      <c r="R1016" s="20">
        <v>0.31</v>
      </c>
      <c r="S1016" s="20">
        <v>0.56999999999999995</v>
      </c>
      <c r="T1016" s="20">
        <v>0.12</v>
      </c>
    </row>
    <row r="1017" spans="13:20" x14ac:dyDescent="0.2">
      <c r="M1017" s="20">
        <v>1.4523169030091784E-2</v>
      </c>
      <c r="N1017" s="20">
        <v>2.5672456433853004E-3</v>
      </c>
      <c r="O1017" s="20">
        <v>0.1767689708813556</v>
      </c>
      <c r="P1017" s="20">
        <v>0.98</v>
      </c>
      <c r="Q1017" s="20">
        <v>2.0000000000000018E-2</v>
      </c>
      <c r="R1017" s="20"/>
      <c r="S1017" s="20"/>
      <c r="T1017" s="20"/>
    </row>
    <row r="1018" spans="13:20" x14ac:dyDescent="0.2">
      <c r="M1018" s="20">
        <v>1.0985594049539721E-2</v>
      </c>
      <c r="N1018" s="20">
        <v>1.1221339584471448E-3</v>
      </c>
      <c r="O1018" s="20">
        <v>0.10214595163328109</v>
      </c>
      <c r="P1018" s="20"/>
      <c r="Q1018" s="20">
        <v>0.19</v>
      </c>
      <c r="R1018" s="20">
        <v>0.73</v>
      </c>
      <c r="S1018" s="20">
        <v>7.999999999999996E-2</v>
      </c>
      <c r="T1018" s="20"/>
    </row>
    <row r="1019" spans="13:20" x14ac:dyDescent="0.2">
      <c r="M1019" s="20">
        <v>1.0737484730818526E-2</v>
      </c>
      <c r="N1019" s="20">
        <v>6.8579222078568277E-4</v>
      </c>
      <c r="O1019" s="20">
        <v>6.3868982166497043E-2</v>
      </c>
      <c r="P1019" s="20"/>
      <c r="Q1019" s="20"/>
      <c r="R1019" s="20">
        <v>0</v>
      </c>
      <c r="S1019" s="20">
        <v>0.84</v>
      </c>
      <c r="T1019" s="20">
        <v>0.16000000000000003</v>
      </c>
    </row>
    <row r="1020" spans="13:20" x14ac:dyDescent="0.2">
      <c r="M1020" s="20">
        <v>1.1801528314927633E-2</v>
      </c>
      <c r="N1020" s="20">
        <v>1.3126196435610997E-3</v>
      </c>
      <c r="O1020" s="20">
        <v>0.11122454723942664</v>
      </c>
      <c r="P1020" s="20"/>
      <c r="Q1020" s="20">
        <v>0.13</v>
      </c>
      <c r="R1020" s="20">
        <v>0.25</v>
      </c>
      <c r="S1020" s="20">
        <v>0.09</v>
      </c>
      <c r="T1020" s="20">
        <v>0.53000000000000014</v>
      </c>
    </row>
    <row r="1021" spans="13:20" x14ac:dyDescent="0.2">
      <c r="M1021" s="20">
        <v>1.0933102399933914E-2</v>
      </c>
      <c r="N1021" s="20">
        <v>6.5553370531925507E-4</v>
      </c>
      <c r="O1021" s="20">
        <v>5.9958617539630603E-2</v>
      </c>
      <c r="P1021" s="20"/>
      <c r="Q1021" s="20"/>
      <c r="R1021" s="20"/>
      <c r="S1021" s="20">
        <v>0.87</v>
      </c>
      <c r="T1021" s="20">
        <v>0.12999999999999989</v>
      </c>
    </row>
    <row r="1022" spans="13:20" x14ac:dyDescent="0.2">
      <c r="M1022" s="20">
        <v>1.4178444144624632E-2</v>
      </c>
      <c r="N1022" s="20">
        <v>1.2977374953081478E-3</v>
      </c>
      <c r="O1022" s="20">
        <v>9.1528906985196209E-2</v>
      </c>
      <c r="P1022" s="20">
        <v>0.13</v>
      </c>
      <c r="Q1022" s="20">
        <v>0.56999999999999995</v>
      </c>
      <c r="R1022" s="20">
        <v>0.12</v>
      </c>
      <c r="S1022" s="20">
        <v>0.17999999999999994</v>
      </c>
      <c r="T1022" s="20"/>
    </row>
    <row r="1023" spans="13:20" x14ac:dyDescent="0.2">
      <c r="M1023" s="20">
        <v>1.0323392482273817E-2</v>
      </c>
      <c r="N1023" s="20">
        <v>1.3938069099158831E-3</v>
      </c>
      <c r="O1023" s="20">
        <v>0.13501442595630975</v>
      </c>
      <c r="P1023" s="20">
        <v>0.10999999999999976</v>
      </c>
      <c r="Q1023" s="20"/>
      <c r="R1023" s="20">
        <v>0.48</v>
      </c>
      <c r="S1023" s="20">
        <v>7.0000000000000007E-2</v>
      </c>
      <c r="T1023" s="20">
        <v>0.34</v>
      </c>
    </row>
    <row r="1024" spans="13:20" x14ac:dyDescent="0.2">
      <c r="M1024" s="20">
        <v>1.6852964635850839E-2</v>
      </c>
      <c r="N1024" s="20">
        <v>1.2558478520669544E-3</v>
      </c>
      <c r="O1024" s="20">
        <v>7.4517918906411545E-2</v>
      </c>
      <c r="P1024" s="20"/>
      <c r="Q1024" s="20">
        <v>0.83</v>
      </c>
      <c r="R1024" s="20">
        <v>0.16999999999999993</v>
      </c>
      <c r="S1024" s="20"/>
      <c r="T1024" s="20"/>
    </row>
    <row r="1025" spans="13:20" x14ac:dyDescent="0.2">
      <c r="M1025" s="20">
        <v>1.5998727079513646E-2</v>
      </c>
      <c r="N1025" s="20">
        <v>1.246670829711746E-3</v>
      </c>
      <c r="O1025" s="20">
        <v>7.7923126228467698E-2</v>
      </c>
      <c r="P1025" s="20"/>
      <c r="Q1025" s="20">
        <v>0.76</v>
      </c>
      <c r="R1025" s="20">
        <v>0.2400000000000001</v>
      </c>
      <c r="S1025" s="20"/>
      <c r="T1025" s="20"/>
    </row>
    <row r="1026" spans="13:20" x14ac:dyDescent="0.2">
      <c r="M1026" s="20">
        <v>1.3785426222688036E-2</v>
      </c>
      <c r="N1026" s="20">
        <v>1.5803644345601369E-3</v>
      </c>
      <c r="O1026" s="20">
        <v>0.11464023012644871</v>
      </c>
      <c r="P1026" s="20">
        <v>0.16</v>
      </c>
      <c r="Q1026" s="20">
        <v>0.48000000000000009</v>
      </c>
      <c r="R1026" s="20"/>
      <c r="S1026" s="20"/>
      <c r="T1026" s="20">
        <v>0.36</v>
      </c>
    </row>
    <row r="1027" spans="13:20" x14ac:dyDescent="0.2">
      <c r="M1027" s="20">
        <v>1.0963297157137083E-2</v>
      </c>
      <c r="N1027" s="20">
        <v>8.206538166839496E-4</v>
      </c>
      <c r="O1027" s="20">
        <v>7.4854654117416278E-2</v>
      </c>
      <c r="P1027" s="20"/>
      <c r="Q1027" s="20">
        <v>0.17</v>
      </c>
      <c r="R1027" s="20">
        <v>0.27</v>
      </c>
      <c r="S1027" s="20">
        <v>0.55999999999999994</v>
      </c>
      <c r="T1027" s="20"/>
    </row>
    <row r="1028" spans="13:20" x14ac:dyDescent="0.2">
      <c r="M1028" s="20">
        <v>1.0764418774910672E-2</v>
      </c>
      <c r="N1028" s="20">
        <v>1.5273920433212058E-3</v>
      </c>
      <c r="O1028" s="20">
        <v>0.14189266278651266</v>
      </c>
      <c r="P1028" s="20">
        <v>0.27999999999999992</v>
      </c>
      <c r="Q1028" s="20"/>
      <c r="R1028" s="20"/>
      <c r="S1028" s="20">
        <v>0.3</v>
      </c>
      <c r="T1028" s="20">
        <v>0.42</v>
      </c>
    </row>
    <row r="1029" spans="13:20" x14ac:dyDescent="0.2">
      <c r="M1029" s="20">
        <v>1.032247063989955E-2</v>
      </c>
      <c r="N1029" s="20">
        <v>7.7656776718496565E-4</v>
      </c>
      <c r="O1029" s="20">
        <v>7.5230804162647893E-2</v>
      </c>
      <c r="P1029" s="20"/>
      <c r="Q1029" s="20"/>
      <c r="R1029" s="20"/>
      <c r="S1029" s="20">
        <v>0.75</v>
      </c>
      <c r="T1029" s="20">
        <v>0.25000000000000011</v>
      </c>
    </row>
    <row r="1030" spans="13:20" x14ac:dyDescent="0.2">
      <c r="M1030" s="20">
        <v>1.0094980135772751E-2</v>
      </c>
      <c r="N1030" s="20">
        <v>7.21907147944921E-4</v>
      </c>
      <c r="O1030" s="20">
        <v>7.1511497619173914E-2</v>
      </c>
      <c r="P1030" s="20"/>
      <c r="Q1030" s="20"/>
      <c r="R1030" s="20">
        <v>0.22</v>
      </c>
      <c r="S1030" s="20">
        <v>0.72</v>
      </c>
      <c r="T1030" s="20">
        <v>6.0000000000000053E-2</v>
      </c>
    </row>
    <row r="1031" spans="13:20" x14ac:dyDescent="0.2">
      <c r="M1031" s="20">
        <v>1.8132536690980541E-2</v>
      </c>
      <c r="N1031" s="20">
        <v>1.2689578840029666E-3</v>
      </c>
      <c r="O1031" s="20">
        <v>6.9982369572932926E-2</v>
      </c>
      <c r="P1031" s="20"/>
      <c r="Q1031" s="20">
        <v>0.93</v>
      </c>
      <c r="R1031" s="20">
        <v>7.0000000000000062E-2</v>
      </c>
      <c r="S1031" s="20"/>
      <c r="T1031" s="20"/>
    </row>
    <row r="1032" spans="13:20" x14ac:dyDescent="0.2">
      <c r="M1032" s="20">
        <v>1.4912738377618209E-2</v>
      </c>
      <c r="N1032" s="20">
        <v>1.6921091596348481E-3</v>
      </c>
      <c r="O1032" s="20">
        <v>0.11346736707823232</v>
      </c>
      <c r="P1032" s="20">
        <v>0.15000000000000013</v>
      </c>
      <c r="Q1032" s="20"/>
      <c r="R1032" s="20"/>
      <c r="S1032" s="20"/>
      <c r="T1032" s="20">
        <v>0.85</v>
      </c>
    </row>
    <row r="1033" spans="13:20" x14ac:dyDescent="0.2">
      <c r="M1033" s="20">
        <v>1.3546289319762671E-2</v>
      </c>
      <c r="N1033" s="20">
        <v>1.6360320951876021E-3</v>
      </c>
      <c r="O1033" s="20">
        <v>0.12077344995140449</v>
      </c>
      <c r="P1033" s="20">
        <v>0.15</v>
      </c>
      <c r="Q1033" s="20">
        <v>0.21999999999999997</v>
      </c>
      <c r="R1033" s="20"/>
      <c r="S1033" s="20"/>
      <c r="T1033" s="20">
        <v>0.63</v>
      </c>
    </row>
    <row r="1034" spans="13:20" x14ac:dyDescent="0.2">
      <c r="M1034" s="20">
        <v>9.5653657619813523E-3</v>
      </c>
      <c r="N1034" s="20">
        <v>8.7308129623672748E-4</v>
      </c>
      <c r="O1034" s="20">
        <v>9.1275265155765353E-2</v>
      </c>
      <c r="P1034" s="20"/>
      <c r="Q1034" s="20"/>
      <c r="R1034" s="20">
        <v>0.56000000000000005</v>
      </c>
      <c r="S1034" s="20">
        <v>0.43999999999999995</v>
      </c>
      <c r="T1034" s="20"/>
    </row>
    <row r="1035" spans="13:20" x14ac:dyDescent="0.2">
      <c r="M1035" s="20">
        <v>9.9803650432070574E-3</v>
      </c>
      <c r="N1035" s="20">
        <v>1.1989248641441378E-3</v>
      </c>
      <c r="O1035" s="20">
        <v>0.12012835792616251</v>
      </c>
      <c r="P1035" s="20">
        <v>0.16999999999999993</v>
      </c>
      <c r="Q1035" s="20"/>
      <c r="R1035" s="20"/>
      <c r="S1035" s="20">
        <v>0.51</v>
      </c>
      <c r="T1035" s="20">
        <v>0.32</v>
      </c>
    </row>
    <row r="1036" spans="13:20" x14ac:dyDescent="0.2">
      <c r="M1036" s="20">
        <v>1.3306023585005959E-2</v>
      </c>
      <c r="N1036" s="20">
        <v>1.9678452363361158E-3</v>
      </c>
      <c r="O1036" s="20">
        <v>0.14789130830593178</v>
      </c>
      <c r="P1036" s="20">
        <v>0.40999999999999992</v>
      </c>
      <c r="Q1036" s="20"/>
      <c r="R1036" s="20"/>
      <c r="S1036" s="20"/>
      <c r="T1036" s="20">
        <v>0.59</v>
      </c>
    </row>
    <row r="1037" spans="13:20" x14ac:dyDescent="0.2">
      <c r="M1037" s="20">
        <v>1.0830165794776274E-2</v>
      </c>
      <c r="N1037" s="20">
        <v>1.1937342451727685E-3</v>
      </c>
      <c r="O1037" s="20">
        <v>0.11022308132609972</v>
      </c>
      <c r="P1037" s="20">
        <v>7.0000000000000173E-2</v>
      </c>
      <c r="Q1037" s="20"/>
      <c r="R1037" s="20"/>
      <c r="S1037" s="20">
        <v>0.41</v>
      </c>
      <c r="T1037" s="20">
        <v>0.52</v>
      </c>
    </row>
    <row r="1038" spans="13:20" x14ac:dyDescent="0.2">
      <c r="M1038" s="20">
        <v>1.1978865517337917E-2</v>
      </c>
      <c r="N1038" s="20">
        <v>1.8992086230923098E-3</v>
      </c>
      <c r="O1038" s="20">
        <v>0.15854661865461647</v>
      </c>
      <c r="P1038" s="20">
        <v>0.45</v>
      </c>
      <c r="Q1038" s="20">
        <v>0.04</v>
      </c>
      <c r="R1038" s="20">
        <v>0</v>
      </c>
      <c r="S1038" s="20">
        <v>9.9999999999999978E-2</v>
      </c>
      <c r="T1038" s="20">
        <v>0.41</v>
      </c>
    </row>
    <row r="1039" spans="13:20" x14ac:dyDescent="0.2">
      <c r="M1039" s="20">
        <v>1.29642486731527E-2</v>
      </c>
      <c r="N1039" s="20">
        <v>2.1269237421253093E-3</v>
      </c>
      <c r="O1039" s="20">
        <v>0.16406070230123679</v>
      </c>
      <c r="P1039" s="20">
        <v>0.56000000000000005</v>
      </c>
      <c r="Q1039" s="20"/>
      <c r="R1039" s="20"/>
      <c r="S1039" s="20"/>
      <c r="T1039" s="20">
        <v>0.44</v>
      </c>
    </row>
    <row r="1040" spans="13:20" x14ac:dyDescent="0.2">
      <c r="M1040" s="20">
        <v>1.0502583005742475E-2</v>
      </c>
      <c r="N1040" s="20">
        <v>9.984635472721009E-4</v>
      </c>
      <c r="O1040" s="20">
        <v>9.5068379533508385E-2</v>
      </c>
      <c r="P1040" s="20"/>
      <c r="Q1040" s="20"/>
      <c r="R1040" s="20"/>
      <c r="S1040" s="20">
        <v>0.53</v>
      </c>
      <c r="T1040" s="20">
        <v>0.47</v>
      </c>
    </row>
    <row r="1041" spans="13:20" x14ac:dyDescent="0.2">
      <c r="M1041" s="20">
        <v>1.0187873581924065E-2</v>
      </c>
      <c r="N1041" s="20">
        <v>8.5725714176210536E-4</v>
      </c>
      <c r="O1041" s="20">
        <v>8.414485465181884E-2</v>
      </c>
      <c r="P1041" s="20"/>
      <c r="Q1041" s="20"/>
      <c r="R1041" s="20"/>
      <c r="S1041" s="20">
        <v>0.67</v>
      </c>
      <c r="T1041" s="20">
        <v>0.32999999999999985</v>
      </c>
    </row>
    <row r="1042" spans="13:20" x14ac:dyDescent="0.2">
      <c r="M1042" s="20">
        <v>1.2608604184506246E-2</v>
      </c>
      <c r="N1042" s="20">
        <v>1.4945190268655668E-3</v>
      </c>
      <c r="O1042" s="20">
        <v>0.1185316792402816</v>
      </c>
      <c r="P1042" s="20">
        <v>0.1</v>
      </c>
      <c r="Q1042" s="20">
        <v>0.34</v>
      </c>
      <c r="R1042" s="20">
        <v>0.1499999999999998</v>
      </c>
      <c r="S1042" s="20"/>
      <c r="T1042" s="20">
        <v>0.41</v>
      </c>
    </row>
    <row r="1043" spans="13:20" x14ac:dyDescent="0.2">
      <c r="M1043" s="20">
        <v>1.3262960628972897E-2</v>
      </c>
      <c r="N1043" s="20">
        <v>1.7784961101120125E-3</v>
      </c>
      <c r="O1043" s="20">
        <v>0.13409495510579236</v>
      </c>
      <c r="P1043" s="20">
        <v>0.33</v>
      </c>
      <c r="Q1043" s="20">
        <v>0.40999999999999981</v>
      </c>
      <c r="R1043" s="20"/>
      <c r="S1043" s="20"/>
      <c r="T1043" s="20">
        <v>0.26</v>
      </c>
    </row>
    <row r="1044" spans="13:20" x14ac:dyDescent="0.2">
      <c r="M1044" s="20">
        <v>1.1766506833316757E-2</v>
      </c>
      <c r="N1044" s="20">
        <v>5.5467198709782998E-4</v>
      </c>
      <c r="O1044" s="20">
        <v>4.713990268779527E-2</v>
      </c>
      <c r="P1044" s="20"/>
      <c r="Q1044" s="20"/>
      <c r="R1044" s="20"/>
      <c r="S1044" s="20">
        <v>0.97</v>
      </c>
      <c r="T1044" s="20">
        <v>3.0000000000000027E-2</v>
      </c>
    </row>
    <row r="1045" spans="13:20" x14ac:dyDescent="0.2">
      <c r="M1045" s="20">
        <v>1.3233550764420348E-2</v>
      </c>
      <c r="N1045" s="20">
        <v>1.9890557037746748E-3</v>
      </c>
      <c r="O1045" s="20">
        <v>0.15030400677665731</v>
      </c>
      <c r="P1045" s="20">
        <v>0.43000000000000005</v>
      </c>
      <c r="Q1045" s="20"/>
      <c r="R1045" s="20"/>
      <c r="S1045" s="20"/>
      <c r="T1045" s="20">
        <v>0.56999999999999995</v>
      </c>
    </row>
    <row r="1046" spans="13:20" x14ac:dyDescent="0.2">
      <c r="M1046" s="20">
        <v>1.1985052676928639E-2</v>
      </c>
      <c r="N1046" s="20">
        <v>1.5783131994213271E-3</v>
      </c>
      <c r="O1046" s="20">
        <v>0.13169013453395975</v>
      </c>
      <c r="P1046" s="20">
        <v>0.19</v>
      </c>
      <c r="Q1046" s="20">
        <v>0.31</v>
      </c>
      <c r="R1046" s="20">
        <v>0.19999999999999996</v>
      </c>
      <c r="S1046" s="20"/>
      <c r="T1046" s="20">
        <v>0.3</v>
      </c>
    </row>
    <row r="1047" spans="13:20" x14ac:dyDescent="0.2">
      <c r="M1047" s="20">
        <v>1.0907497346881834E-2</v>
      </c>
      <c r="N1047" s="20">
        <v>1.0690667500270986E-3</v>
      </c>
      <c r="O1047" s="20">
        <v>9.8012102687580899E-2</v>
      </c>
      <c r="P1047" s="20"/>
      <c r="Q1047" s="20"/>
      <c r="R1047" s="20"/>
      <c r="S1047" s="20">
        <v>0.46</v>
      </c>
      <c r="T1047" s="20">
        <v>0.54</v>
      </c>
    </row>
    <row r="1048" spans="13:20" x14ac:dyDescent="0.2">
      <c r="M1048" s="20">
        <v>1.0860578606190309E-2</v>
      </c>
      <c r="N1048" s="20">
        <v>9.5795926687895273E-4</v>
      </c>
      <c r="O1048" s="20">
        <v>8.8205177791626621E-2</v>
      </c>
      <c r="P1048" s="20"/>
      <c r="Q1048" s="20">
        <v>0.22</v>
      </c>
      <c r="R1048" s="20">
        <v>0.43</v>
      </c>
      <c r="S1048" s="20">
        <v>0.35</v>
      </c>
      <c r="T1048" s="20"/>
    </row>
    <row r="1049" spans="13:20" x14ac:dyDescent="0.2">
      <c r="M1049" s="20">
        <v>1.4087966762898614E-2</v>
      </c>
      <c r="N1049" s="20">
        <v>2.0410779956191267E-3</v>
      </c>
      <c r="O1049" s="20">
        <v>0.14488094910859745</v>
      </c>
      <c r="P1049" s="20">
        <v>0.57999999999999996</v>
      </c>
      <c r="Q1049" s="20">
        <v>0.41999999999999993</v>
      </c>
      <c r="R1049" s="20"/>
      <c r="S1049" s="20"/>
      <c r="T1049" s="20"/>
    </row>
    <row r="1050" spans="13:20" x14ac:dyDescent="0.2">
      <c r="M1050" s="20">
        <v>1.385468174575776E-2</v>
      </c>
      <c r="N1050" s="20">
        <v>1.323018129747612E-3</v>
      </c>
      <c r="O1050" s="20">
        <v>9.549249517425501E-2</v>
      </c>
      <c r="P1050" s="20">
        <v>7.0000000000000007E-2</v>
      </c>
      <c r="Q1050" s="20">
        <v>0.56999999999999995</v>
      </c>
      <c r="R1050" s="20">
        <v>0.3600000000000001</v>
      </c>
      <c r="S1050" s="20"/>
      <c r="T1050" s="20"/>
    </row>
    <row r="1051" spans="13:20" x14ac:dyDescent="0.2">
      <c r="M1051" s="20">
        <v>9.0456362555927095E-3</v>
      </c>
      <c r="N1051" s="20">
        <v>1.6067510307122802E-3</v>
      </c>
      <c r="O1051" s="20">
        <v>0.17762719894013676</v>
      </c>
      <c r="P1051" s="20">
        <v>0.52</v>
      </c>
      <c r="Q1051" s="20">
        <v>0.03</v>
      </c>
      <c r="R1051" s="20">
        <v>0.04</v>
      </c>
      <c r="S1051" s="20">
        <v>0.01</v>
      </c>
      <c r="T1051" s="20">
        <v>0.11</v>
      </c>
    </row>
    <row r="1052" spans="13:20" x14ac:dyDescent="0.2">
      <c r="M1052" s="20">
        <v>1.0622417067170098E-2</v>
      </c>
      <c r="N1052" s="20">
        <v>7.0596456442996783E-4</v>
      </c>
      <c r="O1052" s="20">
        <v>6.6459880078691247E-2</v>
      </c>
      <c r="P1052" s="20"/>
      <c r="Q1052" s="20"/>
      <c r="R1052" s="20"/>
      <c r="S1052" s="20">
        <v>0.82</v>
      </c>
      <c r="T1052" s="20">
        <v>0.18000000000000005</v>
      </c>
    </row>
    <row r="1053" spans="13:20" x14ac:dyDescent="0.2">
      <c r="M1053" s="20">
        <v>1.2994685620591232E-2</v>
      </c>
      <c r="N1053" s="20">
        <v>2.0951080409674708E-3</v>
      </c>
      <c r="O1053" s="20">
        <v>0.16122806677581997</v>
      </c>
      <c r="P1053" s="20">
        <v>0.53</v>
      </c>
      <c r="Q1053" s="20"/>
      <c r="R1053" s="20"/>
      <c r="S1053" s="20"/>
      <c r="T1053" s="20">
        <v>0.47</v>
      </c>
    </row>
    <row r="1054" spans="13:20" x14ac:dyDescent="0.2">
      <c r="M1054" s="20">
        <v>1.1132991022899377E-2</v>
      </c>
      <c r="N1054" s="20">
        <v>1.1798538260962268E-3</v>
      </c>
      <c r="O1054" s="20">
        <v>0.10597815301111743</v>
      </c>
      <c r="P1054" s="20">
        <v>0.01</v>
      </c>
      <c r="Q1054" s="20">
        <v>0.14000000000000001</v>
      </c>
      <c r="R1054" s="20">
        <v>0.85000000000000009</v>
      </c>
      <c r="S1054" s="20"/>
      <c r="T1054" s="20"/>
    </row>
    <row r="1055" spans="13:20" x14ac:dyDescent="0.2">
      <c r="M1055" s="20">
        <v>1.4656858912891797E-2</v>
      </c>
      <c r="N1055" s="20">
        <v>1.8832277012892748E-3</v>
      </c>
      <c r="O1055" s="20">
        <v>0.12848780986987848</v>
      </c>
      <c r="P1055" s="20">
        <v>0.46</v>
      </c>
      <c r="Q1055" s="20">
        <v>0.53999999999999992</v>
      </c>
      <c r="R1055" s="20"/>
      <c r="S1055" s="20"/>
      <c r="T1055" s="20"/>
    </row>
    <row r="1056" spans="13:20" x14ac:dyDescent="0.2">
      <c r="M1056" s="20">
        <v>1.1295272650944804E-2</v>
      </c>
      <c r="N1056" s="20">
        <v>9.9294891864080905E-4</v>
      </c>
      <c r="O1056" s="20">
        <v>8.7908362137478185E-2</v>
      </c>
      <c r="P1056" s="20">
        <v>0.03</v>
      </c>
      <c r="Q1056" s="20">
        <v>0.3</v>
      </c>
      <c r="R1056" s="20">
        <v>0</v>
      </c>
      <c r="S1056" s="20">
        <v>0.4</v>
      </c>
      <c r="T1056" s="20">
        <v>0.21</v>
      </c>
    </row>
    <row r="1057" spans="13:20" x14ac:dyDescent="0.2">
      <c r="M1057" s="20">
        <v>9.5095049994802193E-3</v>
      </c>
      <c r="N1057" s="20">
        <v>1.4503807248640848E-3</v>
      </c>
      <c r="O1057" s="20">
        <v>0.15251905592808052</v>
      </c>
      <c r="P1057" s="20">
        <v>0.25</v>
      </c>
      <c r="Q1057" s="20"/>
      <c r="R1057" s="20">
        <v>0.3</v>
      </c>
      <c r="S1057" s="20">
        <v>0.23</v>
      </c>
      <c r="T1057" s="20">
        <v>0.22</v>
      </c>
    </row>
    <row r="1058" spans="13:20" x14ac:dyDescent="0.2">
      <c r="M1058" s="20">
        <v>1.5528474120001454E-2</v>
      </c>
      <c r="N1058" s="20">
        <v>1.241426816937341E-3</v>
      </c>
      <c r="O1058" s="20">
        <v>7.9945190193434462E-2</v>
      </c>
      <c r="P1058" s="20"/>
      <c r="Q1058" s="20">
        <v>0.72</v>
      </c>
      <c r="R1058" s="20">
        <v>0.27999999999999992</v>
      </c>
      <c r="S1058" s="20"/>
      <c r="T1058" s="20"/>
    </row>
    <row r="1059" spans="13:20" x14ac:dyDescent="0.2">
      <c r="M1059" s="20">
        <v>1.4188266558946014E-2</v>
      </c>
      <c r="N1059" s="20">
        <v>2.47516630502622E-3</v>
      </c>
      <c r="O1059" s="20">
        <v>0.1744516354230442</v>
      </c>
      <c r="P1059" s="20">
        <v>0.91</v>
      </c>
      <c r="Q1059" s="20">
        <v>8.9999999999999969E-2</v>
      </c>
      <c r="R1059" s="20"/>
      <c r="S1059" s="20"/>
      <c r="T1059" s="20"/>
    </row>
    <row r="1060" spans="13:20" x14ac:dyDescent="0.2">
      <c r="M1060" s="20">
        <v>1.3599387788441792E-2</v>
      </c>
      <c r="N1060" s="20">
        <v>2.4238702862651364E-3</v>
      </c>
      <c r="O1060" s="20">
        <v>0.17823377963566855</v>
      </c>
      <c r="P1060" s="20">
        <v>0.84000000000000008</v>
      </c>
      <c r="Q1060" s="20"/>
      <c r="R1060" s="20"/>
      <c r="S1060" s="20"/>
      <c r="T1060" s="20">
        <v>0.16</v>
      </c>
    </row>
    <row r="1061" spans="13:20" x14ac:dyDescent="0.2">
      <c r="M1061" s="20">
        <v>1.3049957266674487E-2</v>
      </c>
      <c r="N1061" s="20">
        <v>1.2692871970704975E-3</v>
      </c>
      <c r="O1061" s="20">
        <v>9.7263705246902254E-2</v>
      </c>
      <c r="P1061" s="20"/>
      <c r="Q1061" s="20">
        <v>0.47</v>
      </c>
      <c r="R1061" s="20">
        <v>0.19</v>
      </c>
      <c r="S1061" s="20">
        <v>7.0000000000000007E-2</v>
      </c>
      <c r="T1061" s="20">
        <v>0.27</v>
      </c>
    </row>
    <row r="1062" spans="13:20" x14ac:dyDescent="0.2">
      <c r="M1062" s="20">
        <v>1.2882021024679042E-2</v>
      </c>
      <c r="N1062" s="20">
        <v>1.7692116224082672E-3</v>
      </c>
      <c r="O1062" s="20">
        <v>0.13733960059674311</v>
      </c>
      <c r="P1062" s="20">
        <v>0.28999999999999998</v>
      </c>
      <c r="Q1062" s="20">
        <v>0.28000000000000003</v>
      </c>
      <c r="R1062" s="20"/>
      <c r="S1062" s="20"/>
      <c r="T1062" s="20">
        <v>0.43</v>
      </c>
    </row>
    <row r="1063" spans="13:20" x14ac:dyDescent="0.2">
      <c r="M1063" s="20">
        <v>1.5182902652220035E-2</v>
      </c>
      <c r="N1063" s="20">
        <v>1.5274405433418647E-3</v>
      </c>
      <c r="O1063" s="20">
        <v>0.10060266988002609</v>
      </c>
      <c r="P1063" s="20">
        <v>0.02</v>
      </c>
      <c r="Q1063" s="20">
        <v>0.09</v>
      </c>
      <c r="R1063" s="20">
        <v>1.000000000000012E-2</v>
      </c>
      <c r="S1063" s="20"/>
      <c r="T1063" s="20">
        <v>0.88</v>
      </c>
    </row>
    <row r="1064" spans="13:20" x14ac:dyDescent="0.2">
      <c r="M1064" s="20">
        <v>1.4442119867290834E-2</v>
      </c>
      <c r="N1064" s="20">
        <v>1.7557405619505252E-3</v>
      </c>
      <c r="O1064" s="20">
        <v>0.12157083434316354</v>
      </c>
      <c r="P1064" s="20">
        <v>0.20999999999999996</v>
      </c>
      <c r="Q1064" s="20"/>
      <c r="R1064" s="20"/>
      <c r="S1064" s="20"/>
      <c r="T1064" s="20">
        <v>0.79</v>
      </c>
    </row>
    <row r="1065" spans="13:20" x14ac:dyDescent="0.2">
      <c r="M1065" s="20">
        <v>1.4861488874477047E-2</v>
      </c>
      <c r="N1065" s="20">
        <v>1.4926232935617324E-3</v>
      </c>
      <c r="O1065" s="20">
        <v>0.10043564989811665</v>
      </c>
      <c r="P1065" s="20">
        <v>0.18</v>
      </c>
      <c r="Q1065" s="20">
        <v>0.65</v>
      </c>
      <c r="R1065" s="20">
        <v>0.16999999999999993</v>
      </c>
      <c r="S1065" s="20"/>
      <c r="T1065" s="20"/>
    </row>
    <row r="1066" spans="13:20" x14ac:dyDescent="0.2">
      <c r="M1066" s="20">
        <v>1.4068228960112806E-2</v>
      </c>
      <c r="N1066" s="20">
        <v>1.1039260911545564E-3</v>
      </c>
      <c r="O1066" s="20">
        <v>7.846944304677457E-2</v>
      </c>
      <c r="P1066" s="20">
        <v>0.02</v>
      </c>
      <c r="Q1066" s="20">
        <v>0.53999999999999992</v>
      </c>
      <c r="R1066" s="20"/>
      <c r="S1066" s="20">
        <v>0.31</v>
      </c>
      <c r="T1066" s="20">
        <v>0.13</v>
      </c>
    </row>
    <row r="1067" spans="13:20" x14ac:dyDescent="0.2">
      <c r="M1067" s="20">
        <v>1.1126261192309094E-2</v>
      </c>
      <c r="N1067" s="20">
        <v>1.0993252654935262E-3</v>
      </c>
      <c r="O1067" s="20">
        <v>9.8804553164132336E-2</v>
      </c>
      <c r="P1067" s="20"/>
      <c r="Q1067" s="20"/>
      <c r="R1067" s="20"/>
      <c r="S1067" s="20">
        <v>0.43</v>
      </c>
      <c r="T1067" s="20">
        <v>0.56999999999999995</v>
      </c>
    </row>
    <row r="1068" spans="13:20" x14ac:dyDescent="0.2">
      <c r="M1068" s="20">
        <v>1.0185531169869786E-2</v>
      </c>
      <c r="N1068" s="20">
        <v>9.7984838931922721E-4</v>
      </c>
      <c r="O1068" s="20">
        <v>9.6200028548118779E-2</v>
      </c>
      <c r="P1068" s="20">
        <v>3.0000000000000027E-2</v>
      </c>
      <c r="Q1068" s="20"/>
      <c r="R1068" s="20"/>
      <c r="S1068" s="20">
        <v>0.57999999999999996</v>
      </c>
      <c r="T1068" s="20">
        <v>0.39</v>
      </c>
    </row>
    <row r="1069" spans="13:20" x14ac:dyDescent="0.2">
      <c r="M1069" s="20">
        <v>1.1823816140259806E-2</v>
      </c>
      <c r="N1069" s="20">
        <v>1.6433383966648661E-3</v>
      </c>
      <c r="O1069" s="20">
        <v>0.13898544912833505</v>
      </c>
      <c r="P1069" s="20">
        <v>0.22</v>
      </c>
      <c r="Q1069" s="20">
        <v>0.21</v>
      </c>
      <c r="R1069" s="20">
        <v>0.18000000000000016</v>
      </c>
      <c r="S1069" s="20"/>
      <c r="T1069" s="20">
        <v>0.39</v>
      </c>
    </row>
    <row r="1070" spans="13:20" x14ac:dyDescent="0.2">
      <c r="M1070" s="20">
        <v>1.0283284436038655E-2</v>
      </c>
      <c r="N1070" s="20">
        <v>9.3794651633924571E-4</v>
      </c>
      <c r="O1070" s="20">
        <v>9.1210791860636603E-2</v>
      </c>
      <c r="P1070" s="20"/>
      <c r="Q1070" s="20"/>
      <c r="R1070" s="20"/>
      <c r="S1070" s="20">
        <v>0.59</v>
      </c>
      <c r="T1070" s="20">
        <v>0.40999999999999992</v>
      </c>
    </row>
    <row r="1071" spans="13:20" x14ac:dyDescent="0.2">
      <c r="M1071" s="20">
        <v>1.0832554516863343E-2</v>
      </c>
      <c r="N1071" s="20">
        <v>6.5155970109193517E-4</v>
      </c>
      <c r="O1071" s="20">
        <v>6.0148296514698711E-2</v>
      </c>
      <c r="P1071" s="20"/>
      <c r="Q1071" s="20">
        <v>0.02</v>
      </c>
      <c r="R1071" s="20">
        <v>0.18</v>
      </c>
      <c r="S1071" s="20">
        <v>0.79999999999999993</v>
      </c>
      <c r="T1071" s="20"/>
    </row>
    <row r="1072" spans="13:20" x14ac:dyDescent="0.2">
      <c r="M1072" s="20">
        <v>9.5799798832001421E-3</v>
      </c>
      <c r="N1072" s="20">
        <v>8.4817645162206133E-4</v>
      </c>
      <c r="O1072" s="20">
        <v>8.853634996765071E-2</v>
      </c>
      <c r="P1072" s="20"/>
      <c r="Q1072" s="20"/>
      <c r="R1072" s="20">
        <v>0.52</v>
      </c>
      <c r="S1072" s="20">
        <v>0.48</v>
      </c>
      <c r="T1072" s="20"/>
    </row>
    <row r="1073" spans="13:20" x14ac:dyDescent="0.2">
      <c r="M1073" s="20">
        <v>1.0602495561197557E-2</v>
      </c>
      <c r="N1073" s="20">
        <v>1.0186358909163862E-3</v>
      </c>
      <c r="O1073" s="20">
        <v>9.6075106566828938E-2</v>
      </c>
      <c r="P1073" s="20"/>
      <c r="Q1073" s="20"/>
      <c r="R1073" s="20"/>
      <c r="S1073" s="20">
        <v>0.51</v>
      </c>
      <c r="T1073" s="20">
        <v>0.4900000000000001</v>
      </c>
    </row>
    <row r="1074" spans="13:20" x14ac:dyDescent="0.2">
      <c r="M1074" s="20">
        <v>1.0128555720861736E-2</v>
      </c>
      <c r="N1074" s="20">
        <v>7.7358034681839437E-4</v>
      </c>
      <c r="O1074" s="20">
        <v>7.6376175255180243E-2</v>
      </c>
      <c r="P1074" s="20"/>
      <c r="Q1074" s="20"/>
      <c r="R1074" s="20">
        <v>0.06</v>
      </c>
      <c r="S1074" s="20">
        <v>0.73</v>
      </c>
      <c r="T1074" s="20">
        <v>0.20999999999999996</v>
      </c>
    </row>
    <row r="1075" spans="13:20" x14ac:dyDescent="0.2">
      <c r="M1075" s="20">
        <v>1.264897677979584E-2</v>
      </c>
      <c r="N1075" s="20">
        <v>1.4318864828683979E-3</v>
      </c>
      <c r="O1075" s="20">
        <v>0.1132017638893562</v>
      </c>
      <c r="P1075" s="20">
        <v>0.21</v>
      </c>
      <c r="Q1075" s="20">
        <v>0.40000000000000013</v>
      </c>
      <c r="R1075" s="20"/>
      <c r="S1075" s="20">
        <v>0.22</v>
      </c>
      <c r="T1075" s="20">
        <v>0.17</v>
      </c>
    </row>
    <row r="1076" spans="13:20" x14ac:dyDescent="0.2">
      <c r="M1076" s="20">
        <v>1.054880974222004E-2</v>
      </c>
      <c r="N1076" s="20">
        <v>1.2780570530298672E-3</v>
      </c>
      <c r="O1076" s="20">
        <v>0.12115651758459858</v>
      </c>
      <c r="P1076" s="20">
        <v>0.1399999999999999</v>
      </c>
      <c r="Q1076" s="20"/>
      <c r="R1076" s="20"/>
      <c r="S1076" s="20">
        <v>0.4</v>
      </c>
      <c r="T1076" s="20">
        <v>0.46</v>
      </c>
    </row>
    <row r="1077" spans="13:20" x14ac:dyDescent="0.2">
      <c r="M1077" s="20">
        <v>1.029512132525741E-2</v>
      </c>
      <c r="N1077" s="20">
        <v>7.5490171335739474E-4</v>
      </c>
      <c r="O1077" s="20">
        <v>7.3326159984668252E-2</v>
      </c>
      <c r="P1077" s="20"/>
      <c r="Q1077" s="20"/>
      <c r="R1077" s="20">
        <v>0.03</v>
      </c>
      <c r="S1077" s="20">
        <v>0.76</v>
      </c>
      <c r="T1077" s="20">
        <v>0.20999999999999985</v>
      </c>
    </row>
    <row r="1078" spans="13:20" x14ac:dyDescent="0.2">
      <c r="M1078" s="20">
        <v>1.6301105982438266E-2</v>
      </c>
      <c r="N1078" s="20">
        <v>1.5330306538456546E-3</v>
      </c>
      <c r="O1078" s="20">
        <v>9.4044579275617268E-2</v>
      </c>
      <c r="P1078" s="20">
        <v>0</v>
      </c>
      <c r="Q1078" s="20"/>
      <c r="R1078" s="20"/>
      <c r="S1078" s="20"/>
      <c r="T1078" s="20">
        <v>1</v>
      </c>
    </row>
    <row r="1079" spans="13:20" x14ac:dyDescent="0.2">
      <c r="M1079" s="20">
        <v>1.6536259231400802E-2</v>
      </c>
      <c r="N1079" s="20">
        <v>1.2463098012138647E-3</v>
      </c>
      <c r="O1079" s="20">
        <v>7.5368303300860168E-2</v>
      </c>
      <c r="P1079" s="20"/>
      <c r="Q1079" s="20">
        <v>0.8</v>
      </c>
      <c r="R1079" s="20">
        <v>0.11</v>
      </c>
      <c r="S1079" s="20">
        <v>0.04</v>
      </c>
      <c r="T1079" s="20">
        <v>5.0000000000000044E-2</v>
      </c>
    </row>
    <row r="1080" spans="13:20" x14ac:dyDescent="0.2">
      <c r="M1080" s="20">
        <v>1.3621378205520344E-2</v>
      </c>
      <c r="N1080" s="20">
        <v>1.8936086003011592E-3</v>
      </c>
      <c r="O1080" s="20">
        <v>0.13901740130332299</v>
      </c>
      <c r="P1080" s="20">
        <v>0.33999999999999997</v>
      </c>
      <c r="Q1080" s="20"/>
      <c r="R1080" s="20"/>
      <c r="S1080" s="20"/>
      <c r="T1080" s="20">
        <v>0.66</v>
      </c>
    </row>
    <row r="1081" spans="13:20" x14ac:dyDescent="0.2">
      <c r="M1081" s="20">
        <v>1.0499370196114879E-2</v>
      </c>
      <c r="N1081" s="20">
        <v>1.0742886659763362E-3</v>
      </c>
      <c r="O1081" s="20">
        <v>0.10231934353299205</v>
      </c>
      <c r="P1081" s="20"/>
      <c r="Q1081" s="20">
        <v>0.11</v>
      </c>
      <c r="R1081" s="20">
        <v>0.75</v>
      </c>
      <c r="S1081" s="20">
        <v>0.14000000000000001</v>
      </c>
      <c r="T1081" s="20"/>
    </row>
    <row r="1082" spans="13:20" x14ac:dyDescent="0.2">
      <c r="M1082" s="20">
        <v>1.1405326812685485E-2</v>
      </c>
      <c r="N1082" s="20">
        <v>1.1758766572572807E-3</v>
      </c>
      <c r="O1082" s="20">
        <v>0.10309890076533545</v>
      </c>
      <c r="P1082" s="20"/>
      <c r="Q1082" s="20">
        <v>0.22</v>
      </c>
      <c r="R1082" s="20">
        <v>0.77999999999999992</v>
      </c>
      <c r="S1082" s="20"/>
      <c r="T1082" s="20"/>
    </row>
    <row r="1083" spans="13:20" x14ac:dyDescent="0.2">
      <c r="M1083" s="20">
        <v>1.1201285029065523E-2</v>
      </c>
      <c r="N1083" s="20">
        <v>1.0579074501519566E-3</v>
      </c>
      <c r="O1083" s="20">
        <v>9.4445186191303765E-2</v>
      </c>
      <c r="P1083" s="20"/>
      <c r="Q1083" s="20">
        <v>0.27</v>
      </c>
      <c r="R1083" s="20">
        <v>0.53</v>
      </c>
      <c r="S1083" s="20">
        <v>0.19999999999999996</v>
      </c>
      <c r="T1083" s="20"/>
    </row>
    <row r="1084" spans="13:20" x14ac:dyDescent="0.2">
      <c r="M1084" s="20">
        <v>1.4319271568267724E-2</v>
      </c>
      <c r="N1084" s="20">
        <v>2.5146288786086829E-3</v>
      </c>
      <c r="O1084" s="20">
        <v>0.17561150835222902</v>
      </c>
      <c r="P1084" s="20">
        <v>0.94</v>
      </c>
      <c r="Q1084" s="20">
        <v>6.0000000000000053E-2</v>
      </c>
      <c r="R1084" s="20"/>
      <c r="S1084" s="20"/>
      <c r="T1084" s="20"/>
    </row>
    <row r="1085" spans="13:20" x14ac:dyDescent="0.2">
      <c r="M1085" s="20">
        <v>1.0508183830730449E-2</v>
      </c>
      <c r="N1085" s="20">
        <v>1.0595430420961402E-3</v>
      </c>
      <c r="O1085" s="20">
        <v>0.10083027278201784</v>
      </c>
      <c r="P1085" s="20"/>
      <c r="Q1085" s="20">
        <v>0.14000000000000001</v>
      </c>
      <c r="R1085" s="20">
        <v>0.69</v>
      </c>
      <c r="S1085" s="20">
        <v>0.17000000000000004</v>
      </c>
      <c r="T1085" s="20"/>
    </row>
    <row r="1086" spans="13:20" x14ac:dyDescent="0.2">
      <c r="M1086" s="20">
        <v>1.0909084634781437E-2</v>
      </c>
      <c r="N1086" s="20">
        <v>1.122129742383388E-3</v>
      </c>
      <c r="O1086" s="20">
        <v>0.10286195221235167</v>
      </c>
      <c r="P1086" s="20"/>
      <c r="Q1086" s="20"/>
      <c r="R1086" s="20">
        <v>0.96</v>
      </c>
      <c r="S1086" s="20">
        <v>4.0000000000000036E-2</v>
      </c>
      <c r="T1086" s="20"/>
    </row>
    <row r="1087" spans="13:20" x14ac:dyDescent="0.2">
      <c r="M1087" s="20">
        <v>1.3383775525188497E-2</v>
      </c>
      <c r="N1087" s="20">
        <v>2.2962958003406057E-3</v>
      </c>
      <c r="O1087" s="20">
        <v>0.17157309579938318</v>
      </c>
      <c r="P1087" s="20">
        <v>0.78</v>
      </c>
      <c r="Q1087" s="20">
        <v>0.16</v>
      </c>
      <c r="R1087" s="20">
        <v>5.9999999999999831E-2</v>
      </c>
      <c r="S1087" s="20"/>
      <c r="T1087" s="20"/>
    </row>
    <row r="1088" spans="13:20" x14ac:dyDescent="0.2">
      <c r="M1088" s="20">
        <v>1.0663276279045017E-2</v>
      </c>
      <c r="N1088" s="20">
        <v>6.7657858926544519E-4</v>
      </c>
      <c r="O1088" s="20">
        <v>6.3449410064993481E-2</v>
      </c>
      <c r="P1088" s="20"/>
      <c r="Q1088" s="20"/>
      <c r="R1088" s="20">
        <v>0.05</v>
      </c>
      <c r="S1088" s="20">
        <v>0.83</v>
      </c>
      <c r="T1088" s="20">
        <v>0.12</v>
      </c>
    </row>
    <row r="1089" spans="13:20" x14ac:dyDescent="0.2">
      <c r="M1089" s="20">
        <v>1.0849268270399207E-2</v>
      </c>
      <c r="N1089" s="20">
        <v>1.800546181576114E-3</v>
      </c>
      <c r="O1089" s="20">
        <v>0.16596014926542704</v>
      </c>
      <c r="P1089" s="20">
        <v>0.44</v>
      </c>
      <c r="Q1089" s="20">
        <v>0.13</v>
      </c>
      <c r="R1089" s="20">
        <v>0.42999999999999994</v>
      </c>
      <c r="S1089" s="20"/>
      <c r="T1089" s="20"/>
    </row>
    <row r="1090" spans="13:20" x14ac:dyDescent="0.2">
      <c r="M1090" s="20">
        <v>1.2407068080502534E-2</v>
      </c>
      <c r="N1090" s="20">
        <v>1.3351902919802351E-3</v>
      </c>
      <c r="O1090" s="20">
        <v>0.1076152950331965</v>
      </c>
      <c r="P1090" s="20">
        <v>0.08</v>
      </c>
      <c r="Q1090" s="20">
        <v>0.43</v>
      </c>
      <c r="R1090" s="20">
        <v>0.37</v>
      </c>
      <c r="S1090" s="20">
        <v>0.03</v>
      </c>
      <c r="T1090" s="20">
        <v>9.000000000000008E-2</v>
      </c>
    </row>
    <row r="1091" spans="13:20" x14ac:dyDescent="0.2">
      <c r="M1091" s="20">
        <v>1.0473843234688167E-2</v>
      </c>
      <c r="N1091" s="20">
        <v>7.3622307989639531E-4</v>
      </c>
      <c r="O1091" s="20">
        <v>7.0291588617453146E-2</v>
      </c>
      <c r="P1091" s="20"/>
      <c r="Q1091" s="20"/>
      <c r="R1091" s="20"/>
      <c r="S1091" s="20">
        <v>0.79</v>
      </c>
      <c r="T1091" s="20">
        <v>0.20999999999999996</v>
      </c>
    </row>
    <row r="1092" spans="13:20" x14ac:dyDescent="0.2">
      <c r="M1092" s="20">
        <v>1.0022910960874785E-2</v>
      </c>
      <c r="N1092" s="20">
        <v>1.3559271223447834E-3</v>
      </c>
      <c r="O1092" s="20">
        <v>0.13528276641763562</v>
      </c>
      <c r="P1092" s="20">
        <v>0.28000000000000014</v>
      </c>
      <c r="Q1092" s="20"/>
      <c r="R1092" s="20"/>
      <c r="S1092" s="20">
        <v>0.47</v>
      </c>
      <c r="T1092" s="20">
        <v>0.25</v>
      </c>
    </row>
    <row r="1093" spans="13:20" x14ac:dyDescent="0.2">
      <c r="M1093" s="20">
        <v>1.1668661475519987E-2</v>
      </c>
      <c r="N1093" s="20">
        <v>1.9195200227690255E-3</v>
      </c>
      <c r="O1093" s="20">
        <v>0.16450216049167599</v>
      </c>
      <c r="P1093" s="20">
        <v>0.6</v>
      </c>
      <c r="Q1093" s="20">
        <v>6.9999999999999951E-2</v>
      </c>
      <c r="R1093" s="20"/>
      <c r="S1093" s="20">
        <v>0.23</v>
      </c>
      <c r="T1093" s="20">
        <v>0.1</v>
      </c>
    </row>
    <row r="1094" spans="13:20" x14ac:dyDescent="0.2">
      <c r="M1094" s="20">
        <v>1.1638714504403661E-2</v>
      </c>
      <c r="N1094" s="20">
        <v>1.1142721553492945E-3</v>
      </c>
      <c r="O1094" s="20">
        <v>9.5738421535101217E-2</v>
      </c>
      <c r="P1094" s="20"/>
      <c r="Q1094" s="20">
        <v>0.32</v>
      </c>
      <c r="R1094" s="20">
        <v>0.56000000000000005</v>
      </c>
      <c r="S1094" s="20">
        <v>0.11999999999999988</v>
      </c>
      <c r="T1094" s="20"/>
    </row>
    <row r="1095" spans="13:20" x14ac:dyDescent="0.2">
      <c r="M1095" s="20">
        <v>1.5072756399316824E-2</v>
      </c>
      <c r="N1095" s="20">
        <v>1.2361828041629363E-3</v>
      </c>
      <c r="O1095" s="20">
        <v>8.2014382201451005E-2</v>
      </c>
      <c r="P1095" s="20"/>
      <c r="Q1095" s="20">
        <v>0.68</v>
      </c>
      <c r="R1095" s="20">
        <v>0.31999999999999995</v>
      </c>
      <c r="S1095" s="20"/>
      <c r="T1095" s="20"/>
    </row>
    <row r="1096" spans="13:20" x14ac:dyDescent="0.2">
      <c r="M1096" s="20">
        <v>1.0192156839305608E-2</v>
      </c>
      <c r="N1096" s="20">
        <v>8.4717096993996315E-4</v>
      </c>
      <c r="O1096" s="20">
        <v>8.3119891431898421E-2</v>
      </c>
      <c r="P1096" s="20"/>
      <c r="Q1096" s="20"/>
      <c r="R1096" s="20"/>
      <c r="S1096" s="20">
        <v>0.68</v>
      </c>
      <c r="T1096" s="20">
        <v>0.31999999999999995</v>
      </c>
    </row>
    <row r="1097" spans="13:20" x14ac:dyDescent="0.2">
      <c r="M1097" s="20">
        <v>9.6068778415279218E-3</v>
      </c>
      <c r="N1097" s="20">
        <v>8.7618714564362959E-4</v>
      </c>
      <c r="O1097" s="20">
        <v>9.120415186879037E-2</v>
      </c>
      <c r="P1097" s="20"/>
      <c r="Q1097" s="20"/>
      <c r="R1097" s="20">
        <v>0.16</v>
      </c>
      <c r="S1097" s="20">
        <v>0.59</v>
      </c>
      <c r="T1097" s="20">
        <v>0.24999999999999989</v>
      </c>
    </row>
    <row r="1098" spans="13:20" x14ac:dyDescent="0.2">
      <c r="M1098" s="20">
        <v>1.7230052311804852E-2</v>
      </c>
      <c r="N1098" s="20">
        <v>1.259780861647758E-3</v>
      </c>
      <c r="O1098" s="20">
        <v>7.3115324251490657E-2</v>
      </c>
      <c r="P1098" s="20"/>
      <c r="Q1098" s="20">
        <v>0.86</v>
      </c>
      <c r="R1098" s="20">
        <v>0.1399999999999999</v>
      </c>
      <c r="S1098" s="20"/>
      <c r="T1098" s="20"/>
    </row>
    <row r="1099" spans="13:20" x14ac:dyDescent="0.2">
      <c r="M1099" s="20">
        <v>1.4368989816425544E-2</v>
      </c>
      <c r="N1099" s="20">
        <v>1.7663457956698047E-3</v>
      </c>
      <c r="O1099" s="20">
        <v>0.12292762527054278</v>
      </c>
      <c r="P1099" s="20">
        <v>0.21999999999999997</v>
      </c>
      <c r="Q1099" s="20"/>
      <c r="R1099" s="20"/>
      <c r="S1099" s="20"/>
      <c r="T1099" s="20">
        <v>0.78</v>
      </c>
    </row>
    <row r="1100" spans="13:20" x14ac:dyDescent="0.2">
      <c r="M1100" s="20">
        <v>1.3699090274319509E-2</v>
      </c>
      <c r="N1100" s="20">
        <v>1.5418132031734277E-3</v>
      </c>
      <c r="O1100" s="20">
        <v>0.11254858332189624</v>
      </c>
      <c r="P1100" s="20">
        <v>0.09</v>
      </c>
      <c r="Q1100" s="20">
        <v>0.34000000000000019</v>
      </c>
      <c r="R1100" s="20"/>
      <c r="S1100" s="20"/>
      <c r="T1100" s="20">
        <v>0.56999999999999995</v>
      </c>
    </row>
    <row r="1101" spans="13:20" x14ac:dyDescent="0.2">
      <c r="M1101" s="20">
        <v>9.3010877751909787E-3</v>
      </c>
      <c r="N1101" s="20">
        <v>9.2649957571401098E-4</v>
      </c>
      <c r="O1101" s="20">
        <v>9.961195917162359E-2</v>
      </c>
      <c r="P1101" s="20"/>
      <c r="Q1101" s="20"/>
      <c r="R1101" s="20">
        <v>0.5</v>
      </c>
      <c r="S1101" s="20">
        <v>0.41</v>
      </c>
      <c r="T1101" s="20">
        <v>8.9999999999999969E-2</v>
      </c>
    </row>
    <row r="1102" spans="13:20" x14ac:dyDescent="0.2">
      <c r="M1102" s="20">
        <v>1.244478131295846E-2</v>
      </c>
      <c r="N1102" s="20">
        <v>1.883316019805559E-3</v>
      </c>
      <c r="O1102" s="20">
        <v>0.15133379787433518</v>
      </c>
      <c r="P1102" s="20">
        <v>0.48</v>
      </c>
      <c r="Q1102" s="20">
        <v>0.32</v>
      </c>
      <c r="R1102" s="20">
        <v>0.19999999999999996</v>
      </c>
      <c r="S1102" s="20"/>
      <c r="T1102" s="20"/>
    </row>
    <row r="1103" spans="13:20" x14ac:dyDescent="0.2">
      <c r="M1103" s="20">
        <v>1.697797094601055E-2</v>
      </c>
      <c r="N1103" s="20">
        <v>1.2571588552605557E-3</v>
      </c>
      <c r="O1103" s="20">
        <v>7.4046472293908622E-2</v>
      </c>
      <c r="P1103" s="20"/>
      <c r="Q1103" s="20">
        <v>0.84</v>
      </c>
      <c r="R1103" s="20">
        <v>0.16000000000000014</v>
      </c>
      <c r="S1103" s="20"/>
      <c r="T1103" s="20"/>
    </row>
    <row r="1104" spans="13:20" x14ac:dyDescent="0.2">
      <c r="M1104" s="20">
        <v>9.6375102621556533E-3</v>
      </c>
      <c r="N1104" s="20">
        <v>9.2911719661972606E-4</v>
      </c>
      <c r="O1104" s="20">
        <v>9.6406350950220154E-2</v>
      </c>
      <c r="P1104" s="20"/>
      <c r="Q1104" s="20"/>
      <c r="R1104" s="20">
        <v>0.65</v>
      </c>
      <c r="S1104" s="20">
        <v>0.34999999999999987</v>
      </c>
      <c r="T1104" s="20"/>
    </row>
    <row r="1105" spans="13:20" x14ac:dyDescent="0.2">
      <c r="M1105" s="20">
        <v>1.2710433999783685E-2</v>
      </c>
      <c r="N1105" s="20">
        <v>1.8803618745508121E-3</v>
      </c>
      <c r="O1105" s="20">
        <v>0.14793844762364633</v>
      </c>
      <c r="P1105" s="20">
        <v>0.39</v>
      </c>
      <c r="Q1105" s="20">
        <v>0.26</v>
      </c>
      <c r="R1105" s="20"/>
      <c r="S1105" s="20"/>
      <c r="T1105" s="20">
        <v>0.35</v>
      </c>
    </row>
    <row r="1106" spans="13:20" x14ac:dyDescent="0.2">
      <c r="M1106" s="20">
        <v>1.0785346482839398E-2</v>
      </c>
      <c r="N1106" s="20">
        <v>1.109677320076055E-3</v>
      </c>
      <c r="O1106" s="20">
        <v>0.1028874985000868</v>
      </c>
      <c r="P1106" s="20"/>
      <c r="Q1106" s="20"/>
      <c r="R1106" s="20">
        <v>0.94</v>
      </c>
      <c r="S1106" s="20">
        <v>5.9999999999999942E-2</v>
      </c>
      <c r="T1106" s="20"/>
    </row>
    <row r="1107" spans="13:20" x14ac:dyDescent="0.2">
      <c r="M1107" s="20">
        <v>1.0678381654700331E-2</v>
      </c>
      <c r="N1107" s="20">
        <v>6.9587839260782519E-4</v>
      </c>
      <c r="O1107" s="20">
        <v>6.5167027655498588E-2</v>
      </c>
      <c r="P1107" s="20"/>
      <c r="Q1107" s="20"/>
      <c r="R1107" s="20"/>
      <c r="S1107" s="20">
        <v>0.83</v>
      </c>
      <c r="T1107" s="20">
        <v>0.16999999999999993</v>
      </c>
    </row>
    <row r="1108" spans="13:20" x14ac:dyDescent="0.2">
      <c r="M1108" s="20">
        <v>1.4027511296019176E-2</v>
      </c>
      <c r="N1108" s="20">
        <v>1.8193719642662018E-3</v>
      </c>
      <c r="O1108" s="20">
        <v>0.12970026727282094</v>
      </c>
      <c r="P1108" s="20">
        <v>0.26999999999999991</v>
      </c>
      <c r="Q1108" s="20"/>
      <c r="R1108" s="20"/>
      <c r="S1108" s="20"/>
      <c r="T1108" s="20">
        <v>0.73</v>
      </c>
    </row>
    <row r="1109" spans="13:20" x14ac:dyDescent="0.2">
      <c r="M1109" s="20">
        <v>1.4129957579282985E-2</v>
      </c>
      <c r="N1109" s="20">
        <v>1.1870265084985264E-3</v>
      </c>
      <c r="O1109" s="20">
        <v>8.4007789962435353E-2</v>
      </c>
      <c r="P1109" s="20"/>
      <c r="Q1109" s="20">
        <v>0.59</v>
      </c>
      <c r="R1109" s="20">
        <v>0.35</v>
      </c>
      <c r="S1109" s="20">
        <v>6.0000000000000164E-2</v>
      </c>
      <c r="T1109" s="20"/>
    </row>
    <row r="1110" spans="13:20" x14ac:dyDescent="0.2">
      <c r="M1110" s="20">
        <v>1.0308163653819615E-2</v>
      </c>
      <c r="N1110" s="20">
        <v>1.0575744292738601E-3</v>
      </c>
      <c r="O1110" s="20">
        <v>0.10259581287128514</v>
      </c>
      <c r="P1110" s="20"/>
      <c r="Q1110" s="20">
        <v>0.03</v>
      </c>
      <c r="R1110" s="20">
        <v>0.82</v>
      </c>
      <c r="S1110" s="20">
        <v>0.14999999999999991</v>
      </c>
      <c r="T1110" s="20"/>
    </row>
    <row r="1111" spans="13:20" x14ac:dyDescent="0.2">
      <c r="M1111" s="20">
        <v>1.6482271217304091E-2</v>
      </c>
      <c r="N1111" s="20">
        <v>1.2519148424861505E-3</v>
      </c>
      <c r="O1111" s="20">
        <v>7.595523857002269E-2</v>
      </c>
      <c r="P1111" s="20"/>
      <c r="Q1111" s="20">
        <v>0.8</v>
      </c>
      <c r="R1111" s="20">
        <v>0.19999999999999984</v>
      </c>
      <c r="S1111" s="20"/>
      <c r="T1111" s="20"/>
    </row>
    <row r="1112" spans="13:20" x14ac:dyDescent="0.2">
      <c r="M1112" s="20">
        <v>1.1234592652910182E-2</v>
      </c>
      <c r="N1112" s="20">
        <v>6.1518901803068505E-4</v>
      </c>
      <c r="O1112" s="20">
        <v>5.4758462281347418E-2</v>
      </c>
      <c r="P1112" s="20"/>
      <c r="Q1112" s="20"/>
      <c r="R1112" s="20"/>
      <c r="S1112" s="20">
        <v>0.91</v>
      </c>
      <c r="T1112" s="20">
        <v>8.9999999999999969E-2</v>
      </c>
    </row>
    <row r="1113" spans="13:20" x14ac:dyDescent="0.2">
      <c r="M1113" s="20">
        <v>1.3065123935181406E-2</v>
      </c>
      <c r="N1113" s="20">
        <v>2.0526871060903523E-3</v>
      </c>
      <c r="O1113" s="20">
        <v>0.1571119505849411</v>
      </c>
      <c r="P1113" s="20">
        <v>0.49</v>
      </c>
      <c r="Q1113" s="20"/>
      <c r="R1113" s="20"/>
      <c r="S1113" s="20"/>
      <c r="T1113" s="20">
        <v>0.51</v>
      </c>
    </row>
    <row r="1114" spans="13:20" x14ac:dyDescent="0.2">
      <c r="M1114" s="20">
        <v>1.0958733054285734E-2</v>
      </c>
      <c r="N1114" s="20">
        <v>1.322208601348066E-3</v>
      </c>
      <c r="O1114" s="20">
        <v>0.12065341812765276</v>
      </c>
      <c r="P1114" s="20">
        <v>0.13</v>
      </c>
      <c r="Q1114" s="20">
        <v>0.24</v>
      </c>
      <c r="R1114" s="20">
        <v>0.17</v>
      </c>
      <c r="S1114" s="20">
        <v>0.22000000000000008</v>
      </c>
      <c r="T1114" s="20">
        <v>0.24</v>
      </c>
    </row>
    <row r="1115" spans="13:20" x14ac:dyDescent="0.2">
      <c r="M1115" s="20">
        <v>1.0239871705778869E-2</v>
      </c>
      <c r="N1115" s="20">
        <v>9.4469432100202665E-4</v>
      </c>
      <c r="O1115" s="20">
        <v>9.2256460641873927E-2</v>
      </c>
      <c r="P1115" s="20">
        <v>0.12999999999999989</v>
      </c>
      <c r="Q1115" s="20"/>
      <c r="R1115" s="20"/>
      <c r="S1115" s="20">
        <v>0.72</v>
      </c>
      <c r="T1115" s="20">
        <v>0.15</v>
      </c>
    </row>
    <row r="1116" spans="13:20" x14ac:dyDescent="0.2">
      <c r="M1116" s="20">
        <v>1.1942093843263507E-2</v>
      </c>
      <c r="N1116" s="20">
        <v>1.9474149440609997E-3</v>
      </c>
      <c r="O1116" s="20">
        <v>0.1630714822392331</v>
      </c>
      <c r="P1116" s="20">
        <v>0.45</v>
      </c>
      <c r="Q1116" s="20">
        <v>0.08</v>
      </c>
      <c r="R1116" s="20">
        <v>0.10999999999999999</v>
      </c>
      <c r="S1116" s="20"/>
      <c r="T1116" s="20">
        <v>0.36</v>
      </c>
    </row>
    <row r="1117" spans="13:20" x14ac:dyDescent="0.2">
      <c r="M1117" s="20">
        <v>1.3241074744009689E-2</v>
      </c>
      <c r="N1117" s="20">
        <v>1.2125847466781144E-3</v>
      </c>
      <c r="O1117" s="20">
        <v>9.1577516940359566E-2</v>
      </c>
      <c r="P1117" s="20">
        <v>0</v>
      </c>
      <c r="Q1117" s="20">
        <v>0.5</v>
      </c>
      <c r="R1117" s="20">
        <v>0.49999999999999989</v>
      </c>
      <c r="S1117" s="20"/>
      <c r="T1117" s="20"/>
    </row>
    <row r="1118" spans="13:20" x14ac:dyDescent="0.2">
      <c r="M1118" s="20">
        <v>1.4717497841985417E-2</v>
      </c>
      <c r="N1118" s="20">
        <v>1.8700735100951203E-3</v>
      </c>
      <c r="O1118" s="20">
        <v>0.12706463626991393</v>
      </c>
      <c r="P1118" s="20">
        <v>0.45</v>
      </c>
      <c r="Q1118" s="20">
        <v>0.55000000000000004</v>
      </c>
      <c r="R1118" s="20"/>
      <c r="S1118" s="20"/>
      <c r="T1118" s="20"/>
    </row>
    <row r="1119" spans="13:20" x14ac:dyDescent="0.2">
      <c r="M1119" s="20">
        <v>1.6200182288353199E-2</v>
      </c>
      <c r="N1119" s="20">
        <v>1.5436358875649341E-3</v>
      </c>
      <c r="O1119" s="20">
        <v>9.5285093716180005E-2</v>
      </c>
      <c r="P1119" s="20">
        <v>1.0000000000000009E-2</v>
      </c>
      <c r="Q1119" s="20"/>
      <c r="R1119" s="20"/>
      <c r="S1119" s="20"/>
      <c r="T1119" s="20">
        <v>0.99</v>
      </c>
    </row>
    <row r="1120" spans="13:20" x14ac:dyDescent="0.2">
      <c r="M1120" s="20">
        <v>1.0355187992500054E-2</v>
      </c>
      <c r="N1120" s="20">
        <v>7.6648159536282291E-4</v>
      </c>
      <c r="O1120" s="20">
        <v>7.401909032631393E-2</v>
      </c>
      <c r="P1120" s="20"/>
      <c r="Q1120" s="20"/>
      <c r="R1120" s="20"/>
      <c r="S1120" s="20">
        <v>0.76</v>
      </c>
      <c r="T1120" s="20">
        <v>0.24</v>
      </c>
    </row>
    <row r="1121" spans="13:20" x14ac:dyDescent="0.2">
      <c r="M1121" s="20">
        <v>1.2953162917986181E-2</v>
      </c>
      <c r="N1121" s="20">
        <v>2.1587394432831474E-3</v>
      </c>
      <c r="O1121" s="20">
        <v>0.16665732199551189</v>
      </c>
      <c r="P1121" s="20">
        <v>0.59</v>
      </c>
      <c r="Q1121" s="20"/>
      <c r="R1121" s="20"/>
      <c r="S1121" s="20"/>
      <c r="T1121" s="20">
        <v>0.41</v>
      </c>
    </row>
    <row r="1122" spans="13:20" x14ac:dyDescent="0.2">
      <c r="M1122" s="20">
        <v>1.441711545283081E-2</v>
      </c>
      <c r="N1122" s="20">
        <v>2.5409372609969914E-3</v>
      </c>
      <c r="O1122" s="20">
        <v>0.17624449698764649</v>
      </c>
      <c r="P1122" s="20">
        <v>0.96</v>
      </c>
      <c r="Q1122" s="20">
        <v>4.0000000000000036E-2</v>
      </c>
      <c r="R1122" s="20"/>
      <c r="S1122" s="20"/>
      <c r="T1122" s="20"/>
    </row>
    <row r="1123" spans="13:20" x14ac:dyDescent="0.2">
      <c r="M1123" s="20">
        <v>1.8001796391182507E-2</v>
      </c>
      <c r="N1123" s="20">
        <v>1.2676468808093654E-3</v>
      </c>
      <c r="O1123" s="20">
        <v>7.0417799049781155E-2</v>
      </c>
      <c r="P1123" s="20"/>
      <c r="Q1123" s="20">
        <v>0.92</v>
      </c>
      <c r="R1123" s="20">
        <v>8.0000000000000071E-2</v>
      </c>
      <c r="S1123" s="20"/>
      <c r="T1123" s="20"/>
    </row>
    <row r="1124" spans="13:20" x14ac:dyDescent="0.2">
      <c r="M1124" s="20">
        <v>1.4156095171859336E-2</v>
      </c>
      <c r="N1124" s="20">
        <v>1.032353428036125E-3</v>
      </c>
      <c r="O1124" s="20">
        <v>7.2926426073224124E-2</v>
      </c>
      <c r="P1124" s="20"/>
      <c r="Q1124" s="20">
        <v>0.55000000000000004</v>
      </c>
      <c r="R1124" s="20">
        <v>0.15</v>
      </c>
      <c r="S1124" s="20">
        <v>0.29999999999999982</v>
      </c>
      <c r="T1124" s="20"/>
    </row>
    <row r="1125" spans="13:20" x14ac:dyDescent="0.2">
      <c r="M1125" s="20">
        <v>1.5588506853553261E-2</v>
      </c>
      <c r="N1125" s="20">
        <v>1.7122232157652682E-3</v>
      </c>
      <c r="O1125" s="20">
        <v>0.1098388211167885</v>
      </c>
      <c r="P1125" s="20">
        <v>0.33</v>
      </c>
      <c r="Q1125" s="20">
        <v>0.66999999999999993</v>
      </c>
      <c r="R1125" s="20"/>
      <c r="S1125" s="20"/>
      <c r="T1125" s="20"/>
    </row>
    <row r="1126" spans="13:20" x14ac:dyDescent="0.2">
      <c r="M1126" s="20">
        <v>9.8891119479528142E-3</v>
      </c>
      <c r="N1126" s="20">
        <v>1.6588519659697168E-3</v>
      </c>
      <c r="O1126" s="20">
        <v>0.16774529145795772</v>
      </c>
      <c r="P1126" s="20">
        <v>0.38</v>
      </c>
      <c r="Q1126" s="20"/>
      <c r="R1126" s="20">
        <v>0.3</v>
      </c>
      <c r="S1126" s="20">
        <v>0.16</v>
      </c>
      <c r="T1126" s="20">
        <v>0.16</v>
      </c>
    </row>
    <row r="1127" spans="13:20" x14ac:dyDescent="0.2">
      <c r="M1127" s="20">
        <v>1.3900120420019861E-2</v>
      </c>
      <c r="N1127" s="20">
        <v>2.1331573339782072E-3</v>
      </c>
      <c r="O1127" s="20">
        <v>0.15346322690168171</v>
      </c>
      <c r="P1127" s="20">
        <v>0.65</v>
      </c>
      <c r="Q1127" s="20">
        <v>0.35</v>
      </c>
      <c r="R1127" s="20"/>
      <c r="S1127" s="20"/>
      <c r="T1127" s="20"/>
    </row>
    <row r="1128" spans="13:20" x14ac:dyDescent="0.2">
      <c r="M1128" s="20">
        <v>1.3984850690816109E-2</v>
      </c>
      <c r="N1128" s="20">
        <v>2.3962411578612938E-3</v>
      </c>
      <c r="O1128" s="20">
        <v>0.17134549455253834</v>
      </c>
      <c r="P1128" s="20">
        <v>0.85</v>
      </c>
      <c r="Q1128" s="20">
        <v>0.14999999999999991</v>
      </c>
      <c r="R1128" s="20"/>
      <c r="S1128" s="20"/>
      <c r="T1128" s="20"/>
    </row>
    <row r="1129" spans="13:20" x14ac:dyDescent="0.2">
      <c r="M1129" s="20">
        <v>1.4000173937607611E-2</v>
      </c>
      <c r="N1129" s="20">
        <v>2.498106922300093E-3</v>
      </c>
      <c r="O1129" s="20">
        <v>0.17843399185131673</v>
      </c>
      <c r="P1129" s="20">
        <v>0.91</v>
      </c>
      <c r="Q1129" s="20">
        <v>1.1102230246251565E-16</v>
      </c>
      <c r="R1129" s="20"/>
      <c r="S1129" s="20"/>
      <c r="T1129" s="20">
        <v>0.09</v>
      </c>
    </row>
    <row r="1130" spans="13:20" x14ac:dyDescent="0.2">
      <c r="M1130" s="20">
        <v>9.6115270906106613E-3</v>
      </c>
      <c r="N1130" s="20">
        <v>1.1904287347204454E-3</v>
      </c>
      <c r="O1130" s="20">
        <v>0.12385427658871763</v>
      </c>
      <c r="P1130" s="20">
        <v>0.17</v>
      </c>
      <c r="Q1130" s="20">
        <v>7.0000000000000007E-2</v>
      </c>
      <c r="R1130" s="20">
        <v>0.42</v>
      </c>
      <c r="S1130" s="20">
        <v>0.33999999999999997</v>
      </c>
      <c r="T1130" s="20"/>
    </row>
    <row r="1131" spans="13:20" x14ac:dyDescent="0.2">
      <c r="M1131" s="20">
        <v>1.6605098630716873E-2</v>
      </c>
      <c r="N1131" s="20">
        <v>1.2532258456797519E-3</v>
      </c>
      <c r="O1131" s="20">
        <v>7.5472351808948443E-2</v>
      </c>
      <c r="P1131" s="20"/>
      <c r="Q1131" s="20">
        <v>0.81</v>
      </c>
      <c r="R1131" s="20">
        <v>0.18999999999999995</v>
      </c>
      <c r="S1131" s="20"/>
      <c r="T1131" s="20"/>
    </row>
    <row r="1132" spans="13:20" x14ac:dyDescent="0.2">
      <c r="M1132" s="20">
        <v>1.0569640821757332E-2</v>
      </c>
      <c r="N1132" s="20">
        <v>7.1605073625211025E-4</v>
      </c>
      <c r="O1132" s="20">
        <v>6.7745985727172331E-2</v>
      </c>
      <c r="P1132" s="20"/>
      <c r="Q1132" s="20"/>
      <c r="R1132" s="20"/>
      <c r="S1132" s="20">
        <v>0.81</v>
      </c>
      <c r="T1132" s="20">
        <v>0.18999999999999995</v>
      </c>
    </row>
    <row r="1133" spans="13:20" x14ac:dyDescent="0.2">
      <c r="M1133" s="20">
        <v>9.8880402040913088E-3</v>
      </c>
      <c r="N1133" s="20">
        <v>9.8777510338992724E-4</v>
      </c>
      <c r="O1133" s="20">
        <v>9.9895943281179442E-2</v>
      </c>
      <c r="P1133" s="20"/>
      <c r="Q1133" s="20">
        <v>0.02</v>
      </c>
      <c r="R1133" s="20">
        <v>0.72</v>
      </c>
      <c r="S1133" s="20">
        <v>0.26</v>
      </c>
      <c r="T1133" s="20"/>
    </row>
    <row r="1134" spans="13:20" x14ac:dyDescent="0.2">
      <c r="M1134" s="20">
        <v>1.3940360091823891E-2</v>
      </c>
      <c r="N1134" s="20">
        <v>2.4936086682529218E-3</v>
      </c>
      <c r="O1134" s="20">
        <v>0.17887691937853448</v>
      </c>
      <c r="P1134" s="20">
        <v>0.93</v>
      </c>
      <c r="Q1134" s="20">
        <v>0.01</v>
      </c>
      <c r="R1134" s="20">
        <v>5.9999999999999942E-2</v>
      </c>
      <c r="S1134" s="20"/>
      <c r="T1134" s="20"/>
    </row>
    <row r="1135" spans="13:20" x14ac:dyDescent="0.2">
      <c r="M1135" s="20">
        <v>1.8528130402520309E-2</v>
      </c>
      <c r="N1135" s="20">
        <v>1.2728908935837702E-3</v>
      </c>
      <c r="O1135" s="20">
        <v>6.8700449852761386E-2</v>
      </c>
      <c r="P1135" s="20"/>
      <c r="Q1135" s="20">
        <v>0.96</v>
      </c>
      <c r="R1135" s="20">
        <v>4.0000000000000036E-2</v>
      </c>
      <c r="S1135" s="20"/>
      <c r="T1135" s="20"/>
    </row>
    <row r="1136" spans="13:20" x14ac:dyDescent="0.2">
      <c r="M1136" s="20">
        <v>1.3520822457855124E-2</v>
      </c>
      <c r="N1136" s="20">
        <v>2.2931471819631535E-3</v>
      </c>
      <c r="O1136" s="20">
        <v>0.16960116066245035</v>
      </c>
      <c r="P1136" s="20">
        <v>0.76</v>
      </c>
      <c r="Q1136" s="20">
        <v>0.17999999999999983</v>
      </c>
      <c r="R1136" s="20"/>
      <c r="S1136" s="20"/>
      <c r="T1136" s="20">
        <v>0.06</v>
      </c>
    </row>
    <row r="1137" spans="13:20" x14ac:dyDescent="0.2">
      <c r="M1137" s="20">
        <v>9.5690768826218534E-3</v>
      </c>
      <c r="N1137" s="20">
        <v>8.6062887392939435E-4</v>
      </c>
      <c r="O1137" s="20">
        <v>8.9938547310907252E-2</v>
      </c>
      <c r="P1137" s="20"/>
      <c r="Q1137" s="20"/>
      <c r="R1137" s="20">
        <v>0.54</v>
      </c>
      <c r="S1137" s="20">
        <v>0.45999999999999996</v>
      </c>
      <c r="T1137" s="20"/>
    </row>
    <row r="1138" spans="13:20" x14ac:dyDescent="0.2">
      <c r="M1138" s="20">
        <v>1.4589042670781174E-2</v>
      </c>
      <c r="N1138" s="20">
        <v>1.1024815587343975E-3</v>
      </c>
      <c r="O1138" s="20">
        <v>7.5569150328310394E-2</v>
      </c>
      <c r="P1138" s="20"/>
      <c r="Q1138" s="20">
        <v>0.61</v>
      </c>
      <c r="R1138" s="20">
        <v>0.19</v>
      </c>
      <c r="S1138" s="20">
        <v>0.19999999999999996</v>
      </c>
      <c r="T1138" s="20"/>
    </row>
    <row r="1139" spans="13:20" x14ac:dyDescent="0.2">
      <c r="M1139" s="20">
        <v>1.4229806726489979E-2</v>
      </c>
      <c r="N1139" s="20">
        <v>2.4883204962203747E-3</v>
      </c>
      <c r="O1139" s="20">
        <v>0.17486678097940414</v>
      </c>
      <c r="P1139" s="20">
        <v>0.92</v>
      </c>
      <c r="Q1139" s="20">
        <v>7.999999999999996E-2</v>
      </c>
      <c r="R1139" s="20"/>
      <c r="S1139" s="20"/>
      <c r="T1139" s="20"/>
    </row>
    <row r="1140" spans="13:20" x14ac:dyDescent="0.2">
      <c r="M1140" s="20">
        <v>9.5799798832001421E-3</v>
      </c>
      <c r="N1140" s="20">
        <v>8.4817645162206144E-4</v>
      </c>
      <c r="O1140" s="20">
        <v>8.853634996765071E-2</v>
      </c>
      <c r="P1140" s="20"/>
      <c r="Q1140" s="20"/>
      <c r="R1140" s="20">
        <v>0.52</v>
      </c>
      <c r="S1140" s="20">
        <v>0.48000000000000009</v>
      </c>
      <c r="T1140" s="20"/>
    </row>
    <row r="1141" spans="13:20" x14ac:dyDescent="0.2">
      <c r="M1141" s="20">
        <v>1.2002879915162856E-2</v>
      </c>
      <c r="N1141" s="20">
        <v>1.7083635939084047E-3</v>
      </c>
      <c r="O1141" s="20">
        <v>0.14232947475799398</v>
      </c>
      <c r="P1141" s="20">
        <v>0.25</v>
      </c>
      <c r="Q1141" s="20">
        <v>0.11</v>
      </c>
      <c r="R1141" s="20">
        <v>0.16000000000000014</v>
      </c>
      <c r="S1141" s="20"/>
      <c r="T1141" s="20">
        <v>0.48</v>
      </c>
    </row>
    <row r="1142" spans="13:20" x14ac:dyDescent="0.2">
      <c r="M1142" s="20">
        <v>9.6555161853307987E-3</v>
      </c>
      <c r="N1142" s="20">
        <v>8.1081918470006216E-4</v>
      </c>
      <c r="O1142" s="20">
        <v>8.3974711360528198E-2</v>
      </c>
      <c r="P1142" s="20"/>
      <c r="Q1142" s="20"/>
      <c r="R1142" s="20">
        <v>0.46</v>
      </c>
      <c r="S1142" s="20">
        <v>0.53999999999999992</v>
      </c>
      <c r="T1142" s="20"/>
    </row>
    <row r="1143" spans="13:20" x14ac:dyDescent="0.2">
      <c r="M1143" s="20">
        <v>9.6742806607821898E-3</v>
      </c>
      <c r="N1143" s="20">
        <v>8.0459297354639576E-4</v>
      </c>
      <c r="O1143" s="20">
        <v>8.3168248033993086E-2</v>
      </c>
      <c r="P1143" s="20"/>
      <c r="Q1143" s="20"/>
      <c r="R1143" s="20">
        <v>0.45</v>
      </c>
      <c r="S1143" s="20">
        <v>0.55000000000000004</v>
      </c>
      <c r="T1143" s="20"/>
    </row>
    <row r="1144" spans="13:20" x14ac:dyDescent="0.2">
      <c r="M1144" s="20">
        <v>1.0267488646913093E-2</v>
      </c>
      <c r="N1144" s="20">
        <v>7.967401108292505E-4</v>
      </c>
      <c r="O1144" s="20">
        <v>7.7598343492572497E-2</v>
      </c>
      <c r="P1144" s="20"/>
      <c r="Q1144" s="20"/>
      <c r="R1144" s="20">
        <v>0</v>
      </c>
      <c r="S1144" s="20">
        <v>0.73</v>
      </c>
      <c r="T1144" s="20">
        <v>0.27</v>
      </c>
    </row>
    <row r="1145" spans="13:20" x14ac:dyDescent="0.2">
      <c r="M1145" s="20">
        <v>1.3240733321162355E-2</v>
      </c>
      <c r="N1145" s="20">
        <v>1.3398071445093174E-3</v>
      </c>
      <c r="O1145" s="20">
        <v>0.10118828859485714</v>
      </c>
      <c r="P1145" s="20">
        <v>0.14000000000000001</v>
      </c>
      <c r="Q1145" s="20">
        <v>0.47</v>
      </c>
      <c r="R1145" s="20"/>
      <c r="S1145" s="20">
        <v>0.22</v>
      </c>
      <c r="T1145" s="20">
        <v>0.17</v>
      </c>
    </row>
    <row r="1146" spans="13:20" x14ac:dyDescent="0.2">
      <c r="M1146" s="20">
        <v>1.0584506584212327E-2</v>
      </c>
      <c r="N1146" s="20">
        <v>1.4865282941354991E-3</v>
      </c>
      <c r="O1146" s="20">
        <v>0.14044379700729553</v>
      </c>
      <c r="P1146" s="20">
        <v>0.27</v>
      </c>
      <c r="Q1146" s="20"/>
      <c r="R1146" s="20"/>
      <c r="S1146" s="20">
        <v>0.33</v>
      </c>
      <c r="T1146" s="20">
        <v>0.4</v>
      </c>
    </row>
    <row r="1147" spans="13:20" x14ac:dyDescent="0.2">
      <c r="M1147" s="20">
        <v>1.1037677669451181E-2</v>
      </c>
      <c r="N1147" s="20">
        <v>1.1345821646907212E-3</v>
      </c>
      <c r="O1147" s="20">
        <v>0.10279174647678721</v>
      </c>
      <c r="P1147" s="20"/>
      <c r="Q1147" s="20"/>
      <c r="R1147" s="20">
        <v>0.98</v>
      </c>
      <c r="S1147" s="20">
        <v>2.0000000000000018E-2</v>
      </c>
      <c r="T1147" s="20"/>
    </row>
    <row r="1148" spans="13:20" x14ac:dyDescent="0.2">
      <c r="M1148" s="20">
        <v>1.3268784103789988E-2</v>
      </c>
      <c r="N1148" s="20">
        <v>1.9784504700553953E-3</v>
      </c>
      <c r="O1148" s="20">
        <v>0.14910563429020499</v>
      </c>
      <c r="P1148" s="20">
        <v>0.42000000000000004</v>
      </c>
      <c r="Q1148" s="20"/>
      <c r="R1148" s="20"/>
      <c r="S1148" s="20"/>
      <c r="T1148" s="20">
        <v>0.57999999999999996</v>
      </c>
    </row>
    <row r="1149" spans="13:20" x14ac:dyDescent="0.2">
      <c r="M1149" s="20">
        <v>9.4860708035234952E-3</v>
      </c>
      <c r="N1149" s="20">
        <v>1.1800738995388837E-3</v>
      </c>
      <c r="O1149" s="20">
        <v>0.12440070541119705</v>
      </c>
      <c r="P1149" s="20">
        <v>0.11</v>
      </c>
      <c r="Q1149" s="20">
        <v>0.03</v>
      </c>
      <c r="R1149" s="20">
        <v>0.22999999999999998</v>
      </c>
      <c r="S1149" s="20">
        <v>0.37</v>
      </c>
      <c r="T1149" s="20">
        <v>0.26</v>
      </c>
    </row>
    <row r="1150" spans="13:20" x14ac:dyDescent="0.2">
      <c r="M1150" s="20">
        <v>1.2862235271269505E-2</v>
      </c>
      <c r="N1150" s="20">
        <v>1.8008179196510553E-3</v>
      </c>
      <c r="O1150" s="20">
        <v>0.14000816200847757</v>
      </c>
      <c r="P1150" s="20">
        <v>0.28999999999999998</v>
      </c>
      <c r="Q1150" s="20">
        <v>0.05</v>
      </c>
      <c r="R1150" s="20">
        <v>7.0000000000000062E-2</v>
      </c>
      <c r="S1150" s="20"/>
      <c r="T1150" s="20">
        <v>0.59</v>
      </c>
    </row>
    <row r="1151" spans="13:20" x14ac:dyDescent="0.2">
      <c r="M1151" s="20">
        <v>9.890295855030564E-3</v>
      </c>
      <c r="N1151" s="20">
        <v>1.1154007903886724E-3</v>
      </c>
      <c r="O1151" s="20">
        <v>0.11277729268546996</v>
      </c>
      <c r="P1151" s="20"/>
      <c r="Q1151" s="20"/>
      <c r="R1151" s="20">
        <v>0.69</v>
      </c>
      <c r="S1151" s="20">
        <v>0.15</v>
      </c>
      <c r="T1151" s="20">
        <v>0.15999999999999992</v>
      </c>
    </row>
    <row r="1152" spans="13:20" x14ac:dyDescent="0.2">
      <c r="M1152" s="20">
        <v>1.6728668547775244E-2</v>
      </c>
      <c r="N1152" s="20">
        <v>1.2545368488733534E-3</v>
      </c>
      <c r="O1152" s="20">
        <v>7.4993227661277029E-2</v>
      </c>
      <c r="P1152" s="20"/>
      <c r="Q1152" s="20">
        <v>0.82</v>
      </c>
      <c r="R1152" s="20">
        <v>0.18000000000000016</v>
      </c>
      <c r="S1152" s="20"/>
      <c r="T1152" s="20"/>
    </row>
    <row r="1153" spans="13:20" x14ac:dyDescent="0.2">
      <c r="M1153" s="20">
        <v>1.3517835691214475E-2</v>
      </c>
      <c r="N1153" s="20">
        <v>1.2165177562589182E-3</v>
      </c>
      <c r="O1153" s="20">
        <v>8.9993530328938559E-2</v>
      </c>
      <c r="P1153" s="20"/>
      <c r="Q1153" s="20">
        <v>0.53</v>
      </c>
      <c r="R1153" s="20">
        <v>0.47</v>
      </c>
      <c r="S1153" s="20"/>
      <c r="T1153" s="20"/>
    </row>
    <row r="1154" spans="13:20" x14ac:dyDescent="0.2">
      <c r="M1154" s="20">
        <v>1.044197815332653E-2</v>
      </c>
      <c r="N1154" s="20">
        <v>9.1378321441190472E-4</v>
      </c>
      <c r="O1154" s="20">
        <v>8.7510546468707026E-2</v>
      </c>
      <c r="P1154" s="20">
        <v>0.1</v>
      </c>
      <c r="Q1154" s="20">
        <v>0.08</v>
      </c>
      <c r="R1154" s="20">
        <v>0.18</v>
      </c>
      <c r="S1154" s="20">
        <v>0.63</v>
      </c>
      <c r="T1154" s="20">
        <v>1.0000000000000009E-2</v>
      </c>
    </row>
    <row r="1155" spans="13:20" x14ac:dyDescent="0.2">
      <c r="M1155" s="20">
        <v>1.05531112465891E-2</v>
      </c>
      <c r="N1155" s="20">
        <v>1.0847724754613891E-3</v>
      </c>
      <c r="O1155" s="20">
        <v>0.10279172180734865</v>
      </c>
      <c r="P1155" s="20"/>
      <c r="Q1155" s="20"/>
      <c r="R1155" s="20">
        <v>0.9</v>
      </c>
      <c r="S1155" s="20">
        <v>0.10000000000000009</v>
      </c>
      <c r="T1155" s="20"/>
    </row>
    <row r="1156" spans="13:20" x14ac:dyDescent="0.2">
      <c r="M1156" s="20">
        <v>1.2386504213483888E-2</v>
      </c>
      <c r="N1156" s="20">
        <v>2.1691965558905319E-3</v>
      </c>
      <c r="O1156" s="20">
        <v>0.17512580777465486</v>
      </c>
      <c r="P1156" s="20">
        <v>0.72</v>
      </c>
      <c r="Q1156" s="20">
        <v>0.09</v>
      </c>
      <c r="R1156" s="20">
        <v>0.14000000000000001</v>
      </c>
      <c r="S1156" s="20">
        <v>5.0000000000000044E-2</v>
      </c>
      <c r="T1156" s="20"/>
    </row>
    <row r="1157" spans="13:20" x14ac:dyDescent="0.2">
      <c r="M1157" s="20">
        <v>1.3112988436391915E-2</v>
      </c>
      <c r="N1157" s="20">
        <v>2.0314766386517933E-3</v>
      </c>
      <c r="O1157" s="20">
        <v>0.1549209509720853</v>
      </c>
      <c r="P1157" s="20">
        <v>0.47000000000000008</v>
      </c>
      <c r="Q1157" s="20"/>
      <c r="R1157" s="20"/>
      <c r="S1157" s="20"/>
      <c r="T1157" s="20">
        <v>0.53</v>
      </c>
    </row>
    <row r="1158" spans="13:20" x14ac:dyDescent="0.2">
      <c r="M1158" s="20">
        <v>1.0340378057050131E-2</v>
      </c>
      <c r="N1158" s="20">
        <v>1.7160772758943593E-3</v>
      </c>
      <c r="O1158" s="20">
        <v>0.16595885241587735</v>
      </c>
      <c r="P1158" s="20">
        <v>0.37</v>
      </c>
      <c r="Q1158" s="20">
        <v>7.0000000000000007E-2</v>
      </c>
      <c r="R1158" s="20">
        <v>0.47</v>
      </c>
      <c r="S1158" s="20">
        <v>0.01</v>
      </c>
      <c r="T1158" s="20">
        <v>7.999999999999996E-2</v>
      </c>
    </row>
    <row r="1159" spans="13:20" x14ac:dyDescent="0.2">
      <c r="M1159" s="20">
        <v>1.2204741121999488E-2</v>
      </c>
      <c r="N1159" s="20">
        <v>1.1955417051612988E-3</v>
      </c>
      <c r="O1159" s="20">
        <v>9.7957153962593399E-2</v>
      </c>
      <c r="P1159" s="20"/>
      <c r="Q1159" s="20">
        <v>0.37</v>
      </c>
      <c r="R1159" s="20">
        <v>0.62999999999999989</v>
      </c>
      <c r="S1159" s="20"/>
      <c r="T1159" s="20"/>
    </row>
    <row r="1160" spans="13:20" x14ac:dyDescent="0.2">
      <c r="M1160" s="20">
        <v>1.2716782546971693E-2</v>
      </c>
      <c r="N1160" s="20">
        <v>1.3540748705327744E-3</v>
      </c>
      <c r="O1160" s="20">
        <v>0.10647936028875689</v>
      </c>
      <c r="P1160" s="20">
        <v>5.0000000000000044E-2</v>
      </c>
      <c r="Q1160" s="20"/>
      <c r="R1160" s="20"/>
      <c r="S1160" s="20">
        <v>0.23</v>
      </c>
      <c r="T1160" s="20">
        <v>0.72</v>
      </c>
    </row>
    <row r="1161" spans="13:20" x14ac:dyDescent="0.2">
      <c r="M1161" s="20">
        <v>1.0326202908958365E-2</v>
      </c>
      <c r="N1161" s="20">
        <v>1.5437069579089927E-3</v>
      </c>
      <c r="O1161" s="20">
        <v>0.14949415303177604</v>
      </c>
      <c r="P1161" s="20">
        <v>0.4</v>
      </c>
      <c r="Q1161" s="20"/>
      <c r="R1161" s="20"/>
      <c r="S1161" s="20">
        <v>0.41</v>
      </c>
      <c r="T1161" s="20">
        <v>0.19</v>
      </c>
    </row>
    <row r="1162" spans="13:20" x14ac:dyDescent="0.2">
      <c r="M1162" s="20">
        <v>1.0806032890644822E-2</v>
      </c>
      <c r="N1162" s="20">
        <v>1.8056360828508328E-3</v>
      </c>
      <c r="O1162" s="20">
        <v>0.16709518665393272</v>
      </c>
      <c r="P1162" s="20">
        <v>0.54</v>
      </c>
      <c r="Q1162" s="20">
        <v>0.04</v>
      </c>
      <c r="R1162" s="20">
        <v>0.14999999999999991</v>
      </c>
      <c r="S1162" s="20">
        <v>0.23</v>
      </c>
      <c r="T1162" s="20">
        <v>0.04</v>
      </c>
    </row>
    <row r="1163" spans="13:20" x14ac:dyDescent="0.2">
      <c r="M1163" s="20">
        <v>1.1814844800337022E-2</v>
      </c>
      <c r="N1163" s="20">
        <v>1.3923681532648042E-3</v>
      </c>
      <c r="O1163" s="20">
        <v>0.1178490430297558</v>
      </c>
      <c r="P1163" s="20">
        <v>8.0000000000000071E-2</v>
      </c>
      <c r="Q1163" s="20"/>
      <c r="R1163" s="20">
        <v>0.14000000000000001</v>
      </c>
      <c r="S1163" s="20">
        <v>0.17</v>
      </c>
      <c r="T1163" s="20">
        <v>0.61</v>
      </c>
    </row>
    <row r="1164" spans="13:20" x14ac:dyDescent="0.2">
      <c r="M1164" s="20">
        <v>1.0657284975144708E-2</v>
      </c>
      <c r="N1164" s="20">
        <v>1.0287220627385285E-3</v>
      </c>
      <c r="O1164" s="20">
        <v>9.6527592640878984E-2</v>
      </c>
      <c r="P1164" s="20"/>
      <c r="Q1164" s="20"/>
      <c r="R1164" s="20"/>
      <c r="S1164" s="20">
        <v>0.5</v>
      </c>
      <c r="T1164" s="20">
        <v>0.5</v>
      </c>
    </row>
    <row r="1165" spans="13:20" x14ac:dyDescent="0.2">
      <c r="M1165" s="20">
        <v>1.3839814913507121E-2</v>
      </c>
      <c r="N1165" s="20">
        <v>2.2910076283080595E-3</v>
      </c>
      <c r="O1165" s="20">
        <v>0.1655374470414431</v>
      </c>
      <c r="P1165" s="20">
        <v>0.77</v>
      </c>
      <c r="Q1165" s="20">
        <v>0.23000000000000009</v>
      </c>
      <c r="R1165" s="20"/>
      <c r="S1165" s="20"/>
      <c r="T1165" s="20"/>
    </row>
    <row r="1166" spans="13:20" x14ac:dyDescent="0.2">
      <c r="M1166" s="20">
        <v>1.0283284436038655E-2</v>
      </c>
      <c r="N1166" s="20">
        <v>9.3794651633924571E-4</v>
      </c>
      <c r="O1166" s="20">
        <v>9.1210791860636603E-2</v>
      </c>
      <c r="P1166" s="20"/>
      <c r="Q1166" s="20"/>
      <c r="R1166" s="20"/>
      <c r="S1166" s="20">
        <v>0.59</v>
      </c>
      <c r="T1166" s="20">
        <v>0.40999999999999992</v>
      </c>
    </row>
    <row r="1167" spans="13:20" x14ac:dyDescent="0.2">
      <c r="M1167" s="20">
        <v>1.5916455935927176E-2</v>
      </c>
      <c r="N1167" s="20">
        <v>1.6030566766312298E-3</v>
      </c>
      <c r="O1167" s="20">
        <v>0.10071693617501587</v>
      </c>
      <c r="P1167" s="20">
        <v>0.25</v>
      </c>
      <c r="Q1167" s="20">
        <v>0.72</v>
      </c>
      <c r="R1167" s="20">
        <v>3.0000000000000027E-2</v>
      </c>
      <c r="S1167" s="20"/>
      <c r="T1167" s="20"/>
    </row>
    <row r="1168" spans="13:20" x14ac:dyDescent="0.2">
      <c r="M1168" s="20">
        <v>9.8536848161496909E-3</v>
      </c>
      <c r="N1168" s="20">
        <v>7.6100949547073008E-4</v>
      </c>
      <c r="O1168" s="20">
        <v>7.7230955695221148E-2</v>
      </c>
      <c r="P1168" s="20"/>
      <c r="Q1168" s="20"/>
      <c r="R1168" s="20">
        <v>0.38</v>
      </c>
      <c r="S1168" s="20">
        <v>0.62</v>
      </c>
      <c r="T1168" s="20"/>
    </row>
    <row r="1169" spans="13:20" x14ac:dyDescent="0.2">
      <c r="M1169" s="20">
        <v>1.2384237874178323E-2</v>
      </c>
      <c r="N1169" s="20">
        <v>1.8213319755909358E-3</v>
      </c>
      <c r="O1169" s="20">
        <v>0.14706855553772047</v>
      </c>
      <c r="P1169" s="20">
        <v>0.43</v>
      </c>
      <c r="Q1169" s="20">
        <v>0.34</v>
      </c>
      <c r="R1169" s="20">
        <v>0.20999999999999985</v>
      </c>
      <c r="S1169" s="20"/>
      <c r="T1169" s="20">
        <v>0.02</v>
      </c>
    </row>
    <row r="1170" spans="13:20" x14ac:dyDescent="0.2">
      <c r="M1170" s="20">
        <v>9.8148128046402962E-3</v>
      </c>
      <c r="N1170" s="20">
        <v>1.3320638602763552E-3</v>
      </c>
      <c r="O1170" s="20">
        <v>0.13571974186268487</v>
      </c>
      <c r="P1170" s="20">
        <v>0.11999999999999988</v>
      </c>
      <c r="Q1170" s="20"/>
      <c r="R1170" s="20">
        <v>0.38</v>
      </c>
      <c r="S1170" s="20">
        <v>0.18</v>
      </c>
      <c r="T1170" s="20">
        <v>0.32</v>
      </c>
    </row>
    <row r="1171" spans="13:20" x14ac:dyDescent="0.2">
      <c r="M1171" s="20">
        <v>1.623891119323944E-2</v>
      </c>
      <c r="N1171" s="20">
        <v>1.2492928360989483E-3</v>
      </c>
      <c r="O1171" s="20">
        <v>7.6932056665169279E-2</v>
      </c>
      <c r="P1171" s="20"/>
      <c r="Q1171" s="20">
        <v>0.78</v>
      </c>
      <c r="R1171" s="20">
        <v>0.21999999999999997</v>
      </c>
      <c r="S1171" s="20"/>
      <c r="T1171" s="20"/>
    </row>
    <row r="1172" spans="13:20" x14ac:dyDescent="0.2">
      <c r="M1172" s="20">
        <v>1.4107761123317455E-2</v>
      </c>
      <c r="N1172" s="20">
        <v>1.2243837754205254E-3</v>
      </c>
      <c r="O1172" s="20">
        <v>8.6787957686414979E-2</v>
      </c>
      <c r="P1172" s="20"/>
      <c r="Q1172" s="20">
        <v>0.59</v>
      </c>
      <c r="R1172" s="20">
        <v>0.40999999999999992</v>
      </c>
      <c r="S1172" s="20"/>
      <c r="T1172" s="20"/>
    </row>
    <row r="1173" spans="13:20" x14ac:dyDescent="0.2">
      <c r="M1173" s="20">
        <v>1.0765004320996556E-2</v>
      </c>
      <c r="N1173" s="20">
        <v>1.6748271915968459E-3</v>
      </c>
      <c r="O1173" s="20">
        <v>0.15558072636628545</v>
      </c>
      <c r="P1173" s="20">
        <v>0.4</v>
      </c>
      <c r="Q1173" s="20"/>
      <c r="R1173" s="20"/>
      <c r="S1173" s="20">
        <v>0.28000000000000003</v>
      </c>
      <c r="T1173" s="20">
        <v>0.32</v>
      </c>
    </row>
    <row r="1174" spans="13:20" x14ac:dyDescent="0.2">
      <c r="M1174" s="20">
        <v>1.0444953040813672E-2</v>
      </c>
      <c r="N1174" s="20">
        <v>1.0723200531540561E-3</v>
      </c>
      <c r="O1174" s="20">
        <v>0.10266394199801222</v>
      </c>
      <c r="P1174" s="20"/>
      <c r="Q1174" s="20"/>
      <c r="R1174" s="20">
        <v>0.88</v>
      </c>
      <c r="S1174" s="20">
        <v>0.12000000000000011</v>
      </c>
      <c r="T1174" s="20"/>
    </row>
    <row r="1175" spans="13:20" x14ac:dyDescent="0.2">
      <c r="M1175" s="20">
        <v>9.9533208727755288E-3</v>
      </c>
      <c r="N1175" s="20">
        <v>1.0038317304637244E-3</v>
      </c>
      <c r="O1175" s="20">
        <v>0.1008539504849502</v>
      </c>
      <c r="P1175" s="20"/>
      <c r="Q1175" s="20"/>
      <c r="R1175" s="20">
        <v>0.77</v>
      </c>
      <c r="S1175" s="20">
        <v>0.23000000000000009</v>
      </c>
      <c r="T1175" s="20"/>
    </row>
    <row r="1176" spans="13:20" x14ac:dyDescent="0.2">
      <c r="M1176" s="20">
        <v>1.3674008432626252E-2</v>
      </c>
      <c r="N1176" s="20">
        <v>1.8830033665818793E-3</v>
      </c>
      <c r="O1176" s="20">
        <v>0.13770675774113345</v>
      </c>
      <c r="P1176" s="20">
        <v>0.32999999999999985</v>
      </c>
      <c r="Q1176" s="20"/>
      <c r="R1176" s="20"/>
      <c r="S1176" s="20"/>
      <c r="T1176" s="20">
        <v>0.67</v>
      </c>
    </row>
    <row r="1177" spans="13:20" x14ac:dyDescent="0.2">
      <c r="M1177" s="20">
        <v>1.3639721736025923E-2</v>
      </c>
      <c r="N1177" s="20">
        <v>1.0982197443392544E-3</v>
      </c>
      <c r="O1177" s="20">
        <v>8.0516286592458922E-2</v>
      </c>
      <c r="P1177" s="20"/>
      <c r="Q1177" s="20">
        <v>0.53</v>
      </c>
      <c r="R1177" s="20">
        <v>0.28000000000000003</v>
      </c>
      <c r="S1177" s="20">
        <v>0.18999999999999995</v>
      </c>
      <c r="T1177" s="20"/>
    </row>
    <row r="1178" spans="13:20" x14ac:dyDescent="0.2">
      <c r="M1178" s="20">
        <v>1.8794551774568874E-2</v>
      </c>
      <c r="N1178" s="20">
        <v>1.2755128999709724E-3</v>
      </c>
      <c r="O1178" s="20">
        <v>6.7866098392241725E-2</v>
      </c>
      <c r="P1178" s="20"/>
      <c r="Q1178" s="20">
        <v>0.98</v>
      </c>
      <c r="R1178" s="20">
        <v>2.0000000000000018E-2</v>
      </c>
      <c r="S1178" s="20"/>
      <c r="T1178" s="20"/>
    </row>
    <row r="1179" spans="13:20" x14ac:dyDescent="0.2">
      <c r="M1179" s="20">
        <v>1.1927869641723043E-2</v>
      </c>
      <c r="N1179" s="20">
        <v>1.9389076363506503E-3</v>
      </c>
      <c r="O1179" s="20">
        <v>0.16255271851466721</v>
      </c>
      <c r="P1179" s="20">
        <v>0.54</v>
      </c>
      <c r="Q1179" s="20">
        <v>0.1399999999999999</v>
      </c>
      <c r="R1179" s="20"/>
      <c r="S1179" s="20">
        <v>0.13</v>
      </c>
      <c r="T1179" s="20">
        <v>0.19</v>
      </c>
    </row>
    <row r="1180" spans="13:20" x14ac:dyDescent="0.2">
      <c r="M1180" s="20">
        <v>9.5875674124176469E-3</v>
      </c>
      <c r="N1180" s="20">
        <v>9.0421235200505992E-4</v>
      </c>
      <c r="O1180" s="20">
        <v>9.4310925087623385E-2</v>
      </c>
      <c r="P1180" s="20"/>
      <c r="Q1180" s="20"/>
      <c r="R1180" s="20">
        <v>0.61</v>
      </c>
      <c r="S1180" s="20">
        <v>0.3899999999999999</v>
      </c>
      <c r="T1180" s="20"/>
    </row>
    <row r="1181" spans="13:20" x14ac:dyDescent="0.2">
      <c r="M1181" s="20">
        <v>1.0525577002473538E-2</v>
      </c>
      <c r="N1181" s="20">
        <v>7.5795260923209131E-4</v>
      </c>
      <c r="O1181" s="20">
        <v>7.2010551920713747E-2</v>
      </c>
      <c r="P1181" s="20">
        <v>2.9999999999999916E-2</v>
      </c>
      <c r="Q1181" s="20"/>
      <c r="R1181" s="20"/>
      <c r="S1181" s="20">
        <v>0.8</v>
      </c>
      <c r="T1181" s="20">
        <v>0.17</v>
      </c>
    </row>
    <row r="1182" spans="13:20" x14ac:dyDescent="0.2">
      <c r="M1182" s="20">
        <v>1.0148958558630881E-2</v>
      </c>
      <c r="N1182" s="20">
        <v>9.2939901642360729E-4</v>
      </c>
      <c r="O1182" s="20">
        <v>9.1575801699695342E-2</v>
      </c>
      <c r="P1182" s="20">
        <v>0.06</v>
      </c>
      <c r="Q1182" s="20">
        <v>0.1</v>
      </c>
      <c r="R1182" s="20">
        <v>0.33</v>
      </c>
      <c r="S1182" s="20">
        <v>0.51000000000000012</v>
      </c>
      <c r="T1182" s="20"/>
    </row>
    <row r="1183" spans="13:20" x14ac:dyDescent="0.2">
      <c r="M1183" s="20">
        <v>1.218490184390905E-2</v>
      </c>
      <c r="N1183" s="20">
        <v>2.1450888404950449E-3</v>
      </c>
      <c r="O1183" s="20">
        <v>0.17604481906986597</v>
      </c>
      <c r="P1183" s="20">
        <v>0.68</v>
      </c>
      <c r="Q1183" s="20">
        <v>0.11</v>
      </c>
      <c r="R1183" s="20">
        <v>0.20999999999999996</v>
      </c>
      <c r="S1183" s="20"/>
      <c r="T1183" s="20"/>
    </row>
    <row r="1184" spans="13:20" x14ac:dyDescent="0.2">
      <c r="M1184" s="20">
        <v>1.0682716577707325E-2</v>
      </c>
      <c r="N1184" s="20">
        <v>1.2064277072084801E-3</v>
      </c>
      <c r="O1184" s="20">
        <v>0.11293267011558196</v>
      </c>
      <c r="P1184" s="20"/>
      <c r="Q1184" s="20"/>
      <c r="R1184" s="20">
        <v>0.82</v>
      </c>
      <c r="S1184" s="20">
        <v>0.01</v>
      </c>
      <c r="T1184" s="20">
        <v>0.17000000000000015</v>
      </c>
    </row>
    <row r="1185" spans="13:20" x14ac:dyDescent="0.2">
      <c r="M1185" s="20">
        <v>1.4367156485985239E-2</v>
      </c>
      <c r="N1185" s="20">
        <v>2.5277830698028371E-3</v>
      </c>
      <c r="O1185" s="20">
        <v>0.17594177889470466</v>
      </c>
      <c r="P1185" s="20">
        <v>0.95</v>
      </c>
      <c r="Q1185" s="20">
        <v>5.0000000000000044E-2</v>
      </c>
      <c r="R1185" s="20"/>
      <c r="S1185" s="20"/>
      <c r="T1185" s="20"/>
    </row>
    <row r="1186" spans="13:20" x14ac:dyDescent="0.2">
      <c r="M1186" s="20">
        <v>1.4107761123317457E-2</v>
      </c>
      <c r="N1186" s="20">
        <v>1.2243837754205256E-3</v>
      </c>
      <c r="O1186" s="20">
        <v>8.6787957686414965E-2</v>
      </c>
      <c r="P1186" s="20"/>
      <c r="Q1186" s="20">
        <v>0.59</v>
      </c>
      <c r="R1186" s="20">
        <v>0.41000000000000014</v>
      </c>
      <c r="S1186" s="20"/>
      <c r="T1186" s="20"/>
    </row>
    <row r="1187" spans="13:20" x14ac:dyDescent="0.2">
      <c r="M1187" s="20">
        <v>1.5434244138739563E-2</v>
      </c>
      <c r="N1187" s="20">
        <v>1.6284777573191704E-3</v>
      </c>
      <c r="O1187" s="20">
        <v>0.10551069055799968</v>
      </c>
      <c r="P1187" s="20">
        <v>8.9999999999999969E-2</v>
      </c>
      <c r="Q1187" s="20"/>
      <c r="R1187" s="20"/>
      <c r="S1187" s="20"/>
      <c r="T1187" s="20">
        <v>0.91</v>
      </c>
    </row>
    <row r="1188" spans="13:20" x14ac:dyDescent="0.2">
      <c r="M1188" s="20">
        <v>1.1863708145930605E-2</v>
      </c>
      <c r="N1188" s="20">
        <v>5.4458581527568745E-4</v>
      </c>
      <c r="O1188" s="20">
        <v>4.5903507451208414E-2</v>
      </c>
      <c r="P1188" s="20"/>
      <c r="Q1188" s="20"/>
      <c r="R1188" s="20"/>
      <c r="S1188" s="20">
        <v>0.98</v>
      </c>
      <c r="T1188" s="20">
        <v>2.0000000000000018E-2</v>
      </c>
    </row>
    <row r="1189" spans="13:20" x14ac:dyDescent="0.2">
      <c r="M1189" s="20">
        <v>1.5998727079513643E-2</v>
      </c>
      <c r="N1189" s="20">
        <v>1.2466708297117458E-3</v>
      </c>
      <c r="O1189" s="20">
        <v>7.7923126228467698E-2</v>
      </c>
      <c r="P1189" s="20"/>
      <c r="Q1189" s="20">
        <v>0.76</v>
      </c>
      <c r="R1189" s="20">
        <v>0.23999999999999988</v>
      </c>
      <c r="S1189" s="20"/>
      <c r="T1189" s="20"/>
    </row>
    <row r="1190" spans="13:20" x14ac:dyDescent="0.2">
      <c r="M1190" s="20">
        <v>1.3268784103789986E-2</v>
      </c>
      <c r="N1190" s="20">
        <v>1.9784504700553953E-3</v>
      </c>
      <c r="O1190" s="20">
        <v>0.14910563429020501</v>
      </c>
      <c r="P1190" s="20">
        <v>0.41999999999999993</v>
      </c>
      <c r="Q1190" s="20"/>
      <c r="R1190" s="20"/>
      <c r="S1190" s="20"/>
      <c r="T1190" s="20">
        <v>0.57999999999999996</v>
      </c>
    </row>
    <row r="1191" spans="13:20" x14ac:dyDescent="0.2">
      <c r="M1191" s="20">
        <v>1.5588506853553263E-2</v>
      </c>
      <c r="N1191" s="20">
        <v>1.7122232157652682E-3</v>
      </c>
      <c r="O1191" s="20">
        <v>0.10983882111678848</v>
      </c>
      <c r="P1191" s="20">
        <v>0.33</v>
      </c>
      <c r="Q1191" s="20">
        <v>0.67</v>
      </c>
      <c r="R1191" s="20"/>
      <c r="S1191" s="20"/>
      <c r="T1191" s="20">
        <v>0</v>
      </c>
    </row>
    <row r="1192" spans="13:20" x14ac:dyDescent="0.2">
      <c r="M1192" s="20">
        <v>1.0817047827010545E-2</v>
      </c>
      <c r="N1192" s="20">
        <v>1.8531629463527312E-3</v>
      </c>
      <c r="O1192" s="20">
        <v>0.17131873464822064</v>
      </c>
      <c r="P1192" s="20">
        <v>0.48</v>
      </c>
      <c r="Q1192" s="20">
        <v>0.09</v>
      </c>
      <c r="R1192" s="20">
        <v>0.43000000000000005</v>
      </c>
      <c r="S1192" s="20"/>
      <c r="T1192" s="20"/>
    </row>
    <row r="1193" spans="13:20" x14ac:dyDescent="0.2">
      <c r="M1193" s="20">
        <v>1.6207445807770234E-2</v>
      </c>
      <c r="N1193" s="20">
        <v>1.6201438774061877E-3</v>
      </c>
      <c r="O1193" s="20">
        <v>9.9962936580016357E-2</v>
      </c>
      <c r="P1193" s="20">
        <v>0.26</v>
      </c>
      <c r="Q1193" s="20">
        <v>0.74</v>
      </c>
      <c r="R1193" s="20"/>
      <c r="S1193" s="20"/>
      <c r="T1193" s="20"/>
    </row>
    <row r="1194" spans="13:20" x14ac:dyDescent="0.2">
      <c r="M1194" s="20">
        <v>1.0954984856222613E-2</v>
      </c>
      <c r="N1194" s="20">
        <v>1.9584933959674949E-3</v>
      </c>
      <c r="O1194" s="20">
        <v>0.17877645854115792</v>
      </c>
      <c r="P1194" s="20">
        <v>0.57999999999999996</v>
      </c>
      <c r="Q1194" s="20"/>
      <c r="R1194" s="20">
        <v>0.23</v>
      </c>
      <c r="S1194" s="20">
        <v>0.1</v>
      </c>
      <c r="T1194" s="20">
        <v>0.09</v>
      </c>
    </row>
    <row r="1195" spans="13:20" x14ac:dyDescent="0.2">
      <c r="M1195" s="20">
        <v>1.4054415181796755E-2</v>
      </c>
      <c r="N1195" s="20">
        <v>2.054232186813281E-3</v>
      </c>
      <c r="O1195" s="20">
        <v>0.14616276524077057</v>
      </c>
      <c r="P1195" s="20">
        <v>0.59</v>
      </c>
      <c r="Q1195" s="20">
        <v>0.41000000000000014</v>
      </c>
      <c r="R1195" s="20"/>
      <c r="S1195" s="20"/>
      <c r="T1195" s="20"/>
    </row>
    <row r="1196" spans="13:20" x14ac:dyDescent="0.2">
      <c r="M1196" s="20">
        <v>1.3849894403893379E-2</v>
      </c>
      <c r="N1196" s="20">
        <v>2.3041618195022134E-3</v>
      </c>
      <c r="O1196" s="20">
        <v>0.16636674275686061</v>
      </c>
      <c r="P1196" s="20">
        <v>0.78</v>
      </c>
      <c r="Q1196" s="20">
        <v>0.21999999999999997</v>
      </c>
      <c r="R1196" s="20"/>
      <c r="S1196" s="20"/>
      <c r="T1196" s="20"/>
    </row>
    <row r="1197" spans="13:20" x14ac:dyDescent="0.2">
      <c r="M1197" s="20">
        <v>1.4653013140405671E-2</v>
      </c>
      <c r="N1197" s="20">
        <v>1.6406401767298613E-3</v>
      </c>
      <c r="O1197" s="20">
        <v>0.11196606192932411</v>
      </c>
      <c r="P1197" s="20">
        <v>0.13000000000000012</v>
      </c>
      <c r="Q1197" s="20"/>
      <c r="R1197" s="20"/>
      <c r="S1197" s="20">
        <v>0.03</v>
      </c>
      <c r="T1197" s="20">
        <v>0.84</v>
      </c>
    </row>
    <row r="1198" spans="13:20" x14ac:dyDescent="0.2">
      <c r="M1198" s="20">
        <v>9.1641367057785431E-3</v>
      </c>
      <c r="N1198" s="20">
        <v>1.2717758883439951E-3</v>
      </c>
      <c r="O1198" s="20">
        <v>0.13877748981440483</v>
      </c>
      <c r="P1198" s="20">
        <v>0.17</v>
      </c>
      <c r="Q1198" s="20">
        <v>0</v>
      </c>
      <c r="R1198" s="20">
        <v>0.36</v>
      </c>
      <c r="S1198" s="20">
        <v>0.3</v>
      </c>
      <c r="T1198" s="20">
        <v>0.16999999999999993</v>
      </c>
    </row>
    <row r="1199" spans="13:20" x14ac:dyDescent="0.2">
      <c r="M1199" s="20">
        <v>1.3242644144271795E-2</v>
      </c>
      <c r="N1199" s="20">
        <v>1.4670990081648901E-3</v>
      </c>
      <c r="O1199" s="20">
        <v>0.11078595725910936</v>
      </c>
      <c r="P1199" s="20">
        <v>8.9999999999999969E-2</v>
      </c>
      <c r="Q1199" s="20"/>
      <c r="R1199" s="20"/>
      <c r="S1199" s="20">
        <v>0.16</v>
      </c>
      <c r="T1199" s="20">
        <v>0.75</v>
      </c>
    </row>
    <row r="1200" spans="13:20" x14ac:dyDescent="0.2">
      <c r="M1200" s="20">
        <v>1.5344006605141125E-2</v>
      </c>
      <c r="N1200" s="20">
        <v>1.6390829910384497E-3</v>
      </c>
      <c r="O1200" s="20">
        <v>0.1068223595843124</v>
      </c>
      <c r="P1200" s="20">
        <v>9.9999999999999867E-2</v>
      </c>
      <c r="Q1200" s="20"/>
      <c r="R1200" s="20"/>
      <c r="S1200" s="20"/>
      <c r="T1200" s="20">
        <v>0.9</v>
      </c>
    </row>
    <row r="1201" spans="13:20" x14ac:dyDescent="0.2">
      <c r="M1201" s="20">
        <v>1.0187204148936788E-2</v>
      </c>
      <c r="N1201" s="20">
        <v>8.6734331358424811E-4</v>
      </c>
      <c r="O1201" s="20">
        <v>8.5140466501279502E-2</v>
      </c>
      <c r="P1201" s="20"/>
      <c r="Q1201" s="20"/>
      <c r="R1201" s="20"/>
      <c r="S1201" s="20">
        <v>0.66</v>
      </c>
      <c r="T1201" s="20">
        <v>0.33999999999999997</v>
      </c>
    </row>
    <row r="1202" spans="13:20" x14ac:dyDescent="0.2">
      <c r="M1202" s="20">
        <v>1.3969791062900493E-2</v>
      </c>
      <c r="N1202" s="20">
        <v>1.382189910492235E-3</v>
      </c>
      <c r="O1202" s="20">
        <v>9.8941344524680133E-2</v>
      </c>
      <c r="P1202" s="20">
        <v>0.11</v>
      </c>
      <c r="Q1202" s="20">
        <v>0.57999999999999996</v>
      </c>
      <c r="R1202" s="20">
        <v>0.30999999999999994</v>
      </c>
      <c r="S1202" s="20"/>
      <c r="T1202" s="20"/>
    </row>
    <row r="1203" spans="13:20" x14ac:dyDescent="0.2">
      <c r="M1203" s="20">
        <v>1.2410969142501617E-2</v>
      </c>
      <c r="N1203" s="20">
        <v>2.0969602927794801E-3</v>
      </c>
      <c r="O1203" s="20">
        <v>0.16896023740792301</v>
      </c>
      <c r="P1203" s="20">
        <v>0.76000000000000012</v>
      </c>
      <c r="Q1203" s="20"/>
      <c r="R1203" s="20"/>
      <c r="S1203" s="20">
        <v>0.24</v>
      </c>
      <c r="T1203" s="20">
        <v>0</v>
      </c>
    </row>
    <row r="1204" spans="13:20" x14ac:dyDescent="0.2">
      <c r="M1204" s="20">
        <v>1.5185250871918809E-2</v>
      </c>
      <c r="N1204" s="20">
        <v>1.2374938073565376E-3</v>
      </c>
      <c r="O1204" s="20">
        <v>8.149314211495591E-2</v>
      </c>
      <c r="P1204" s="20"/>
      <c r="Q1204" s="20">
        <v>0.69</v>
      </c>
      <c r="R1204" s="20">
        <v>0.31000000000000005</v>
      </c>
      <c r="S1204" s="20"/>
      <c r="T1204" s="20"/>
    </row>
    <row r="1205" spans="13:20" x14ac:dyDescent="0.2">
      <c r="M1205" s="20">
        <v>9.6232476208579359E-3</v>
      </c>
      <c r="N1205" s="20">
        <v>8.2327160700739529E-4</v>
      </c>
      <c r="O1205" s="20">
        <v>8.5550288160827617E-2</v>
      </c>
      <c r="P1205" s="20"/>
      <c r="Q1205" s="20"/>
      <c r="R1205" s="20">
        <v>0.48</v>
      </c>
      <c r="S1205" s="20">
        <v>0.52</v>
      </c>
      <c r="T1205" s="20"/>
    </row>
    <row r="1206" spans="13:20" x14ac:dyDescent="0.2">
      <c r="M1206" s="20">
        <v>1.1177941862189181E-2</v>
      </c>
      <c r="N1206" s="20">
        <v>1.5427505297255745E-3</v>
      </c>
      <c r="O1206" s="20">
        <v>0.13801740505952403</v>
      </c>
      <c r="P1206" s="20">
        <v>0.25</v>
      </c>
      <c r="Q1206" s="20">
        <v>0.26</v>
      </c>
      <c r="R1206" s="20">
        <v>0.4900000000000001</v>
      </c>
      <c r="S1206" s="20"/>
      <c r="T1206" s="20"/>
    </row>
    <row r="1207" spans="13:20" x14ac:dyDescent="0.2">
      <c r="M1207" s="20">
        <v>1.2673567372099338E-2</v>
      </c>
      <c r="N1207" s="20">
        <v>1.4374728409141972E-3</v>
      </c>
      <c r="O1207" s="20">
        <v>0.11342290601451106</v>
      </c>
      <c r="P1207" s="20">
        <v>0.16</v>
      </c>
      <c r="Q1207" s="20">
        <v>0.45</v>
      </c>
      <c r="R1207" s="20">
        <v>0.3899999999999999</v>
      </c>
      <c r="S1207" s="20"/>
      <c r="T1207" s="20"/>
    </row>
    <row r="1208" spans="13:20" x14ac:dyDescent="0.2">
      <c r="M1208" s="20">
        <v>9.5688548890340459E-3</v>
      </c>
      <c r="N1208" s="20">
        <v>8.8553371854406039E-4</v>
      </c>
      <c r="O1208" s="20">
        <v>9.2543332385454632E-2</v>
      </c>
      <c r="P1208" s="20"/>
      <c r="Q1208" s="20"/>
      <c r="R1208" s="20">
        <v>0.57999999999999996</v>
      </c>
      <c r="S1208" s="20">
        <v>0.42000000000000004</v>
      </c>
      <c r="T1208" s="20"/>
    </row>
    <row r="1209" spans="13:20" x14ac:dyDescent="0.2">
      <c r="M1209" s="20">
        <v>1.6120159367273554E-2</v>
      </c>
      <c r="N1209" s="20">
        <v>1.5201985198855E-3</v>
      </c>
      <c r="O1209" s="20">
        <v>9.4304186779427313E-2</v>
      </c>
      <c r="P1209" s="20">
        <v>0.19</v>
      </c>
      <c r="Q1209" s="20">
        <v>0.75</v>
      </c>
      <c r="R1209" s="20">
        <v>5.9999999999999942E-2</v>
      </c>
      <c r="S1209" s="20"/>
      <c r="T1209" s="20"/>
    </row>
    <row r="1210" spans="13:20" x14ac:dyDescent="0.2">
      <c r="M1210" s="20">
        <v>1.2701366872964652E-2</v>
      </c>
      <c r="N1210" s="20">
        <v>1.890148300630531E-3</v>
      </c>
      <c r="O1210" s="20">
        <v>0.14881455827040035</v>
      </c>
      <c r="P1210" s="20">
        <v>0.38</v>
      </c>
      <c r="Q1210" s="20">
        <v>0.17999999999999994</v>
      </c>
      <c r="R1210" s="20"/>
      <c r="S1210" s="20"/>
      <c r="T1210" s="20">
        <v>0.44</v>
      </c>
    </row>
    <row r="1211" spans="13:20" x14ac:dyDescent="0.2">
      <c r="M1211" s="20">
        <v>1.409250508640581E-2</v>
      </c>
      <c r="N1211" s="20">
        <v>1.8087667305469227E-3</v>
      </c>
      <c r="O1211" s="20">
        <v>0.12834955314592938</v>
      </c>
      <c r="P1211" s="20">
        <v>0.26</v>
      </c>
      <c r="Q1211" s="20"/>
      <c r="R1211" s="20"/>
      <c r="S1211" s="20"/>
      <c r="T1211" s="20">
        <v>0.74</v>
      </c>
    </row>
    <row r="1212" spans="13:20" x14ac:dyDescent="0.2">
      <c r="M1212" s="20">
        <v>9.88101971399717E-3</v>
      </c>
      <c r="N1212" s="20">
        <v>1.1269806723941003E-3</v>
      </c>
      <c r="O1212" s="20">
        <v>0.11405509805811355</v>
      </c>
      <c r="P1212" s="20"/>
      <c r="Q1212" s="20"/>
      <c r="R1212" s="20">
        <v>0.66</v>
      </c>
      <c r="S1212" s="20">
        <v>0.15</v>
      </c>
      <c r="T1212" s="20">
        <v>0.18999999999999984</v>
      </c>
    </row>
    <row r="1213" spans="13:20" x14ac:dyDescent="0.2">
      <c r="M1213" s="20">
        <v>1.442392759755326E-2</v>
      </c>
      <c r="N1213" s="20">
        <v>1.3605163065715515E-3</v>
      </c>
      <c r="O1213" s="20">
        <v>9.4323567375805231E-2</v>
      </c>
      <c r="P1213" s="20">
        <v>0.1</v>
      </c>
      <c r="Q1213" s="20">
        <v>0.62</v>
      </c>
      <c r="R1213" s="20">
        <v>0.26</v>
      </c>
      <c r="S1213" s="20">
        <v>1.9999999999999907E-2</v>
      </c>
      <c r="T1213" s="20"/>
    </row>
    <row r="1214" spans="13:20" x14ac:dyDescent="0.2">
      <c r="M1214" s="20">
        <v>1.0031491481697635E-2</v>
      </c>
      <c r="N1214" s="20">
        <v>7.2987843970239753E-4</v>
      </c>
      <c r="O1214" s="20">
        <v>7.2758715992936263E-2</v>
      </c>
      <c r="P1214" s="20"/>
      <c r="Q1214" s="20"/>
      <c r="R1214" s="20">
        <v>0.33</v>
      </c>
      <c r="S1214" s="20">
        <v>0.67</v>
      </c>
      <c r="T1214" s="20"/>
    </row>
    <row r="1215" spans="13:20" x14ac:dyDescent="0.2">
      <c r="M1215" s="20">
        <v>1.077383584407612E-2</v>
      </c>
      <c r="N1215" s="20">
        <v>1.2043394788920476E-3</v>
      </c>
      <c r="O1215" s="20">
        <v>0.11178372274478647</v>
      </c>
      <c r="P1215" s="20">
        <v>7.999999999999996E-2</v>
      </c>
      <c r="Q1215" s="20"/>
      <c r="R1215" s="20"/>
      <c r="S1215" s="20">
        <v>0.41</v>
      </c>
      <c r="T1215" s="20">
        <v>0.51</v>
      </c>
    </row>
    <row r="1216" spans="13:20" x14ac:dyDescent="0.2">
      <c r="M1216" s="20">
        <v>1.73570973225694E-2</v>
      </c>
      <c r="N1216" s="20">
        <v>1.2610918648413591E-3</v>
      </c>
      <c r="O1216" s="20">
        <v>7.2655688990207121E-2</v>
      </c>
      <c r="P1216" s="20"/>
      <c r="Q1216" s="20">
        <v>0.87</v>
      </c>
      <c r="R1216" s="20">
        <v>0.12999999999999989</v>
      </c>
      <c r="S1216" s="20"/>
      <c r="T1216" s="20"/>
    </row>
    <row r="1217" spans="13:20" x14ac:dyDescent="0.2">
      <c r="M1217" s="20">
        <v>1.67946623751388E-2</v>
      </c>
      <c r="N1217" s="20">
        <v>1.5412187302412616E-3</v>
      </c>
      <c r="O1217" s="20">
        <v>9.1768366390189135E-2</v>
      </c>
      <c r="P1217" s="20">
        <v>0.2</v>
      </c>
      <c r="Q1217" s="20">
        <v>0.8</v>
      </c>
      <c r="R1217" s="20"/>
      <c r="S1217" s="20"/>
      <c r="T1217" s="20"/>
    </row>
    <row r="1218" spans="13:20" x14ac:dyDescent="0.2">
      <c r="M1218" s="20">
        <v>1.0670216251762938E-2</v>
      </c>
      <c r="N1218" s="20">
        <v>6.489376947047328E-4</v>
      </c>
      <c r="O1218" s="20">
        <v>6.08176703632895E-2</v>
      </c>
      <c r="P1218" s="20"/>
      <c r="Q1218" s="20"/>
      <c r="R1218" s="20">
        <v>0.2</v>
      </c>
      <c r="S1218" s="20">
        <v>0.8</v>
      </c>
      <c r="T1218" s="20"/>
    </row>
    <row r="1219" spans="13:20" x14ac:dyDescent="0.2">
      <c r="M1219" s="20">
        <v>1.4773122813387355E-2</v>
      </c>
      <c r="N1219" s="20">
        <v>1.54467902991189E-3</v>
      </c>
      <c r="O1219" s="20">
        <v>0.10456008857599877</v>
      </c>
      <c r="P1219" s="20">
        <v>0.16</v>
      </c>
      <c r="Q1219" s="20">
        <v>0.62</v>
      </c>
      <c r="R1219" s="20">
        <v>0</v>
      </c>
      <c r="S1219" s="20"/>
      <c r="T1219" s="20">
        <v>0.22</v>
      </c>
    </row>
    <row r="1220" spans="13:20" x14ac:dyDescent="0.2">
      <c r="M1220" s="20">
        <v>1.5994472202412902E-2</v>
      </c>
      <c r="N1220" s="20">
        <v>1.3361765370055231E-3</v>
      </c>
      <c r="O1220" s="20">
        <v>8.3539895539907191E-2</v>
      </c>
      <c r="P1220" s="20">
        <v>0.08</v>
      </c>
      <c r="Q1220" s="20">
        <v>0.75</v>
      </c>
      <c r="R1220" s="20">
        <v>0.13</v>
      </c>
      <c r="S1220" s="20">
        <v>4.0000000000000036E-2</v>
      </c>
      <c r="T1220" s="20"/>
    </row>
    <row r="1221" spans="13:20" x14ac:dyDescent="0.2">
      <c r="M1221" s="20">
        <v>1.2892704871804054E-2</v>
      </c>
      <c r="N1221" s="20">
        <v>1.2073407339037098E-3</v>
      </c>
      <c r="O1221" s="20">
        <v>9.364526264338266E-2</v>
      </c>
      <c r="P1221" s="20"/>
      <c r="Q1221" s="20">
        <v>0.46</v>
      </c>
      <c r="R1221" s="20">
        <v>0.53999999999999992</v>
      </c>
      <c r="S1221" s="20"/>
      <c r="T1221" s="20"/>
    </row>
    <row r="1222" spans="13:20" x14ac:dyDescent="0.2">
      <c r="M1222" s="20">
        <v>9.722358899703713E-3</v>
      </c>
      <c r="N1222" s="20">
        <v>9.5501220813540115E-4</v>
      </c>
      <c r="O1222" s="20">
        <v>9.8228446201929956E-2</v>
      </c>
      <c r="P1222" s="20">
        <v>0.03</v>
      </c>
      <c r="Q1222" s="20">
        <v>0.01</v>
      </c>
      <c r="R1222" s="20">
        <v>0.11</v>
      </c>
      <c r="S1222" s="20">
        <v>0.56000000000000005</v>
      </c>
      <c r="T1222" s="20">
        <v>0.29000000000000004</v>
      </c>
    </row>
    <row r="1223" spans="13:20" x14ac:dyDescent="0.2">
      <c r="M1223" s="20">
        <v>1.0199118291272596E-2</v>
      </c>
      <c r="N1223" s="20">
        <v>1.0411889973857235E-3</v>
      </c>
      <c r="O1223" s="20">
        <v>0.10208617722148304</v>
      </c>
      <c r="P1223" s="20"/>
      <c r="Q1223" s="20"/>
      <c r="R1223" s="20">
        <v>0.83</v>
      </c>
      <c r="S1223" s="20">
        <v>0.17000000000000004</v>
      </c>
      <c r="T1223" s="20"/>
    </row>
    <row r="1224" spans="13:20" x14ac:dyDescent="0.2">
      <c r="M1224" s="20">
        <v>1.2888615543452749E-2</v>
      </c>
      <c r="N1224" s="20">
        <v>1.437350444773315E-3</v>
      </c>
      <c r="O1224" s="20">
        <v>0.11152093410866543</v>
      </c>
      <c r="P1224" s="20">
        <v>0.02</v>
      </c>
      <c r="Q1224" s="20">
        <v>0.08</v>
      </c>
      <c r="R1224" s="20">
        <v>0.24999999999999989</v>
      </c>
      <c r="S1224" s="20"/>
      <c r="T1224" s="20">
        <v>0.65</v>
      </c>
    </row>
    <row r="1225" spans="13:20" x14ac:dyDescent="0.2">
      <c r="M1225" s="20">
        <v>1.0907497346881831E-2</v>
      </c>
      <c r="N1225" s="20">
        <v>1.0690667500270984E-3</v>
      </c>
      <c r="O1225" s="20">
        <v>9.8012102687580913E-2</v>
      </c>
      <c r="P1225" s="20"/>
      <c r="Q1225" s="20"/>
      <c r="R1225" s="20"/>
      <c r="S1225" s="20">
        <v>0.46</v>
      </c>
      <c r="T1225" s="20">
        <v>0.53999999999999992</v>
      </c>
    </row>
    <row r="1226" spans="13:20" x14ac:dyDescent="0.2">
      <c r="M1226" s="20">
        <v>1.2573978720675961E-2</v>
      </c>
      <c r="N1226" s="20">
        <v>1.3191334954648585E-3</v>
      </c>
      <c r="O1226" s="20">
        <v>0.10490979225976799</v>
      </c>
      <c r="P1226" s="20">
        <v>0</v>
      </c>
      <c r="Q1226" s="20">
        <v>0.4</v>
      </c>
      <c r="R1226" s="20">
        <v>0.29000000000000004</v>
      </c>
      <c r="S1226" s="20"/>
      <c r="T1226" s="20">
        <v>0.31</v>
      </c>
    </row>
    <row r="1227" spans="13:20" x14ac:dyDescent="0.2">
      <c r="M1227" s="20">
        <v>1.0577507324306694E-2</v>
      </c>
      <c r="N1227" s="20">
        <v>6.9022797120753547E-4</v>
      </c>
      <c r="O1227" s="20">
        <v>6.5254312764352229E-2</v>
      </c>
      <c r="P1227" s="20"/>
      <c r="Q1227" s="20">
        <v>0.03</v>
      </c>
      <c r="R1227" s="20">
        <v>0.23</v>
      </c>
      <c r="S1227" s="20">
        <v>0.7400000000000001</v>
      </c>
      <c r="T1227" s="20"/>
    </row>
    <row r="1228" spans="13:20" x14ac:dyDescent="0.2">
      <c r="M1228" s="20">
        <v>1.2579963803775318E-2</v>
      </c>
      <c r="N1228" s="20">
        <v>1.5625461116384061E-3</v>
      </c>
      <c r="O1228" s="20">
        <v>0.12420911029723926</v>
      </c>
      <c r="P1228" s="20">
        <v>0.18</v>
      </c>
      <c r="Q1228" s="20">
        <v>0</v>
      </c>
      <c r="R1228" s="20"/>
      <c r="S1228" s="20">
        <v>0.16</v>
      </c>
      <c r="T1228" s="20">
        <v>0.66</v>
      </c>
    </row>
    <row r="1229" spans="13:20" x14ac:dyDescent="0.2">
      <c r="M1229" s="20">
        <v>1.3900120420019861E-2</v>
      </c>
      <c r="N1229" s="20">
        <v>2.1331573339782072E-3</v>
      </c>
      <c r="O1229" s="20">
        <v>0.15346322690168171</v>
      </c>
      <c r="P1229" s="20">
        <v>0.65</v>
      </c>
      <c r="Q1229" s="20">
        <v>0.35</v>
      </c>
      <c r="R1229" s="20"/>
      <c r="S1229" s="20"/>
      <c r="T1229" s="20"/>
    </row>
    <row r="1230" spans="13:20" x14ac:dyDescent="0.2">
      <c r="M1230" s="20">
        <v>1.4035844410373872E-2</v>
      </c>
      <c r="N1230" s="20">
        <v>1.3716519046913743E-3</v>
      </c>
      <c r="O1230" s="20">
        <v>9.7724929444044595E-2</v>
      </c>
      <c r="P1230" s="20"/>
      <c r="Q1230" s="20"/>
      <c r="R1230" s="20"/>
      <c r="S1230" s="20">
        <v>0.16</v>
      </c>
      <c r="T1230" s="20">
        <v>0.84000000000000008</v>
      </c>
    </row>
    <row r="1231" spans="13:20" x14ac:dyDescent="0.2">
      <c r="M1231" s="20">
        <v>1.1602063520216919E-2</v>
      </c>
      <c r="N1231" s="20">
        <v>1.6124684541389902E-3</v>
      </c>
      <c r="O1231" s="20">
        <v>0.138981177902467</v>
      </c>
      <c r="P1231" s="20">
        <v>0.19</v>
      </c>
      <c r="Q1231" s="20">
        <v>7.0000000000000007E-2</v>
      </c>
      <c r="R1231" s="20">
        <v>0.27</v>
      </c>
      <c r="S1231" s="20"/>
      <c r="T1231" s="20">
        <v>0.47</v>
      </c>
    </row>
    <row r="1232" spans="13:20" x14ac:dyDescent="0.2">
      <c r="M1232" s="20">
        <v>1.0691698224948348E-2</v>
      </c>
      <c r="N1232" s="20">
        <v>1.5063694707950462E-3</v>
      </c>
      <c r="O1232" s="20">
        <v>0.14089150657844382</v>
      </c>
      <c r="P1232" s="20">
        <v>0.22999999999999998</v>
      </c>
      <c r="Q1232" s="20"/>
      <c r="R1232" s="20">
        <v>0.1</v>
      </c>
      <c r="S1232" s="20">
        <v>0.23</v>
      </c>
      <c r="T1232" s="20">
        <v>0.44</v>
      </c>
    </row>
    <row r="1233" spans="13:20" x14ac:dyDescent="0.2">
      <c r="M1233" s="20">
        <v>1.05896648062781E-2</v>
      </c>
      <c r="N1233" s="20">
        <v>1.4259943091469078E-3</v>
      </c>
      <c r="O1233" s="20">
        <v>0.13465906005839814</v>
      </c>
      <c r="P1233" s="20">
        <v>0.37</v>
      </c>
      <c r="Q1233" s="20">
        <v>6.0000000000000053E-2</v>
      </c>
      <c r="R1233" s="20"/>
      <c r="S1233" s="20">
        <v>0.48</v>
      </c>
      <c r="T1233" s="20">
        <v>0.09</v>
      </c>
    </row>
    <row r="1234" spans="13:20" x14ac:dyDescent="0.2">
      <c r="M1234" s="20">
        <v>1.1122182404385101E-2</v>
      </c>
      <c r="N1234" s="20">
        <v>1.0147028813594311E-3</v>
      </c>
      <c r="O1234" s="20">
        <v>9.1232353909190336E-2</v>
      </c>
      <c r="P1234" s="20">
        <v>0.08</v>
      </c>
      <c r="Q1234" s="20">
        <v>0.19000000000000006</v>
      </c>
      <c r="R1234" s="20"/>
      <c r="S1234" s="20">
        <v>0.55000000000000004</v>
      </c>
      <c r="T1234" s="20">
        <v>0.18</v>
      </c>
    </row>
    <row r="1235" spans="13:20" x14ac:dyDescent="0.2">
      <c r="M1235" s="20">
        <v>1.5185250871918809E-2</v>
      </c>
      <c r="N1235" s="20">
        <v>1.2374938073565376E-3</v>
      </c>
      <c r="O1235" s="20">
        <v>8.149314211495591E-2</v>
      </c>
      <c r="P1235" s="20"/>
      <c r="Q1235" s="20">
        <v>0.69</v>
      </c>
      <c r="R1235" s="20">
        <v>0.31000000000000005</v>
      </c>
      <c r="S1235" s="20"/>
      <c r="T1235" s="20"/>
    </row>
    <row r="1236" spans="13:20" x14ac:dyDescent="0.2">
      <c r="M1236" s="20">
        <v>1.4593023709096226E-2</v>
      </c>
      <c r="N1236" s="20">
        <v>1.7345300945119659E-3</v>
      </c>
      <c r="O1236" s="20">
        <v>0.1188602258921012</v>
      </c>
      <c r="P1236" s="20">
        <v>0.18999999999999995</v>
      </c>
      <c r="Q1236" s="20"/>
      <c r="R1236" s="20"/>
      <c r="S1236" s="20"/>
      <c r="T1236" s="20">
        <v>0.81</v>
      </c>
    </row>
    <row r="1237" spans="13:20" x14ac:dyDescent="0.2">
      <c r="M1237" s="20">
        <v>1.1947524524471453E-2</v>
      </c>
      <c r="N1237" s="20">
        <v>1.0746260723359202E-3</v>
      </c>
      <c r="O1237" s="20">
        <v>8.9945500436916709E-2</v>
      </c>
      <c r="P1237" s="20"/>
      <c r="Q1237" s="20">
        <v>0.37</v>
      </c>
      <c r="R1237" s="20">
        <v>0.28999999999999998</v>
      </c>
      <c r="S1237" s="20">
        <v>0.25</v>
      </c>
      <c r="T1237" s="20">
        <v>9.0000000000000191E-2</v>
      </c>
    </row>
    <row r="1238" spans="13:20" x14ac:dyDescent="0.2">
      <c r="M1238" s="20">
        <v>1.0325770564802878E-2</v>
      </c>
      <c r="N1238" s="20">
        <v>8.5768227879160939E-4</v>
      </c>
      <c r="O1238" s="20">
        <v>8.3062302557366838E-2</v>
      </c>
      <c r="P1238" s="20"/>
      <c r="Q1238" s="20">
        <v>0.12</v>
      </c>
      <c r="R1238" s="20">
        <v>0.39</v>
      </c>
      <c r="S1238" s="20">
        <v>0.49</v>
      </c>
      <c r="T1238" s="20"/>
    </row>
    <row r="1239" spans="13:20" x14ac:dyDescent="0.2">
      <c r="M1239" s="20">
        <v>1.0891633390959929E-2</v>
      </c>
      <c r="N1239" s="20">
        <v>1.021532381609219E-3</v>
      </c>
      <c r="O1239" s="20">
        <v>9.3790558765693699E-2</v>
      </c>
      <c r="P1239" s="20"/>
      <c r="Q1239" s="20">
        <v>0.23</v>
      </c>
      <c r="R1239" s="20">
        <v>0.52</v>
      </c>
      <c r="S1239" s="20">
        <v>0.25</v>
      </c>
      <c r="T1239" s="20"/>
    </row>
    <row r="1240" spans="13:20" x14ac:dyDescent="0.2">
      <c r="M1240" s="20">
        <v>1.2274123427838584E-2</v>
      </c>
      <c r="N1240" s="20">
        <v>1.1968527083548999E-3</v>
      </c>
      <c r="O1240" s="20">
        <v>9.7510238950372044E-2</v>
      </c>
      <c r="P1240" s="20"/>
      <c r="Q1240" s="20">
        <v>0.38</v>
      </c>
      <c r="R1240" s="20">
        <v>0.61999999999999988</v>
      </c>
      <c r="S1240" s="20"/>
      <c r="T1240" s="20"/>
    </row>
    <row r="1241" spans="13:20" x14ac:dyDescent="0.2">
      <c r="M1241" s="20">
        <v>1.3186728509027308E-2</v>
      </c>
      <c r="N1241" s="20">
        <v>2.3178179490723409E-3</v>
      </c>
      <c r="O1241" s="20">
        <v>0.17576898982075956</v>
      </c>
      <c r="P1241" s="20">
        <v>0.74</v>
      </c>
      <c r="Q1241" s="20"/>
      <c r="R1241" s="20"/>
      <c r="S1241" s="20"/>
      <c r="T1241" s="20">
        <v>0.26</v>
      </c>
    </row>
    <row r="1242" spans="13:20" x14ac:dyDescent="0.2">
      <c r="M1242" s="20">
        <v>1.2892704871804056E-2</v>
      </c>
      <c r="N1242" s="20">
        <v>1.2073407339037098E-3</v>
      </c>
      <c r="O1242" s="20">
        <v>9.364526264338266E-2</v>
      </c>
      <c r="P1242" s="20"/>
      <c r="Q1242" s="20">
        <v>0.46</v>
      </c>
      <c r="R1242" s="20">
        <v>0.54</v>
      </c>
      <c r="S1242" s="20"/>
      <c r="T1242" s="20"/>
    </row>
    <row r="1243" spans="13:20" x14ac:dyDescent="0.2">
      <c r="M1243" s="20">
        <v>1.3331903566961718E-2</v>
      </c>
      <c r="N1243" s="20">
        <v>1.2138957498717159E-3</v>
      </c>
      <c r="O1243" s="20">
        <v>9.1051944966052401E-2</v>
      </c>
      <c r="P1243" s="20"/>
      <c r="Q1243" s="20">
        <v>0.51</v>
      </c>
      <c r="R1243" s="20">
        <v>0.4900000000000001</v>
      </c>
      <c r="S1243" s="20"/>
      <c r="T1243" s="20"/>
    </row>
    <row r="1244" spans="13:20" x14ac:dyDescent="0.2">
      <c r="M1244" s="20">
        <v>1.0069275629952633E-2</v>
      </c>
      <c r="N1244" s="20">
        <v>1.0225103639247238E-3</v>
      </c>
      <c r="O1244" s="20">
        <v>0.10154755927855497</v>
      </c>
      <c r="P1244" s="20"/>
      <c r="Q1244" s="20"/>
      <c r="R1244" s="20">
        <v>0.8</v>
      </c>
      <c r="S1244" s="20">
        <v>0.19999999999999996</v>
      </c>
      <c r="T1244" s="20"/>
    </row>
    <row r="1245" spans="13:20" x14ac:dyDescent="0.2">
      <c r="M1245" s="20">
        <v>1.1208875674510224E-2</v>
      </c>
      <c r="N1245" s="20">
        <v>1.1496608094490135E-3</v>
      </c>
      <c r="O1245" s="20">
        <v>0.10256700518709681</v>
      </c>
      <c r="P1245" s="20"/>
      <c r="Q1245" s="20">
        <v>0.21</v>
      </c>
      <c r="R1245" s="20">
        <v>0.75</v>
      </c>
      <c r="S1245" s="20">
        <v>3.9999999999999925E-2</v>
      </c>
      <c r="T1245" s="20"/>
    </row>
    <row r="1246" spans="13:20" x14ac:dyDescent="0.2">
      <c r="M1246" s="20">
        <v>1.2406435795538628E-2</v>
      </c>
      <c r="N1246" s="20">
        <v>2.0617012460067488E-3</v>
      </c>
      <c r="O1246" s="20">
        <v>0.16617997948678698</v>
      </c>
      <c r="P1246" s="20">
        <v>0.67</v>
      </c>
      <c r="Q1246" s="20">
        <v>0.12</v>
      </c>
      <c r="R1246" s="20"/>
      <c r="S1246" s="20">
        <v>0.15</v>
      </c>
      <c r="T1246" s="20">
        <v>0.06</v>
      </c>
    </row>
    <row r="1247" spans="13:20" x14ac:dyDescent="0.2">
      <c r="M1247" s="20">
        <v>1.0457552217227443E-2</v>
      </c>
      <c r="N1247" s="20">
        <v>9.8837737544995837E-4</v>
      </c>
      <c r="O1247" s="20">
        <v>9.4513262273913073E-2</v>
      </c>
      <c r="P1247" s="20"/>
      <c r="Q1247" s="20"/>
      <c r="R1247" s="20"/>
      <c r="S1247" s="20">
        <v>0.54</v>
      </c>
      <c r="T1247" s="20">
        <v>0.45999999999999996</v>
      </c>
    </row>
    <row r="1248" spans="13:20" x14ac:dyDescent="0.2">
      <c r="M1248" s="20">
        <v>1.3151710262340825E-2</v>
      </c>
      <c r="N1248" s="20">
        <v>1.2112737434845132E-3</v>
      </c>
      <c r="O1248" s="20">
        <v>9.2100093396440361E-2</v>
      </c>
      <c r="P1248" s="20"/>
      <c r="Q1248" s="20">
        <v>0.49</v>
      </c>
      <c r="R1248" s="20">
        <v>0.51</v>
      </c>
      <c r="S1248" s="20"/>
      <c r="T1248" s="20"/>
    </row>
    <row r="1249" spans="13:20" x14ac:dyDescent="0.2">
      <c r="M1249" s="20">
        <v>1.3866891629986425E-2</v>
      </c>
      <c r="N1249" s="20">
        <v>2.1594657163665158E-3</v>
      </c>
      <c r="O1249" s="20">
        <v>0.15572817427207583</v>
      </c>
      <c r="P1249" s="20">
        <v>0.67</v>
      </c>
      <c r="Q1249" s="20">
        <v>0.32999999999999985</v>
      </c>
      <c r="R1249" s="20"/>
      <c r="S1249" s="20"/>
      <c r="T1249" s="20"/>
    </row>
    <row r="1250" spans="13:20" x14ac:dyDescent="0.2">
      <c r="M1250" s="20">
        <v>9.7887249025119197E-3</v>
      </c>
      <c r="N1250" s="20">
        <v>8.2739170905937048E-4</v>
      </c>
      <c r="O1250" s="20">
        <v>8.4524973099106143E-2</v>
      </c>
      <c r="P1250" s="20">
        <v>0</v>
      </c>
      <c r="Q1250" s="20">
        <v>0.04</v>
      </c>
      <c r="R1250" s="20">
        <v>0.26</v>
      </c>
      <c r="S1250" s="20">
        <v>0.59</v>
      </c>
      <c r="T1250" s="20">
        <v>0.10999999999999999</v>
      </c>
    </row>
    <row r="1251" spans="13:20" x14ac:dyDescent="0.2">
      <c r="M1251" s="20">
        <v>1.1150785629704592E-2</v>
      </c>
      <c r="N1251" s="20">
        <v>1.168760782304394E-3</v>
      </c>
      <c r="O1251" s="20">
        <v>0.10481420960967366</v>
      </c>
      <c r="P1251" s="20">
        <v>0.02</v>
      </c>
      <c r="Q1251" s="20">
        <v>0.23</v>
      </c>
      <c r="R1251" s="20">
        <v>0.69</v>
      </c>
      <c r="S1251" s="20">
        <v>6.0000000000000164E-2</v>
      </c>
      <c r="T1251" s="20"/>
    </row>
    <row r="1252" spans="13:20" x14ac:dyDescent="0.2">
      <c r="M1252" s="20">
        <v>1.8395715759419593E-2</v>
      </c>
      <c r="N1252" s="20">
        <v>1.2715798903901688E-3</v>
      </c>
      <c r="O1252" s="20">
        <v>6.9123697442381477E-2</v>
      </c>
      <c r="P1252" s="20"/>
      <c r="Q1252" s="20">
        <v>0.95</v>
      </c>
      <c r="R1252" s="20">
        <v>4.9999999999999933E-2</v>
      </c>
      <c r="S1252" s="20"/>
      <c r="T1252" s="20"/>
    </row>
    <row r="1253" spans="13:20" x14ac:dyDescent="0.2">
      <c r="M1253" s="20">
        <v>1.906302168500059E-2</v>
      </c>
      <c r="N1253" s="20">
        <v>1.2781349063581749E-3</v>
      </c>
      <c r="O1253" s="20">
        <v>6.7047865101252727E-2</v>
      </c>
      <c r="P1253" s="20"/>
      <c r="Q1253" s="20">
        <v>1</v>
      </c>
      <c r="R1253" s="20">
        <v>0</v>
      </c>
      <c r="S1253" s="20"/>
      <c r="T1253" s="20"/>
    </row>
    <row r="1254" spans="13:20" x14ac:dyDescent="0.2">
      <c r="M1254" s="20">
        <v>1.3036075604905167E-2</v>
      </c>
      <c r="N1254" s="20">
        <v>2.2541865467566639E-3</v>
      </c>
      <c r="O1254" s="20">
        <v>0.17291910656827328</v>
      </c>
      <c r="P1254" s="20">
        <v>0.68</v>
      </c>
      <c r="Q1254" s="20"/>
      <c r="R1254" s="20"/>
      <c r="S1254" s="20"/>
      <c r="T1254" s="20">
        <v>0.32</v>
      </c>
    </row>
    <row r="1255" spans="13:20" x14ac:dyDescent="0.2">
      <c r="M1255" s="20">
        <v>1.4912738377618208E-2</v>
      </c>
      <c r="N1255" s="20">
        <v>1.6921091596348479E-3</v>
      </c>
      <c r="O1255" s="20">
        <v>0.11346736707823232</v>
      </c>
      <c r="P1255" s="20">
        <v>0.15000000000000002</v>
      </c>
      <c r="Q1255" s="20"/>
      <c r="R1255" s="20"/>
      <c r="S1255" s="20"/>
      <c r="T1255" s="20">
        <v>0.85</v>
      </c>
    </row>
    <row r="1256" spans="13:20" x14ac:dyDescent="0.2">
      <c r="M1256" s="20">
        <v>9.608987485392512E-3</v>
      </c>
      <c r="N1256" s="20">
        <v>9.1666477431239304E-4</v>
      </c>
      <c r="O1256" s="20">
        <v>9.5396604034077237E-2</v>
      </c>
      <c r="P1256" s="20"/>
      <c r="Q1256" s="20"/>
      <c r="R1256" s="20">
        <v>0.63</v>
      </c>
      <c r="S1256" s="20">
        <v>0.37</v>
      </c>
      <c r="T1256" s="20"/>
    </row>
    <row r="1257" spans="13:20" x14ac:dyDescent="0.2">
      <c r="M1257" s="20">
        <v>1.1209995833974272E-2</v>
      </c>
      <c r="N1257" s="20">
        <v>1.4940191564719561E-3</v>
      </c>
      <c r="O1257" s="20">
        <v>0.13327562102601448</v>
      </c>
      <c r="P1257" s="20">
        <v>0.21999999999999986</v>
      </c>
      <c r="Q1257" s="20"/>
      <c r="R1257" s="20"/>
      <c r="S1257" s="20">
        <v>0.27</v>
      </c>
      <c r="T1257" s="20">
        <v>0.51</v>
      </c>
    </row>
    <row r="1258" spans="13:20" x14ac:dyDescent="0.2">
      <c r="M1258" s="20">
        <v>1.5344006605141125E-2</v>
      </c>
      <c r="N1258" s="20">
        <v>1.6390829910384503E-3</v>
      </c>
      <c r="O1258" s="20">
        <v>0.10682235958431244</v>
      </c>
      <c r="P1258" s="20">
        <v>0.10000000000000009</v>
      </c>
      <c r="Q1258" s="20"/>
      <c r="R1258" s="20"/>
      <c r="S1258" s="20"/>
      <c r="T1258" s="20">
        <v>0.9</v>
      </c>
    </row>
    <row r="1259" spans="13:20" x14ac:dyDescent="0.2">
      <c r="M1259" s="20">
        <v>1.1097643466914638E-2</v>
      </c>
      <c r="N1259" s="20">
        <v>1.7228261319854228E-3</v>
      </c>
      <c r="O1259" s="20">
        <v>0.15524251947016299</v>
      </c>
      <c r="P1259" s="20">
        <v>0.41</v>
      </c>
      <c r="Q1259" s="20">
        <v>0.1</v>
      </c>
      <c r="R1259" s="20">
        <v>0.02</v>
      </c>
      <c r="S1259" s="20">
        <v>0.20999999999999996</v>
      </c>
      <c r="T1259" s="20">
        <v>0.26</v>
      </c>
    </row>
    <row r="1260" spans="13:20" x14ac:dyDescent="0.2">
      <c r="M1260" s="20">
        <v>1.67946623751388E-2</v>
      </c>
      <c r="N1260" s="20">
        <v>1.5412187302412616E-3</v>
      </c>
      <c r="O1260" s="20">
        <v>9.1768366390189135E-2</v>
      </c>
      <c r="P1260" s="20">
        <v>0.2</v>
      </c>
      <c r="Q1260" s="20">
        <v>0.79999999999999993</v>
      </c>
      <c r="R1260" s="20"/>
      <c r="S1260" s="20"/>
      <c r="T1260" s="20"/>
    </row>
    <row r="1261" spans="13:20" x14ac:dyDescent="0.2">
      <c r="M1261" s="20">
        <v>1.4405383768247914E-2</v>
      </c>
      <c r="N1261" s="20">
        <v>1.4604951085979449E-3</v>
      </c>
      <c r="O1261" s="20">
        <v>0.10138536620018009</v>
      </c>
      <c r="P1261" s="20">
        <v>0</v>
      </c>
      <c r="Q1261" s="20">
        <v>0.16</v>
      </c>
      <c r="R1261" s="20">
        <v>0.03</v>
      </c>
      <c r="S1261" s="20">
        <v>0.02</v>
      </c>
      <c r="T1261" s="20">
        <v>0.79</v>
      </c>
    </row>
    <row r="1262" spans="13:20" x14ac:dyDescent="0.2">
      <c r="M1262" s="20">
        <v>1.0134884458185387E-2</v>
      </c>
      <c r="N1262" s="20">
        <v>7.9138643997748895E-4</v>
      </c>
      <c r="O1262" s="20">
        <v>7.8085393399658323E-2</v>
      </c>
      <c r="P1262" s="20"/>
      <c r="Q1262" s="20"/>
      <c r="R1262" s="20">
        <v>0.04</v>
      </c>
      <c r="S1262" s="20">
        <v>0.72</v>
      </c>
      <c r="T1262" s="20">
        <v>0.24</v>
      </c>
    </row>
    <row r="1263" spans="13:20" x14ac:dyDescent="0.2">
      <c r="M1263" s="20">
        <v>1.3474696834592237E-2</v>
      </c>
      <c r="N1263" s="20">
        <v>1.9254243014589975E-3</v>
      </c>
      <c r="O1263" s="20">
        <v>0.14289184573830624</v>
      </c>
      <c r="P1263" s="20">
        <v>0.36999999999999988</v>
      </c>
      <c r="Q1263" s="20"/>
      <c r="R1263" s="20"/>
      <c r="S1263" s="20"/>
      <c r="T1263" s="20">
        <v>0.63</v>
      </c>
    </row>
    <row r="1264" spans="13:20" x14ac:dyDescent="0.2">
      <c r="M1264" s="20">
        <v>1.6675956965223615E-2</v>
      </c>
      <c r="N1264" s="20">
        <v>1.1372210353329509E-3</v>
      </c>
      <c r="O1264" s="20">
        <v>6.819524886664885E-2</v>
      </c>
      <c r="P1264" s="20"/>
      <c r="Q1264" s="20">
        <v>0.78</v>
      </c>
      <c r="R1264" s="20">
        <v>0.04</v>
      </c>
      <c r="S1264" s="20">
        <v>0.17999999999999994</v>
      </c>
      <c r="T1264" s="20"/>
    </row>
    <row r="1265" spans="13:20" x14ac:dyDescent="0.2">
      <c r="M1265" s="20">
        <v>1.7484792450961066E-2</v>
      </c>
      <c r="N1265" s="20">
        <v>1.2624028680349605E-3</v>
      </c>
      <c r="O1265" s="20">
        <v>7.2200048789573784E-2</v>
      </c>
      <c r="P1265" s="20"/>
      <c r="Q1265" s="20">
        <v>0.88</v>
      </c>
      <c r="R1265" s="20">
        <v>0.11999999999999988</v>
      </c>
      <c r="S1265" s="20"/>
      <c r="T1265" s="20"/>
    </row>
    <row r="1266" spans="13:20" x14ac:dyDescent="0.2">
      <c r="M1266" s="20">
        <v>1.385373340409984E-2</v>
      </c>
      <c r="N1266" s="20">
        <v>2.17261990756067E-3</v>
      </c>
      <c r="O1266" s="20">
        <v>0.1568255894773975</v>
      </c>
      <c r="P1266" s="20">
        <v>0.68</v>
      </c>
      <c r="Q1266" s="20">
        <v>0.31999999999999995</v>
      </c>
      <c r="R1266" s="20"/>
      <c r="S1266" s="20"/>
      <c r="T1266" s="20"/>
    </row>
    <row r="1267" spans="13:20" x14ac:dyDescent="0.2">
      <c r="M1267" s="20">
        <v>1.0192156839305608E-2</v>
      </c>
      <c r="N1267" s="20">
        <v>8.4717096993996315E-4</v>
      </c>
      <c r="O1267" s="20">
        <v>8.3119891431898421E-2</v>
      </c>
      <c r="P1267" s="20"/>
      <c r="Q1267" s="20"/>
      <c r="R1267" s="20"/>
      <c r="S1267" s="20">
        <v>0.68</v>
      </c>
      <c r="T1267" s="20">
        <v>0.31999999999999995</v>
      </c>
    </row>
    <row r="1268" spans="13:20" x14ac:dyDescent="0.2">
      <c r="M1268" s="20">
        <v>1.4148879873072288E-2</v>
      </c>
      <c r="N1268" s="20">
        <v>2.4620121138320657E-3</v>
      </c>
      <c r="O1268" s="20">
        <v>0.17400756356110503</v>
      </c>
      <c r="P1268" s="20">
        <v>0.9</v>
      </c>
      <c r="Q1268" s="20">
        <v>9.9999999999999978E-2</v>
      </c>
      <c r="R1268" s="20"/>
      <c r="S1268" s="20"/>
      <c r="T1268" s="20"/>
    </row>
    <row r="1269" spans="13:20" x14ac:dyDescent="0.2">
      <c r="M1269" s="20">
        <v>1.0220621362782869E-2</v>
      </c>
      <c r="N1269" s="20">
        <v>9.0768800087281834E-4</v>
      </c>
      <c r="O1269" s="20">
        <v>8.8809473382709586E-2</v>
      </c>
      <c r="P1269" s="20"/>
      <c r="Q1269" s="20"/>
      <c r="R1269" s="20"/>
      <c r="S1269" s="20">
        <v>0.62</v>
      </c>
      <c r="T1269" s="20">
        <v>0.38000000000000012</v>
      </c>
    </row>
    <row r="1270" spans="13:20" x14ac:dyDescent="0.2">
      <c r="M1270" s="20">
        <v>1.0846598161076436E-2</v>
      </c>
      <c r="N1270" s="20">
        <v>1.1159035312297216E-3</v>
      </c>
      <c r="O1270" s="20">
        <v>0.10288050821631778</v>
      </c>
      <c r="P1270" s="20"/>
      <c r="Q1270" s="20"/>
      <c r="R1270" s="20">
        <v>0.95</v>
      </c>
      <c r="S1270" s="20">
        <v>4.9999999999999933E-2</v>
      </c>
      <c r="T1270" s="20"/>
    </row>
    <row r="1271" spans="13:20" x14ac:dyDescent="0.2">
      <c r="M1271" s="20">
        <v>1.0850416461202861E-2</v>
      </c>
      <c r="N1271" s="20">
        <v>6.3025906124373327E-4</v>
      </c>
      <c r="O1271" s="20">
        <v>5.8086163189893243E-2</v>
      </c>
      <c r="P1271" s="20"/>
      <c r="Q1271" s="20"/>
      <c r="R1271" s="20">
        <v>0.17</v>
      </c>
      <c r="S1271" s="20">
        <v>0.83000000000000007</v>
      </c>
      <c r="T1271" s="20"/>
    </row>
    <row r="1272" spans="13:20" x14ac:dyDescent="0.2">
      <c r="M1272" s="20">
        <v>1.0678381654700331E-2</v>
      </c>
      <c r="N1272" s="20">
        <v>6.9587839260782519E-4</v>
      </c>
      <c r="O1272" s="20">
        <v>6.5167027655498588E-2</v>
      </c>
      <c r="P1272" s="20"/>
      <c r="Q1272" s="20"/>
      <c r="R1272" s="20"/>
      <c r="S1272" s="20">
        <v>0.83</v>
      </c>
      <c r="T1272" s="20">
        <v>0.16999999999999993</v>
      </c>
    </row>
    <row r="1273" spans="13:20" x14ac:dyDescent="0.2">
      <c r="M1273" s="20">
        <v>9.2747468866516518E-3</v>
      </c>
      <c r="N1273" s="20">
        <v>9.9535769786519845E-4</v>
      </c>
      <c r="O1273" s="20">
        <v>0.10731912256255008</v>
      </c>
      <c r="P1273" s="20"/>
      <c r="Q1273" s="20"/>
      <c r="R1273" s="20">
        <v>0.4</v>
      </c>
      <c r="S1273" s="20">
        <v>0.38</v>
      </c>
      <c r="T1273" s="20">
        <v>0.21999999999999997</v>
      </c>
    </row>
    <row r="1274" spans="13:20" x14ac:dyDescent="0.2">
      <c r="M1274" s="20">
        <v>1.0765944222458185E-2</v>
      </c>
      <c r="N1274" s="20">
        <v>1.4467823410438325E-3</v>
      </c>
      <c r="O1274" s="20">
        <v>0.13438508607779961</v>
      </c>
      <c r="P1274" s="20">
        <v>0.19</v>
      </c>
      <c r="Q1274" s="20">
        <v>0.19</v>
      </c>
      <c r="R1274" s="20">
        <v>0.61999999999999988</v>
      </c>
      <c r="S1274" s="20"/>
      <c r="T1274" s="20"/>
    </row>
    <row r="1275" spans="13:20" x14ac:dyDescent="0.2">
      <c r="M1275" s="20">
        <v>1.2008193257822314E-2</v>
      </c>
      <c r="N1275" s="20">
        <v>1.2834559797690345E-3</v>
      </c>
      <c r="O1275" s="20">
        <v>0.1068816892110703</v>
      </c>
      <c r="P1275" s="20">
        <v>0.09</v>
      </c>
      <c r="Q1275" s="20">
        <v>0.38</v>
      </c>
      <c r="R1275" s="20">
        <v>0.46</v>
      </c>
      <c r="S1275" s="20">
        <v>7.0000000000000062E-2</v>
      </c>
      <c r="T1275" s="20"/>
    </row>
    <row r="1276" spans="13:20" x14ac:dyDescent="0.2">
      <c r="M1276" s="20">
        <v>1.4148646963034091E-2</v>
      </c>
      <c r="N1276" s="20">
        <v>1.525198712308645E-3</v>
      </c>
      <c r="O1276" s="20">
        <v>0.10779820263333331</v>
      </c>
      <c r="P1276" s="20">
        <v>0.12</v>
      </c>
      <c r="Q1276" s="20">
        <v>0.53</v>
      </c>
      <c r="R1276" s="20"/>
      <c r="S1276" s="20"/>
      <c r="T1276" s="20">
        <v>0.35</v>
      </c>
    </row>
    <row r="1277" spans="13:20" x14ac:dyDescent="0.2">
      <c r="M1277" s="20">
        <v>1.5072756399316824E-2</v>
      </c>
      <c r="N1277" s="20">
        <v>1.2361828041629363E-3</v>
      </c>
      <c r="O1277" s="20">
        <v>8.2014382201451005E-2</v>
      </c>
      <c r="P1277" s="20"/>
      <c r="Q1277" s="20">
        <v>0.68</v>
      </c>
      <c r="R1277" s="20">
        <v>0.31999999999999995</v>
      </c>
      <c r="S1277" s="20"/>
      <c r="T1277" s="20"/>
    </row>
    <row r="1278" spans="13:20" x14ac:dyDescent="0.2">
      <c r="M1278" s="20">
        <v>1.6118413230157853E-2</v>
      </c>
      <c r="N1278" s="20">
        <v>1.2479818329053471E-3</v>
      </c>
      <c r="O1278" s="20">
        <v>7.742584924987217E-2</v>
      </c>
      <c r="P1278" s="20"/>
      <c r="Q1278" s="20">
        <v>0.77</v>
      </c>
      <c r="R1278" s="20">
        <v>0.23000000000000009</v>
      </c>
      <c r="S1278" s="20"/>
      <c r="T1278" s="20"/>
    </row>
    <row r="1279" spans="13:20" x14ac:dyDescent="0.2">
      <c r="M1279" s="20">
        <v>1.409250508640581E-2</v>
      </c>
      <c r="N1279" s="20">
        <v>1.8087667305469227E-3</v>
      </c>
      <c r="O1279" s="20">
        <v>0.12834955314592938</v>
      </c>
      <c r="P1279" s="20">
        <v>0.26</v>
      </c>
      <c r="Q1279" s="20"/>
      <c r="R1279" s="20"/>
      <c r="S1279" s="20"/>
      <c r="T1279" s="20">
        <v>0.74</v>
      </c>
    </row>
    <row r="1280" spans="13:20" x14ac:dyDescent="0.2">
      <c r="M1280" s="20">
        <v>1.484691028274281E-2</v>
      </c>
      <c r="N1280" s="20">
        <v>1.026456021696798E-3</v>
      </c>
      <c r="O1280" s="20">
        <v>6.9136002181537468E-2</v>
      </c>
      <c r="P1280" s="20"/>
      <c r="Q1280" s="20">
        <v>0.6</v>
      </c>
      <c r="R1280" s="20">
        <v>0.08</v>
      </c>
      <c r="S1280" s="20">
        <v>0.31999999999999995</v>
      </c>
      <c r="T1280" s="20"/>
    </row>
    <row r="1281" spans="13:20" x14ac:dyDescent="0.2">
      <c r="M1281" s="20">
        <v>1.400516661870828E-2</v>
      </c>
      <c r="N1281" s="20">
        <v>1.1537873203174137E-3</v>
      </c>
      <c r="O1281" s="20">
        <v>8.238297706334817E-2</v>
      </c>
      <c r="P1281" s="20">
        <v>0.04</v>
      </c>
      <c r="Q1281" s="20">
        <v>0.56000000000000005</v>
      </c>
      <c r="R1281" s="20">
        <v>0.2</v>
      </c>
      <c r="S1281" s="20">
        <v>0.19999999999999996</v>
      </c>
      <c r="T1281" s="20"/>
    </row>
    <row r="1282" spans="13:20" x14ac:dyDescent="0.2">
      <c r="M1282" s="20">
        <v>1.1571701745567788E-2</v>
      </c>
      <c r="N1282" s="20">
        <v>1.1811206700316859E-3</v>
      </c>
      <c r="O1282" s="20">
        <v>0.10206974704339235</v>
      </c>
      <c r="P1282" s="20"/>
      <c r="Q1282" s="20">
        <v>0.26</v>
      </c>
      <c r="R1282" s="20">
        <v>0.7400000000000001</v>
      </c>
      <c r="S1282" s="20"/>
      <c r="T1282" s="20"/>
    </row>
    <row r="1283" spans="13:20" x14ac:dyDescent="0.2">
      <c r="M1283" s="20">
        <v>9.2513385925061583E-3</v>
      </c>
      <c r="N1283" s="20">
        <v>9.4405429845258095E-4</v>
      </c>
      <c r="O1283" s="20">
        <v>0.10204515692651127</v>
      </c>
      <c r="P1283" s="20"/>
      <c r="Q1283" s="20"/>
      <c r="R1283" s="20">
        <v>0.35</v>
      </c>
      <c r="S1283" s="20">
        <v>0.45</v>
      </c>
      <c r="T1283" s="20">
        <v>0.19999999999999996</v>
      </c>
    </row>
    <row r="1284" spans="13:20" x14ac:dyDescent="0.2">
      <c r="M1284" s="20">
        <v>1.660509863071687E-2</v>
      </c>
      <c r="N1284" s="20">
        <v>1.2532258456797517E-3</v>
      </c>
      <c r="O1284" s="20">
        <v>7.5472351808948443E-2</v>
      </c>
      <c r="P1284" s="20"/>
      <c r="Q1284" s="20">
        <v>0.81</v>
      </c>
      <c r="R1284" s="20">
        <v>0.18999999999999984</v>
      </c>
      <c r="S1284" s="20"/>
      <c r="T1284" s="20"/>
    </row>
    <row r="1285" spans="13:20" x14ac:dyDescent="0.2">
      <c r="M1285" s="20">
        <v>1.3760407071507568E-2</v>
      </c>
      <c r="N1285" s="20">
        <v>2.455685987422975E-3</v>
      </c>
      <c r="O1285" s="20">
        <v>0.17846027189905903</v>
      </c>
      <c r="P1285" s="20">
        <v>0.87</v>
      </c>
      <c r="Q1285" s="20"/>
      <c r="R1285" s="20"/>
      <c r="S1285" s="20"/>
      <c r="T1285" s="20">
        <v>0.13</v>
      </c>
    </row>
    <row r="1286" spans="13:20" x14ac:dyDescent="0.2">
      <c r="M1286" s="20">
        <v>1.0182155913553629E-2</v>
      </c>
      <c r="N1286" s="20">
        <v>7.2638827849477749E-4</v>
      </c>
      <c r="O1286" s="20">
        <v>7.133933959191005E-2</v>
      </c>
      <c r="P1286" s="20"/>
      <c r="Q1286" s="20"/>
      <c r="R1286" s="20">
        <v>0.13</v>
      </c>
      <c r="S1286" s="20">
        <v>0.75</v>
      </c>
      <c r="T1286" s="20">
        <v>0.12</v>
      </c>
    </row>
    <row r="1287" spans="13:20" x14ac:dyDescent="0.2">
      <c r="M1287" s="20">
        <v>1.422980672648998E-2</v>
      </c>
      <c r="N1287" s="20">
        <v>2.4883204962203747E-3</v>
      </c>
      <c r="O1287" s="20">
        <v>0.17486678097940414</v>
      </c>
      <c r="P1287" s="20">
        <v>0.92</v>
      </c>
      <c r="Q1287" s="20">
        <v>8.0000000000000071E-2</v>
      </c>
      <c r="R1287" s="20"/>
      <c r="S1287" s="20"/>
      <c r="T1287" s="20"/>
    </row>
    <row r="1288" spans="13:20" x14ac:dyDescent="0.2">
      <c r="M1288" s="20">
        <v>1.0568732654964177E-2</v>
      </c>
      <c r="N1288" s="20">
        <v>1.8189885448028158E-3</v>
      </c>
      <c r="O1288" s="20">
        <v>0.17211037540517493</v>
      </c>
      <c r="P1288" s="20">
        <v>0.46</v>
      </c>
      <c r="Q1288" s="20">
        <v>0.05</v>
      </c>
      <c r="R1288" s="20">
        <v>0.49</v>
      </c>
      <c r="S1288" s="20"/>
      <c r="T1288" s="20"/>
    </row>
    <row r="1289" spans="13:20" x14ac:dyDescent="0.2">
      <c r="M1289" s="20">
        <v>1.0308960746862657E-2</v>
      </c>
      <c r="N1289" s="20">
        <v>1.1577184759810103E-3</v>
      </c>
      <c r="O1289" s="20">
        <v>0.11230215192480392</v>
      </c>
      <c r="P1289" s="20"/>
      <c r="Q1289" s="20">
        <v>0.13</v>
      </c>
      <c r="R1289" s="20">
        <v>0.39</v>
      </c>
      <c r="S1289" s="20">
        <v>0.19</v>
      </c>
      <c r="T1289" s="20">
        <v>0.29000000000000004</v>
      </c>
    </row>
    <row r="1290" spans="13:20" x14ac:dyDescent="0.2">
      <c r="M1290" s="20">
        <v>1.6100360939876667E-2</v>
      </c>
      <c r="N1290" s="20">
        <v>1.5542411212842138E-3</v>
      </c>
      <c r="O1290" s="20">
        <v>9.6534551435722024E-2</v>
      </c>
      <c r="P1290" s="20">
        <v>2.0000000000000018E-2</v>
      </c>
      <c r="Q1290" s="20"/>
      <c r="R1290" s="20"/>
      <c r="S1290" s="20"/>
      <c r="T1290" s="20">
        <v>0.98</v>
      </c>
    </row>
    <row r="1291" spans="13:20" x14ac:dyDescent="0.2">
      <c r="M1291" s="20">
        <v>1.0018854459894996E-2</v>
      </c>
      <c r="N1291" s="20">
        <v>8.8216198637677172E-4</v>
      </c>
      <c r="O1291" s="20">
        <v>8.8050184769928028E-2</v>
      </c>
      <c r="P1291" s="20"/>
      <c r="Q1291" s="20"/>
      <c r="R1291" s="20">
        <v>0.04</v>
      </c>
      <c r="S1291" s="20">
        <v>0.63</v>
      </c>
      <c r="T1291" s="20">
        <v>0.33000000000000007</v>
      </c>
    </row>
    <row r="1292" spans="13:20" x14ac:dyDescent="0.2">
      <c r="M1292" s="20">
        <v>9.5408546572831304E-3</v>
      </c>
      <c r="N1292" s="20">
        <v>8.1293406476472816E-4</v>
      </c>
      <c r="O1292" s="20">
        <v>8.5205581047622908E-2</v>
      </c>
      <c r="P1292" s="20"/>
      <c r="Q1292" s="20"/>
      <c r="R1292" s="20">
        <v>0.35</v>
      </c>
      <c r="S1292" s="20">
        <v>0.57999999999999996</v>
      </c>
      <c r="T1292" s="20">
        <v>6.9999999999999951E-2</v>
      </c>
    </row>
    <row r="1293" spans="13:20" x14ac:dyDescent="0.2">
      <c r="M1293" s="20">
        <v>1.8019843742304132E-2</v>
      </c>
      <c r="N1293" s="20">
        <v>1.2965772695848763E-3</v>
      </c>
      <c r="O1293" s="20">
        <v>7.1952747655684587E-2</v>
      </c>
      <c r="P1293" s="20">
        <v>0.02</v>
      </c>
      <c r="Q1293" s="20">
        <v>0.92</v>
      </c>
      <c r="R1293" s="20">
        <v>5.9999999999999942E-2</v>
      </c>
      <c r="S1293" s="20"/>
      <c r="T1293" s="20"/>
    </row>
    <row r="1294" spans="13:20" x14ac:dyDescent="0.2">
      <c r="M1294" s="20">
        <v>9.6732236482298221E-3</v>
      </c>
      <c r="N1294" s="20">
        <v>1.0246252439893896E-3</v>
      </c>
      <c r="O1294" s="20">
        <v>0.10592386584351263</v>
      </c>
      <c r="P1294" s="20"/>
      <c r="Q1294" s="20"/>
      <c r="R1294" s="20">
        <v>0.69</v>
      </c>
      <c r="S1294" s="20">
        <v>0.24</v>
      </c>
      <c r="T1294" s="20">
        <v>6.9999999999999951E-2</v>
      </c>
    </row>
    <row r="1295" spans="13:20" x14ac:dyDescent="0.2">
      <c r="M1295" s="20">
        <v>1.8263847217394925E-2</v>
      </c>
      <c r="N1295" s="20">
        <v>1.2702688871965675E-3</v>
      </c>
      <c r="O1295" s="20">
        <v>6.9551002703676423E-2</v>
      </c>
      <c r="P1295" s="20"/>
      <c r="Q1295" s="20">
        <v>0.94</v>
      </c>
      <c r="R1295" s="20">
        <v>5.9999999999999942E-2</v>
      </c>
      <c r="S1295" s="20"/>
      <c r="T1295" s="20"/>
    </row>
    <row r="1296" spans="13:20" x14ac:dyDescent="0.2">
      <c r="M1296" s="20">
        <v>1.8794551774568877E-2</v>
      </c>
      <c r="N1296" s="20">
        <v>1.2755128999709727E-3</v>
      </c>
      <c r="O1296" s="20">
        <v>6.7866098392241725E-2</v>
      </c>
      <c r="P1296" s="20"/>
      <c r="Q1296" s="20">
        <v>0.98</v>
      </c>
      <c r="R1296" s="20">
        <v>2.0000000000000129E-2</v>
      </c>
      <c r="S1296" s="20"/>
      <c r="T1296" s="20"/>
    </row>
    <row r="1297" spans="13:20" x14ac:dyDescent="0.2">
      <c r="M1297" s="20">
        <v>1.395873396845901E-2</v>
      </c>
      <c r="N1297" s="20">
        <v>2.3830869666671395E-3</v>
      </c>
      <c r="O1297" s="20">
        <v>0.17072371835812147</v>
      </c>
      <c r="P1297" s="20">
        <v>0.84</v>
      </c>
      <c r="Q1297" s="20">
        <v>0.16000000000000003</v>
      </c>
      <c r="R1297" s="20"/>
      <c r="S1297" s="20"/>
      <c r="T1297" s="20"/>
    </row>
    <row r="1298" spans="13:20" x14ac:dyDescent="0.2">
      <c r="M1298" s="20">
        <v>1.3882356534975663E-2</v>
      </c>
      <c r="N1298" s="20">
        <v>2.1463115251723615E-3</v>
      </c>
      <c r="O1298" s="20">
        <v>0.15460714611131574</v>
      </c>
      <c r="P1298" s="20">
        <v>0.66</v>
      </c>
      <c r="Q1298" s="20">
        <v>0.34</v>
      </c>
      <c r="R1298" s="20">
        <v>0</v>
      </c>
      <c r="S1298" s="20"/>
      <c r="T1298" s="20"/>
    </row>
    <row r="1299" spans="13:20" x14ac:dyDescent="0.2">
      <c r="M1299" s="20">
        <v>1.1939355062935347E-2</v>
      </c>
      <c r="N1299" s="20">
        <v>1.6085593157073878E-3</v>
      </c>
      <c r="O1299" s="20">
        <v>0.13472748797805797</v>
      </c>
      <c r="P1299" s="20">
        <v>0.21000000000000008</v>
      </c>
      <c r="Q1299" s="20"/>
      <c r="R1299" s="20">
        <v>0.12</v>
      </c>
      <c r="S1299" s="20">
        <v>0.1</v>
      </c>
      <c r="T1299" s="20">
        <v>0.56999999999999995</v>
      </c>
    </row>
    <row r="1300" spans="13:20" x14ac:dyDescent="0.2">
      <c r="M1300" s="20">
        <v>1.0402271413090709E-2</v>
      </c>
      <c r="N1300" s="20">
        <v>1.4123949306754247E-3</v>
      </c>
      <c r="O1300" s="20">
        <v>0.1357775503625103</v>
      </c>
      <c r="P1300" s="20">
        <v>0.13</v>
      </c>
      <c r="Q1300" s="20">
        <v>0.01</v>
      </c>
      <c r="R1300" s="20">
        <v>0.36</v>
      </c>
      <c r="S1300" s="20">
        <v>0.04</v>
      </c>
      <c r="T1300" s="20">
        <v>0.41</v>
      </c>
    </row>
    <row r="1301" spans="13:20" x14ac:dyDescent="0.2">
      <c r="M1301" s="20">
        <v>1.2921104220028226E-2</v>
      </c>
      <c r="N1301" s="20">
        <v>1.8898710357735653E-3</v>
      </c>
      <c r="O1301" s="20">
        <v>0.14626234752012837</v>
      </c>
      <c r="P1301" s="20">
        <v>0.48</v>
      </c>
      <c r="Q1301" s="20">
        <v>0.37</v>
      </c>
      <c r="R1301" s="20">
        <v>0.15000000000000013</v>
      </c>
      <c r="S1301" s="20"/>
      <c r="T1301" s="20"/>
    </row>
    <row r="1302" spans="13:20" x14ac:dyDescent="0.2">
      <c r="M1302" s="20">
        <v>1.1538589924204373E-2</v>
      </c>
      <c r="N1302" s="20">
        <v>1.3367636740051259E-3</v>
      </c>
      <c r="O1302" s="20">
        <v>0.11585156269406989</v>
      </c>
      <c r="P1302" s="20">
        <v>0.31</v>
      </c>
      <c r="Q1302" s="20">
        <v>0.19999999999999996</v>
      </c>
      <c r="R1302" s="20"/>
      <c r="S1302" s="20">
        <v>0.47</v>
      </c>
      <c r="T1302" s="20">
        <v>0.02</v>
      </c>
    </row>
    <row r="1303" spans="13:20" x14ac:dyDescent="0.2">
      <c r="M1303" s="20">
        <v>1.2781619687360071E-2</v>
      </c>
      <c r="N1303" s="20">
        <v>9.732444897761303E-4</v>
      </c>
      <c r="O1303" s="20">
        <v>7.6144065742981382E-2</v>
      </c>
      <c r="P1303" s="20">
        <v>0.02</v>
      </c>
      <c r="Q1303" s="20">
        <v>0.38</v>
      </c>
      <c r="R1303" s="20"/>
      <c r="S1303" s="20">
        <v>0.48</v>
      </c>
      <c r="T1303" s="20">
        <v>0.12</v>
      </c>
    </row>
    <row r="1304" spans="13:20" x14ac:dyDescent="0.2">
      <c r="M1304" s="20">
        <v>1.4525629572576094E-2</v>
      </c>
      <c r="N1304" s="20">
        <v>1.2296277881949302E-3</v>
      </c>
      <c r="O1304" s="20">
        <v>8.465228870467871E-2</v>
      </c>
      <c r="P1304" s="20"/>
      <c r="Q1304" s="20">
        <v>0.63</v>
      </c>
      <c r="R1304" s="20">
        <v>0.37</v>
      </c>
      <c r="S1304" s="20">
        <v>0</v>
      </c>
      <c r="T1304" s="20"/>
    </row>
    <row r="1305" spans="13:20" x14ac:dyDescent="0.2">
      <c r="M1305" s="20">
        <v>1.1155032780301373E-2</v>
      </c>
      <c r="N1305" s="20">
        <v>6.252751898528278E-4</v>
      </c>
      <c r="O1305" s="20">
        <v>5.6053191610247778E-2</v>
      </c>
      <c r="P1305" s="20"/>
      <c r="Q1305" s="20"/>
      <c r="R1305" s="20"/>
      <c r="S1305" s="20">
        <v>0.9</v>
      </c>
      <c r="T1305" s="20">
        <v>0.10000000000000009</v>
      </c>
    </row>
    <row r="1306" spans="13:20" x14ac:dyDescent="0.2">
      <c r="M1306" s="20">
        <v>1.1146564562637018E-2</v>
      </c>
      <c r="N1306" s="20">
        <v>1.0889304075721038E-3</v>
      </c>
      <c r="O1306" s="20">
        <v>9.7692019945066211E-2</v>
      </c>
      <c r="P1306" s="20">
        <v>7.0000000000000062E-2</v>
      </c>
      <c r="Q1306" s="20">
        <v>0.27</v>
      </c>
      <c r="R1306" s="20">
        <v>0.25</v>
      </c>
      <c r="S1306" s="20">
        <v>0.35</v>
      </c>
      <c r="T1306" s="20">
        <v>0.06</v>
      </c>
    </row>
    <row r="1307" spans="13:20" x14ac:dyDescent="0.2">
      <c r="M1307" s="20">
        <v>1.2373870324600727E-2</v>
      </c>
      <c r="N1307" s="20">
        <v>1.2543488292144974E-3</v>
      </c>
      <c r="O1307" s="20">
        <v>0.10137077537661782</v>
      </c>
      <c r="P1307" s="20">
        <v>0.14000000000000001</v>
      </c>
      <c r="Q1307" s="20">
        <v>0.36999999999999988</v>
      </c>
      <c r="R1307" s="20"/>
      <c r="S1307" s="20">
        <v>0.33</v>
      </c>
      <c r="T1307" s="20">
        <v>0.16</v>
      </c>
    </row>
    <row r="1308" spans="13:20" x14ac:dyDescent="0.2">
      <c r="M1308" s="20">
        <v>1.1996066657376259E-2</v>
      </c>
      <c r="N1308" s="20">
        <v>8.1377421196536103E-4</v>
      </c>
      <c r="O1308" s="20">
        <v>6.7836753096480976E-2</v>
      </c>
      <c r="P1308" s="20"/>
      <c r="Q1308" s="20">
        <v>0.26</v>
      </c>
      <c r="R1308" s="20">
        <v>0.15</v>
      </c>
      <c r="S1308" s="20">
        <v>0.59</v>
      </c>
      <c r="T1308" s="20"/>
    </row>
    <row r="1309" spans="13:20" x14ac:dyDescent="0.2">
      <c r="M1309" s="20">
        <v>1.311584054921126E-2</v>
      </c>
      <c r="N1309" s="20">
        <v>1.4050247915406244E-3</v>
      </c>
      <c r="O1309" s="20">
        <v>0.1071242659796682</v>
      </c>
      <c r="P1309" s="20">
        <v>6.0000000000000164E-2</v>
      </c>
      <c r="Q1309" s="20"/>
      <c r="R1309" s="20"/>
      <c r="S1309" s="20">
        <v>0.19</v>
      </c>
      <c r="T1309" s="20">
        <v>0.75</v>
      </c>
    </row>
    <row r="1310" spans="13:20" x14ac:dyDescent="0.2">
      <c r="M1310" s="20">
        <v>1.1166187997186647E-2</v>
      </c>
      <c r="N1310" s="20">
        <v>1.5671080106352828E-3</v>
      </c>
      <c r="O1310" s="20">
        <v>0.14034404678034437</v>
      </c>
      <c r="P1310" s="20">
        <v>0.27</v>
      </c>
      <c r="Q1310" s="20">
        <v>4.0000000000000036E-2</v>
      </c>
      <c r="R1310" s="20"/>
      <c r="S1310" s="20">
        <v>0.24</v>
      </c>
      <c r="T1310" s="20">
        <v>0.45</v>
      </c>
    </row>
    <row r="1311" spans="13:20" x14ac:dyDescent="0.2">
      <c r="M1311" s="20">
        <v>9.8517444126806422E-3</v>
      </c>
      <c r="N1311" s="20">
        <v>9.8515309700272476E-4</v>
      </c>
      <c r="O1311" s="20">
        <v>9.9997833453199209E-2</v>
      </c>
      <c r="P1311" s="20"/>
      <c r="Q1311" s="20"/>
      <c r="R1311" s="20">
        <v>0.74</v>
      </c>
      <c r="S1311" s="20">
        <v>0.2599999999999999</v>
      </c>
      <c r="T1311" s="20"/>
    </row>
    <row r="1312" spans="13:20" x14ac:dyDescent="0.2">
      <c r="M1312" s="20">
        <v>1.5163825745194537E-2</v>
      </c>
      <c r="N1312" s="20">
        <v>1.4531607199792693E-3</v>
      </c>
      <c r="O1312" s="20">
        <v>9.5830745116533708E-2</v>
      </c>
      <c r="P1312" s="20">
        <v>0.15</v>
      </c>
      <c r="Q1312" s="20">
        <v>0.68</v>
      </c>
      <c r="R1312" s="20">
        <v>0.16999999999999982</v>
      </c>
      <c r="S1312" s="20"/>
      <c r="T1312" s="20"/>
    </row>
    <row r="1313" spans="13:20" x14ac:dyDescent="0.2">
      <c r="M1313" s="20">
        <v>1.1321177813029253E-2</v>
      </c>
      <c r="N1313" s="20">
        <v>1.9874677745834179E-3</v>
      </c>
      <c r="O1313" s="20">
        <v>0.17555309239080161</v>
      </c>
      <c r="P1313" s="20">
        <v>0.61</v>
      </c>
      <c r="Q1313" s="20">
        <v>0.06</v>
      </c>
      <c r="R1313" s="20">
        <v>0.25</v>
      </c>
      <c r="S1313" s="20">
        <v>0.08</v>
      </c>
      <c r="T1313" s="20">
        <v>0</v>
      </c>
    </row>
    <row r="1314" spans="13:20" x14ac:dyDescent="0.2">
      <c r="M1314" s="20">
        <v>9.8211596976906772E-3</v>
      </c>
      <c r="N1314" s="20">
        <v>9.7892688584905814E-4</v>
      </c>
      <c r="O1314" s="20">
        <v>9.9675284384107984E-2</v>
      </c>
      <c r="P1314" s="20"/>
      <c r="Q1314" s="20"/>
      <c r="R1314" s="20">
        <v>0.73</v>
      </c>
      <c r="S1314" s="20">
        <v>0.27</v>
      </c>
      <c r="T1314" s="20"/>
    </row>
    <row r="1315" spans="13:20" x14ac:dyDescent="0.2">
      <c r="M1315" s="20">
        <v>1.171522493695186E-2</v>
      </c>
      <c r="N1315" s="20">
        <v>1.2426079185920698E-3</v>
      </c>
      <c r="O1315" s="20">
        <v>0.10606778147918167</v>
      </c>
      <c r="P1315" s="20">
        <v>4.0000000000000036E-2</v>
      </c>
      <c r="Q1315" s="20"/>
      <c r="R1315" s="20"/>
      <c r="S1315" s="20">
        <v>0.33</v>
      </c>
      <c r="T1315" s="20">
        <v>0.63</v>
      </c>
    </row>
    <row r="1316" spans="13:20" x14ac:dyDescent="0.2">
      <c r="M1316" s="20">
        <v>1.4320087966792377E-2</v>
      </c>
      <c r="N1316" s="20">
        <v>1.5639350128077399E-3</v>
      </c>
      <c r="O1316" s="20">
        <v>0.10921266799718221</v>
      </c>
      <c r="P1316" s="20">
        <v>7.0000000000000007E-2</v>
      </c>
      <c r="Q1316" s="20">
        <v>0.16999999999999993</v>
      </c>
      <c r="R1316" s="20"/>
      <c r="S1316" s="20"/>
      <c r="T1316" s="20">
        <v>0.76</v>
      </c>
    </row>
    <row r="1317" spans="13:20" x14ac:dyDescent="0.2">
      <c r="M1317" s="20">
        <v>9.4699315681307135E-3</v>
      </c>
      <c r="N1317" s="20">
        <v>8.7319972527705896E-4</v>
      </c>
      <c r="O1317" s="20">
        <v>9.2207606675390311E-2</v>
      </c>
      <c r="P1317" s="20"/>
      <c r="Q1317" s="20"/>
      <c r="R1317" s="20">
        <v>0.22</v>
      </c>
      <c r="S1317" s="20">
        <v>0.56999999999999995</v>
      </c>
      <c r="T1317" s="20">
        <v>0.21000000000000019</v>
      </c>
    </row>
    <row r="1318" spans="13:20" x14ac:dyDescent="0.2">
      <c r="M1318" s="20">
        <v>1.4806659470202699E-2</v>
      </c>
      <c r="N1318" s="20">
        <v>1.188666316506467E-3</v>
      </c>
      <c r="O1318" s="20">
        <v>8.0279168903598375E-2</v>
      </c>
      <c r="P1318" s="20">
        <v>0</v>
      </c>
      <c r="Q1318" s="20">
        <v>0.65</v>
      </c>
      <c r="R1318" s="20">
        <v>0.28000000000000003</v>
      </c>
      <c r="S1318" s="20">
        <v>6.9999999999999951E-2</v>
      </c>
      <c r="T1318" s="20"/>
    </row>
    <row r="1319" spans="13:20" x14ac:dyDescent="0.2">
      <c r="M1319" s="20">
        <v>1.3368554515355707E-2</v>
      </c>
      <c r="N1319" s="20">
        <v>2.3708441176687385E-3</v>
      </c>
      <c r="O1319" s="20">
        <v>0.1773448367170499</v>
      </c>
      <c r="P1319" s="20">
        <v>0.79</v>
      </c>
      <c r="Q1319" s="20"/>
      <c r="R1319" s="20"/>
      <c r="S1319" s="20"/>
      <c r="T1319" s="20">
        <v>0.21</v>
      </c>
    </row>
    <row r="1320" spans="13:20" x14ac:dyDescent="0.2">
      <c r="M1320" s="20">
        <v>9.9580718145197075E-3</v>
      </c>
      <c r="N1320" s="20">
        <v>1.123239140765956E-3</v>
      </c>
      <c r="O1320" s="20">
        <v>0.11279685080480928</v>
      </c>
      <c r="P1320" s="20"/>
      <c r="Q1320" s="20"/>
      <c r="R1320" s="20">
        <v>0.33</v>
      </c>
      <c r="S1320" s="20">
        <v>0.28000000000000003</v>
      </c>
      <c r="T1320" s="20">
        <v>0.39</v>
      </c>
    </row>
    <row r="1321" spans="13:20" x14ac:dyDescent="0.2">
      <c r="M1321" s="20">
        <v>1.4516805794357721E-2</v>
      </c>
      <c r="N1321" s="20">
        <v>1.7451353282312454E-3</v>
      </c>
      <c r="O1321" s="20">
        <v>0.12021482914027347</v>
      </c>
      <c r="P1321" s="20">
        <v>0.19999999999999996</v>
      </c>
      <c r="Q1321" s="20"/>
      <c r="R1321" s="20"/>
      <c r="S1321" s="20"/>
      <c r="T1321" s="20">
        <v>0.8</v>
      </c>
    </row>
    <row r="1322" spans="13:20" x14ac:dyDescent="0.2">
      <c r="M1322" s="20">
        <v>1.0444953040813672E-2</v>
      </c>
      <c r="N1322" s="20">
        <v>1.0723200531540559E-3</v>
      </c>
      <c r="O1322" s="20">
        <v>0.1026639419980122</v>
      </c>
      <c r="P1322" s="20"/>
      <c r="Q1322" s="20"/>
      <c r="R1322" s="20">
        <v>0.88</v>
      </c>
      <c r="S1322" s="20">
        <v>0.11999999999999988</v>
      </c>
      <c r="T1322" s="20"/>
    </row>
    <row r="1323" spans="13:20" x14ac:dyDescent="0.2">
      <c r="M1323" s="20">
        <v>1.4054415181796755E-2</v>
      </c>
      <c r="N1323" s="20">
        <v>2.054232186813281E-3</v>
      </c>
      <c r="O1323" s="20">
        <v>0.14616276524077057</v>
      </c>
      <c r="P1323" s="20">
        <v>0.59</v>
      </c>
      <c r="Q1323" s="20">
        <v>0.41000000000000014</v>
      </c>
      <c r="R1323" s="20"/>
      <c r="S1323" s="20"/>
      <c r="T1323" s="20"/>
    </row>
    <row r="1324" spans="13:20" x14ac:dyDescent="0.2">
      <c r="M1324" s="20">
        <v>1.0840390896534007E-2</v>
      </c>
      <c r="N1324" s="20">
        <v>1.0589805782049563E-3</v>
      </c>
      <c r="O1324" s="20">
        <v>9.76884125593242E-2</v>
      </c>
      <c r="P1324" s="20"/>
      <c r="Q1324" s="20"/>
      <c r="R1324" s="20"/>
      <c r="S1324" s="20">
        <v>0.47</v>
      </c>
      <c r="T1324" s="20">
        <v>0.53000000000000014</v>
      </c>
    </row>
    <row r="1325" spans="13:20" x14ac:dyDescent="0.2">
      <c r="M1325" s="20">
        <v>1.1234592652910182E-2</v>
      </c>
      <c r="N1325" s="20">
        <v>6.1518901803068484E-4</v>
      </c>
      <c r="O1325" s="20">
        <v>5.4758462281347398E-2</v>
      </c>
      <c r="P1325" s="20"/>
      <c r="Q1325" s="20"/>
      <c r="R1325" s="20"/>
      <c r="S1325" s="20">
        <v>0.91</v>
      </c>
      <c r="T1325" s="20">
        <v>8.9999999999999858E-2</v>
      </c>
    </row>
    <row r="1326" spans="13:20" x14ac:dyDescent="0.2">
      <c r="M1326" s="20">
        <v>1.6611384222606995E-2</v>
      </c>
      <c r="N1326" s="20">
        <v>1.1496734576402841E-3</v>
      </c>
      <c r="O1326" s="20">
        <v>6.9209973246880566E-2</v>
      </c>
      <c r="P1326" s="20"/>
      <c r="Q1326" s="20">
        <v>0.78</v>
      </c>
      <c r="R1326" s="20">
        <v>0.06</v>
      </c>
      <c r="S1326" s="20">
        <v>0.15999999999999992</v>
      </c>
      <c r="T1326" s="20"/>
    </row>
    <row r="1327" spans="13:20" x14ac:dyDescent="0.2">
      <c r="M1327" s="20">
        <v>1.383981491350712E-2</v>
      </c>
      <c r="N1327" s="20">
        <v>2.2910076283080591E-3</v>
      </c>
      <c r="O1327" s="20">
        <v>0.16553744704144308</v>
      </c>
      <c r="P1327" s="20">
        <v>0.77</v>
      </c>
      <c r="Q1327" s="20">
        <v>0.22999999999999998</v>
      </c>
      <c r="R1327" s="20"/>
      <c r="S1327" s="20"/>
      <c r="T1327" s="20"/>
    </row>
    <row r="1328" spans="13:20" x14ac:dyDescent="0.2">
      <c r="M1328" s="20">
        <v>1.4013216223519356E-2</v>
      </c>
      <c r="N1328" s="20">
        <v>2.4093953490554485E-3</v>
      </c>
      <c r="O1328" s="20">
        <v>0.17193735618034586</v>
      </c>
      <c r="P1328" s="20">
        <v>0.86</v>
      </c>
      <c r="Q1328" s="20">
        <v>0.14000000000000012</v>
      </c>
      <c r="R1328" s="20"/>
      <c r="S1328" s="20"/>
      <c r="T1328" s="20"/>
    </row>
    <row r="1329" spans="13:20" x14ac:dyDescent="0.2">
      <c r="M1329" s="20">
        <v>1.6301105982438266E-2</v>
      </c>
      <c r="N1329" s="20">
        <v>1.5330306538456546E-3</v>
      </c>
      <c r="O1329" s="20">
        <v>9.4044579275617268E-2</v>
      </c>
      <c r="P1329" s="20">
        <v>0</v>
      </c>
      <c r="Q1329" s="20"/>
      <c r="R1329" s="20"/>
      <c r="S1329" s="20"/>
      <c r="T1329" s="20">
        <v>1</v>
      </c>
    </row>
    <row r="1330" spans="13:20" x14ac:dyDescent="0.2">
      <c r="M1330" s="20">
        <v>1.3537697187993997E-2</v>
      </c>
      <c r="N1330" s="20">
        <v>1.8977370549351723E-3</v>
      </c>
      <c r="O1330" s="20">
        <v>0.14018167407512955</v>
      </c>
      <c r="P1330" s="20">
        <v>0.48</v>
      </c>
      <c r="Q1330" s="20">
        <v>0.43</v>
      </c>
      <c r="R1330" s="20">
        <v>8.9999999999999969E-2</v>
      </c>
      <c r="S1330" s="20"/>
      <c r="T1330" s="20"/>
    </row>
    <row r="1331" spans="13:20" x14ac:dyDescent="0.2">
      <c r="M1331" s="20">
        <v>1.0846598161076436E-2</v>
      </c>
      <c r="N1331" s="20">
        <v>1.1159035312297218E-3</v>
      </c>
      <c r="O1331" s="20">
        <v>0.10288050821631779</v>
      </c>
      <c r="P1331" s="20"/>
      <c r="Q1331" s="20"/>
      <c r="R1331" s="20">
        <v>0.95</v>
      </c>
      <c r="S1331" s="20">
        <v>5.0000000000000155E-2</v>
      </c>
      <c r="T1331" s="20"/>
    </row>
    <row r="1332" spans="13:20" x14ac:dyDescent="0.2">
      <c r="M1332" s="20">
        <v>1.0801425397573302E-2</v>
      </c>
      <c r="N1332" s="20">
        <v>8.3930478136062521E-4</v>
      </c>
      <c r="O1332" s="20">
        <v>7.7703150322103523E-2</v>
      </c>
      <c r="P1332" s="20">
        <v>0</v>
      </c>
      <c r="Q1332" s="20">
        <v>0.10999999999999988</v>
      </c>
      <c r="R1332" s="20"/>
      <c r="S1332" s="20">
        <v>0.66</v>
      </c>
      <c r="T1332" s="20">
        <v>0.23</v>
      </c>
    </row>
    <row r="1333" spans="13:20" x14ac:dyDescent="0.2">
      <c r="M1333" s="20">
        <v>1.774207684011481E-2</v>
      </c>
      <c r="N1333" s="20">
        <v>1.2650248744221627E-3</v>
      </c>
      <c r="O1333" s="20">
        <v>7.1300833934048999E-2</v>
      </c>
      <c r="P1333" s="20"/>
      <c r="Q1333" s="20">
        <v>0.9</v>
      </c>
      <c r="R1333" s="20">
        <v>9.9999999999999867E-2</v>
      </c>
      <c r="S1333" s="20"/>
      <c r="T1333" s="20"/>
    </row>
    <row r="1334" spans="13:20" x14ac:dyDescent="0.2">
      <c r="M1334" s="20">
        <v>1.3942508844043461E-2</v>
      </c>
      <c r="N1334" s="20">
        <v>2.1068489515898982E-3</v>
      </c>
      <c r="O1334" s="20">
        <v>0.15110974467769403</v>
      </c>
      <c r="P1334" s="20">
        <v>0.63</v>
      </c>
      <c r="Q1334" s="20">
        <v>0.36999999999999988</v>
      </c>
      <c r="R1334" s="20"/>
      <c r="S1334" s="20"/>
      <c r="T1334" s="20"/>
    </row>
    <row r="1335" spans="13:20" x14ac:dyDescent="0.2">
      <c r="M1335" s="20">
        <v>9.6223646147814996E-3</v>
      </c>
      <c r="N1335" s="20">
        <v>9.2289098546605955E-4</v>
      </c>
      <c r="O1335" s="20">
        <v>9.5911038753234382E-2</v>
      </c>
      <c r="P1335" s="20"/>
      <c r="Q1335" s="20"/>
      <c r="R1335" s="20">
        <v>0.64</v>
      </c>
      <c r="S1335" s="20">
        <v>0.35999999999999988</v>
      </c>
      <c r="T1335" s="20"/>
    </row>
    <row r="1336" spans="13:20" x14ac:dyDescent="0.2">
      <c r="M1336" s="20">
        <v>1.3984850690816111E-2</v>
      </c>
      <c r="N1336" s="20">
        <v>2.3962411578612943E-3</v>
      </c>
      <c r="O1336" s="20">
        <v>0.17134549455253836</v>
      </c>
      <c r="P1336" s="20">
        <v>0.85</v>
      </c>
      <c r="Q1336" s="20">
        <v>0.15000000000000013</v>
      </c>
      <c r="R1336" s="20"/>
      <c r="S1336" s="20"/>
      <c r="T1336" s="20"/>
    </row>
    <row r="1337" spans="13:20" x14ac:dyDescent="0.2">
      <c r="M1337" s="20">
        <v>1.0311232922207451E-2</v>
      </c>
      <c r="N1337" s="20">
        <v>9.4803268816138857E-4</v>
      </c>
      <c r="O1337" s="20">
        <v>9.1941739199741773E-2</v>
      </c>
      <c r="P1337" s="20"/>
      <c r="Q1337" s="20"/>
      <c r="R1337" s="20"/>
      <c r="S1337" s="20">
        <v>0.57999999999999996</v>
      </c>
      <c r="T1337" s="20">
        <v>0.42000000000000015</v>
      </c>
    </row>
    <row r="1338" spans="13:20" x14ac:dyDescent="0.2">
      <c r="M1338" s="20">
        <v>1.0609211937929573E-2</v>
      </c>
      <c r="N1338" s="20">
        <v>1.0909986866150558E-3</v>
      </c>
      <c r="O1338" s="20">
        <v>0.10283503553308863</v>
      </c>
      <c r="P1338" s="20"/>
      <c r="Q1338" s="20"/>
      <c r="R1338" s="20">
        <v>0.91</v>
      </c>
      <c r="S1338" s="20">
        <v>9.000000000000008E-2</v>
      </c>
      <c r="T1338" s="20"/>
    </row>
    <row r="1339" spans="13:20" x14ac:dyDescent="0.2">
      <c r="M1339" s="20">
        <v>1.1107854694294931E-2</v>
      </c>
      <c r="N1339" s="20">
        <v>6.0535421662906712E-4</v>
      </c>
      <c r="O1339" s="20">
        <v>5.4497851591449174E-2</v>
      </c>
      <c r="P1339" s="20"/>
      <c r="Q1339" s="20"/>
      <c r="R1339" s="20">
        <v>0.13</v>
      </c>
      <c r="S1339" s="20">
        <v>0.87</v>
      </c>
      <c r="T1339" s="20"/>
    </row>
    <row r="1340" spans="13:20" x14ac:dyDescent="0.2">
      <c r="M1340" s="20">
        <v>1.0029424357690662E-2</v>
      </c>
      <c r="N1340" s="20">
        <v>1.0364564964153427E-3</v>
      </c>
      <c r="O1340" s="20">
        <v>0.10334157369865177</v>
      </c>
      <c r="P1340" s="20"/>
      <c r="Q1340" s="20"/>
      <c r="R1340" s="20">
        <v>0.79</v>
      </c>
      <c r="S1340" s="20">
        <v>0.19</v>
      </c>
      <c r="T1340" s="20">
        <v>2.0000000000000129E-2</v>
      </c>
    </row>
    <row r="1341" spans="13:20" x14ac:dyDescent="0.2">
      <c r="M1341" s="20">
        <v>1.1942494761387734E-2</v>
      </c>
      <c r="N1341" s="20">
        <v>1.1494040816880436E-3</v>
      </c>
      <c r="O1341" s="20">
        <v>9.6244888915863455E-2</v>
      </c>
      <c r="P1341" s="20">
        <v>2.9999999999999916E-2</v>
      </c>
      <c r="Q1341" s="20">
        <v>0.37</v>
      </c>
      <c r="R1341" s="20">
        <v>0.44</v>
      </c>
      <c r="S1341" s="20">
        <v>0.15</v>
      </c>
      <c r="T1341" s="20">
        <v>0.01</v>
      </c>
    </row>
    <row r="1342" spans="13:20" x14ac:dyDescent="0.2">
      <c r="M1342" s="20">
        <v>1.4346044083519886E-2</v>
      </c>
      <c r="N1342" s="20">
        <v>1.5062203330813728E-3</v>
      </c>
      <c r="O1342" s="20">
        <v>0.10499203294737212</v>
      </c>
      <c r="P1342" s="20">
        <v>0.03</v>
      </c>
      <c r="Q1342" s="20">
        <v>0.22999999999999998</v>
      </c>
      <c r="R1342" s="20"/>
      <c r="S1342" s="20"/>
      <c r="T1342" s="20">
        <v>0.74</v>
      </c>
    </row>
    <row r="1343" spans="13:20" x14ac:dyDescent="0.2">
      <c r="M1343" s="20">
        <v>9.4777186827198559E-3</v>
      </c>
      <c r="N1343" s="20">
        <v>1.0621009399517203E-3</v>
      </c>
      <c r="O1343" s="20">
        <v>0.11206293154577208</v>
      </c>
      <c r="P1343" s="20"/>
      <c r="Q1343" s="20"/>
      <c r="R1343" s="20">
        <v>0.41</v>
      </c>
      <c r="S1343" s="20">
        <v>0.31</v>
      </c>
      <c r="T1343" s="20">
        <v>0.28000000000000003</v>
      </c>
    </row>
    <row r="1344" spans="13:20" x14ac:dyDescent="0.2">
      <c r="M1344" s="20">
        <v>1.3282519802930303E-2</v>
      </c>
      <c r="N1344" s="20">
        <v>2.1259296081952957E-3</v>
      </c>
      <c r="O1344" s="20">
        <v>0.16005469140925255</v>
      </c>
      <c r="P1344" s="20">
        <v>0.63</v>
      </c>
      <c r="Q1344" s="20">
        <v>0.28000000000000003</v>
      </c>
      <c r="R1344" s="20">
        <v>1.0000000000000009E-2</v>
      </c>
      <c r="S1344" s="20"/>
      <c r="T1344" s="20">
        <v>0.08</v>
      </c>
    </row>
    <row r="1345" spans="13:20" x14ac:dyDescent="0.2">
      <c r="M1345" s="20">
        <v>1.5644725188612919E-2</v>
      </c>
      <c r="N1345" s="20">
        <v>1.2427378201309426E-3</v>
      </c>
      <c r="O1345" s="20">
        <v>7.9434940860161271E-2</v>
      </c>
      <c r="P1345" s="20"/>
      <c r="Q1345" s="20">
        <v>0.73</v>
      </c>
      <c r="R1345" s="20">
        <v>0.27000000000000013</v>
      </c>
      <c r="S1345" s="20"/>
      <c r="T1345" s="20"/>
    </row>
    <row r="1346" spans="13:20" x14ac:dyDescent="0.2">
      <c r="M1346" s="20">
        <v>1.3386296219863699E-2</v>
      </c>
      <c r="N1346" s="20">
        <v>1.7412656247408368E-3</v>
      </c>
      <c r="O1346" s="20">
        <v>0.13007822299322813</v>
      </c>
      <c r="P1346" s="20">
        <v>0.23</v>
      </c>
      <c r="Q1346" s="20">
        <v>0.1399999999999999</v>
      </c>
      <c r="R1346" s="20"/>
      <c r="S1346" s="20"/>
      <c r="T1346" s="20">
        <v>0.63</v>
      </c>
    </row>
    <row r="1347" spans="13:20" x14ac:dyDescent="0.2">
      <c r="M1347" s="20">
        <v>1.4254820485660069E-2</v>
      </c>
      <c r="N1347" s="20">
        <v>1.6557176006659895E-3</v>
      </c>
      <c r="O1347" s="20">
        <v>0.11615141715264621</v>
      </c>
      <c r="P1347" s="20">
        <v>0.3</v>
      </c>
      <c r="Q1347" s="20">
        <v>0.56999999999999995</v>
      </c>
      <c r="R1347" s="20">
        <v>0.13000000000000012</v>
      </c>
      <c r="S1347" s="20"/>
      <c r="T1347" s="20"/>
    </row>
    <row r="1348" spans="13:20" x14ac:dyDescent="0.2">
      <c r="M1348" s="20">
        <v>1.1037677669451181E-2</v>
      </c>
      <c r="N1348" s="20">
        <v>1.1345821646907212E-3</v>
      </c>
      <c r="O1348" s="20">
        <v>0.10279174647678721</v>
      </c>
      <c r="P1348" s="20"/>
      <c r="Q1348" s="20"/>
      <c r="R1348" s="20">
        <v>0.98</v>
      </c>
      <c r="S1348" s="20">
        <v>2.0000000000000129E-2</v>
      </c>
      <c r="T1348" s="20"/>
    </row>
    <row r="1349" spans="13:20" x14ac:dyDescent="0.2">
      <c r="M1349" s="20">
        <v>1.3235996229837137E-2</v>
      </c>
      <c r="N1349" s="20">
        <v>1.0805233092575164E-3</v>
      </c>
      <c r="O1349" s="20">
        <v>8.1635208298243209E-2</v>
      </c>
      <c r="P1349" s="20"/>
      <c r="Q1349" s="20">
        <v>0.49</v>
      </c>
      <c r="R1349" s="20">
        <v>0.3</v>
      </c>
      <c r="S1349" s="20">
        <v>0.20999999999999996</v>
      </c>
      <c r="T1349" s="20"/>
    </row>
    <row r="1350" spans="13:20" x14ac:dyDescent="0.2">
      <c r="M1350" s="20">
        <v>9.4523365403246743E-3</v>
      </c>
      <c r="N1350" s="20">
        <v>1.0137849609056738E-3</v>
      </c>
      <c r="O1350" s="20">
        <v>0.10725231339158939</v>
      </c>
      <c r="P1350" s="20"/>
      <c r="Q1350" s="20"/>
      <c r="R1350" s="20">
        <v>0.3</v>
      </c>
      <c r="S1350" s="20">
        <v>0.4</v>
      </c>
      <c r="T1350" s="20">
        <v>0.30000000000000004</v>
      </c>
    </row>
    <row r="1351" spans="13:20" x14ac:dyDescent="0.2">
      <c r="M1351" s="20">
        <v>1.6118413230157853E-2</v>
      </c>
      <c r="N1351" s="20">
        <v>1.2479818329053469E-3</v>
      </c>
      <c r="O1351" s="20">
        <v>7.7425849249872156E-2</v>
      </c>
      <c r="P1351" s="20"/>
      <c r="Q1351" s="20">
        <v>0.77</v>
      </c>
      <c r="R1351" s="20">
        <v>0.22999999999999987</v>
      </c>
      <c r="S1351" s="20"/>
      <c r="T1351" s="20"/>
    </row>
    <row r="1352" spans="13:20" x14ac:dyDescent="0.2">
      <c r="M1352" s="20">
        <v>1.3792814155974924E-2</v>
      </c>
      <c r="N1352" s="20">
        <v>2.4454901575234759E-3</v>
      </c>
      <c r="O1352" s="20">
        <v>0.17730175509282212</v>
      </c>
      <c r="P1352" s="20">
        <v>0.87</v>
      </c>
      <c r="Q1352" s="20">
        <v>3.9999999999999925E-2</v>
      </c>
      <c r="R1352" s="20"/>
      <c r="S1352" s="20"/>
      <c r="T1352" s="20">
        <v>0.09</v>
      </c>
    </row>
    <row r="1353" spans="13:20" x14ac:dyDescent="0.2">
      <c r="M1353" s="20">
        <v>1.059619048207899E-2</v>
      </c>
      <c r="N1353" s="20">
        <v>1.607857422121807E-3</v>
      </c>
      <c r="O1353" s="20">
        <v>0.15173919578372308</v>
      </c>
      <c r="P1353" s="20">
        <v>0.46999999999999986</v>
      </c>
      <c r="Q1353" s="20"/>
      <c r="R1353" s="20"/>
      <c r="S1353" s="20">
        <v>0.42</v>
      </c>
      <c r="T1353" s="20">
        <v>0.11</v>
      </c>
    </row>
    <row r="1354" spans="13:20" x14ac:dyDescent="0.2">
      <c r="M1354" s="20">
        <v>1.0862551636796093E-2</v>
      </c>
      <c r="N1354" s="20">
        <v>1.1001978057954313E-3</v>
      </c>
      <c r="O1354" s="20">
        <v>0.10128355128537132</v>
      </c>
      <c r="P1354" s="20"/>
      <c r="Q1354" s="20"/>
      <c r="R1354" s="20">
        <v>0.05</v>
      </c>
      <c r="S1354" s="20">
        <v>0.41</v>
      </c>
      <c r="T1354" s="20">
        <v>0.54</v>
      </c>
    </row>
    <row r="1355" spans="13:20" x14ac:dyDescent="0.2">
      <c r="M1355" s="20">
        <v>9.0101647720090532E-3</v>
      </c>
      <c r="N1355" s="20">
        <v>1.0077994829573221E-3</v>
      </c>
      <c r="O1355" s="20">
        <v>0.11185139322736343</v>
      </c>
      <c r="P1355" s="20">
        <v>0.13</v>
      </c>
      <c r="Q1355" s="20">
        <v>0.35</v>
      </c>
      <c r="R1355" s="20">
        <v>0.15</v>
      </c>
      <c r="S1355" s="20">
        <v>0.01</v>
      </c>
      <c r="T1355" s="20">
        <v>0.03</v>
      </c>
    </row>
    <row r="1356" spans="13:20" x14ac:dyDescent="0.2">
      <c r="M1356" s="20">
        <v>1.4227492800594425E-2</v>
      </c>
      <c r="N1356" s="20">
        <v>1.7875562631083637E-3</v>
      </c>
      <c r="O1356" s="20">
        <v>0.12564098876463176</v>
      </c>
      <c r="P1356" s="20">
        <v>0.24</v>
      </c>
      <c r="Q1356" s="20"/>
      <c r="R1356" s="20"/>
      <c r="S1356" s="20"/>
      <c r="T1356" s="20">
        <v>0.76</v>
      </c>
    </row>
    <row r="1357" spans="13:20" x14ac:dyDescent="0.2">
      <c r="M1357" s="20">
        <v>1.4188266558946014E-2</v>
      </c>
      <c r="N1357" s="20">
        <v>2.4751663050262196E-3</v>
      </c>
      <c r="O1357" s="20">
        <v>0.17445163542304418</v>
      </c>
      <c r="P1357" s="20">
        <v>0.91</v>
      </c>
      <c r="Q1357" s="20">
        <v>8.9999999999999858E-2</v>
      </c>
      <c r="R1357" s="20"/>
      <c r="S1357" s="20"/>
      <c r="T1357" s="20"/>
    </row>
    <row r="1358" spans="13:20" x14ac:dyDescent="0.2">
      <c r="M1358" s="20">
        <v>9.9515017739419814E-3</v>
      </c>
      <c r="N1358" s="20">
        <v>1.0752954927927432E-3</v>
      </c>
      <c r="O1358" s="20">
        <v>0.10805359002280497</v>
      </c>
      <c r="P1358" s="20">
        <v>0.12000000000000011</v>
      </c>
      <c r="Q1358" s="20"/>
      <c r="R1358" s="20"/>
      <c r="S1358" s="20">
        <v>0.57999999999999996</v>
      </c>
      <c r="T1358" s="20">
        <v>0.3</v>
      </c>
    </row>
    <row r="1359" spans="13:20" x14ac:dyDescent="0.2">
      <c r="M1359" s="20">
        <v>1.3140044380384158E-2</v>
      </c>
      <c r="N1359" s="20">
        <v>2.0208714049325133E-3</v>
      </c>
      <c r="O1359" s="20">
        <v>0.15379486906066536</v>
      </c>
      <c r="P1359" s="20">
        <v>0.45999999999999985</v>
      </c>
      <c r="Q1359" s="20"/>
      <c r="R1359" s="20"/>
      <c r="S1359" s="20"/>
      <c r="T1359" s="20">
        <v>0.54</v>
      </c>
    </row>
    <row r="1360" spans="13:20" x14ac:dyDescent="0.2">
      <c r="M1360" s="20">
        <v>1.5009226438159115E-2</v>
      </c>
      <c r="N1360" s="20">
        <v>1.7593326617723556E-3</v>
      </c>
      <c r="O1360" s="20">
        <v>0.11721674458181724</v>
      </c>
      <c r="P1360" s="20">
        <v>0.36</v>
      </c>
      <c r="Q1360" s="20">
        <v>0.61</v>
      </c>
      <c r="R1360" s="20"/>
      <c r="S1360" s="20"/>
      <c r="T1360" s="20">
        <v>0.03</v>
      </c>
    </row>
    <row r="1361" spans="13:20" x14ac:dyDescent="0.2">
      <c r="M1361" s="20">
        <v>1.3331903566961716E-2</v>
      </c>
      <c r="N1361" s="20">
        <v>1.2138957498717157E-3</v>
      </c>
      <c r="O1361" s="20">
        <v>9.1051944966052387E-2</v>
      </c>
      <c r="P1361" s="20"/>
      <c r="Q1361" s="20">
        <v>0.51</v>
      </c>
      <c r="R1361" s="20">
        <v>0.48999999999999988</v>
      </c>
      <c r="S1361" s="20"/>
      <c r="T1361" s="20"/>
    </row>
    <row r="1362" spans="13:20" x14ac:dyDescent="0.2">
      <c r="M1362" s="20">
        <v>1.774207684011481E-2</v>
      </c>
      <c r="N1362" s="20">
        <v>1.2650248744221629E-3</v>
      </c>
      <c r="O1362" s="20">
        <v>7.1300833934049013E-2</v>
      </c>
      <c r="P1362" s="20"/>
      <c r="Q1362" s="20">
        <v>0.9</v>
      </c>
      <c r="R1362" s="20">
        <v>9.9999999999999978E-2</v>
      </c>
      <c r="S1362" s="20"/>
      <c r="T1362" s="20"/>
    </row>
    <row r="1363" spans="13:20" x14ac:dyDescent="0.2">
      <c r="M1363" s="20">
        <v>1.4273481573858949E-2</v>
      </c>
      <c r="N1363" s="20">
        <v>2.501474687414529E-3</v>
      </c>
      <c r="O1363" s="20">
        <v>0.17525329573380571</v>
      </c>
      <c r="P1363" s="20">
        <v>0.93</v>
      </c>
      <c r="Q1363" s="20">
        <v>6.9999999999999951E-2</v>
      </c>
      <c r="R1363" s="20"/>
      <c r="S1363" s="20"/>
      <c r="T1363" s="20"/>
    </row>
    <row r="1364" spans="13:20" x14ac:dyDescent="0.2">
      <c r="M1364" s="20">
        <v>1.3876992723142755E-2</v>
      </c>
      <c r="N1364" s="20">
        <v>2.3304702018905219E-3</v>
      </c>
      <c r="O1364" s="20">
        <v>0.16793769719313761</v>
      </c>
      <c r="P1364" s="20">
        <v>0.8</v>
      </c>
      <c r="Q1364" s="20">
        <v>0.19999999999999996</v>
      </c>
      <c r="R1364" s="20"/>
      <c r="S1364" s="20"/>
      <c r="T1364" s="20"/>
    </row>
    <row r="1365" spans="13:20" x14ac:dyDescent="0.2">
      <c r="M1365" s="20">
        <v>1.311222607108241E-2</v>
      </c>
      <c r="N1365" s="20">
        <v>2.068741540459179E-3</v>
      </c>
      <c r="O1365" s="20">
        <v>0.15777195491020121</v>
      </c>
      <c r="P1365" s="20">
        <v>0.61</v>
      </c>
      <c r="Q1365" s="20">
        <v>0.3</v>
      </c>
      <c r="R1365" s="20">
        <v>9.000000000000008E-2</v>
      </c>
      <c r="S1365" s="20"/>
      <c r="T1365" s="20"/>
    </row>
    <row r="1366" spans="13:20" x14ac:dyDescent="0.2">
      <c r="M1366" s="20">
        <v>1.2127627103412192E-2</v>
      </c>
      <c r="N1366" s="20">
        <v>1.8022118840204959E-3</v>
      </c>
      <c r="O1366" s="20">
        <v>0.14860383392835613</v>
      </c>
      <c r="P1366" s="20">
        <v>0.33999999999999997</v>
      </c>
      <c r="Q1366" s="20"/>
      <c r="R1366" s="20">
        <v>0.08</v>
      </c>
      <c r="S1366" s="20">
        <v>0.06</v>
      </c>
      <c r="T1366" s="20">
        <v>0.52</v>
      </c>
    </row>
    <row r="1367" spans="13:20" x14ac:dyDescent="0.2">
      <c r="M1367" s="20">
        <v>1.4424381543904505E-2</v>
      </c>
      <c r="N1367" s="20">
        <v>1.4751309050069024E-3</v>
      </c>
      <c r="O1367" s="20">
        <v>0.10226649236342943</v>
      </c>
      <c r="P1367" s="20">
        <v>0.08</v>
      </c>
      <c r="Q1367" s="20">
        <v>0.56000000000000005</v>
      </c>
      <c r="R1367" s="20"/>
      <c r="S1367" s="20"/>
      <c r="T1367" s="20">
        <v>0.36</v>
      </c>
    </row>
    <row r="1368" spans="13:20" x14ac:dyDescent="0.2">
      <c r="M1368" s="20">
        <v>1.3055337979926206E-2</v>
      </c>
      <c r="N1368" s="20">
        <v>1.5928904140806869E-3</v>
      </c>
      <c r="O1368" s="20">
        <v>0.12201066081398305</v>
      </c>
      <c r="P1368" s="20">
        <v>0.32</v>
      </c>
      <c r="Q1368" s="20">
        <v>0.44</v>
      </c>
      <c r="R1368" s="20">
        <v>0.12</v>
      </c>
      <c r="S1368" s="20">
        <v>0.12000000000000011</v>
      </c>
      <c r="T1368" s="20"/>
    </row>
    <row r="1369" spans="13:20" x14ac:dyDescent="0.2">
      <c r="M1369" s="20">
        <v>1.2727914869352489E-2</v>
      </c>
      <c r="N1369" s="20">
        <v>1.2047187275165073E-3</v>
      </c>
      <c r="O1369" s="20">
        <v>9.4651695889115844E-2</v>
      </c>
      <c r="P1369" s="20"/>
      <c r="Q1369" s="20">
        <v>0.44</v>
      </c>
      <c r="R1369" s="20">
        <v>0.55999999999999994</v>
      </c>
      <c r="S1369" s="20"/>
      <c r="T1369" s="20"/>
    </row>
    <row r="1370" spans="13:20" x14ac:dyDescent="0.2">
      <c r="M1370" s="20">
        <v>1.8928536094734424E-2</v>
      </c>
      <c r="N1370" s="20">
        <v>1.2768239031645738E-3</v>
      </c>
      <c r="O1370" s="20">
        <v>6.745497363210054E-2</v>
      </c>
      <c r="P1370" s="20"/>
      <c r="Q1370" s="20">
        <v>0.99</v>
      </c>
      <c r="R1370" s="20">
        <v>1.0000000000000009E-2</v>
      </c>
      <c r="S1370" s="20"/>
      <c r="T1370" s="20"/>
    </row>
    <row r="1371" spans="13:20" x14ac:dyDescent="0.2">
      <c r="M1371" s="20">
        <v>1.066857799128024E-2</v>
      </c>
      <c r="N1371" s="20">
        <v>1.5982903121968017E-3</v>
      </c>
      <c r="O1371" s="20">
        <v>0.1498128722968641</v>
      </c>
      <c r="P1371" s="20">
        <v>0.48</v>
      </c>
      <c r="Q1371" s="20"/>
      <c r="R1371" s="20"/>
      <c r="S1371" s="20">
        <v>0.44</v>
      </c>
      <c r="T1371" s="20">
        <v>0.08</v>
      </c>
    </row>
    <row r="1372" spans="13:20" x14ac:dyDescent="0.2">
      <c r="M1372" s="20">
        <v>9.6678964903074097E-3</v>
      </c>
      <c r="N1372" s="20">
        <v>1.1089232088144813E-3</v>
      </c>
      <c r="O1372" s="20">
        <v>0.11470160131795339</v>
      </c>
      <c r="P1372" s="20"/>
      <c r="Q1372" s="20"/>
      <c r="R1372" s="20">
        <v>0.55000000000000004</v>
      </c>
      <c r="S1372" s="20">
        <v>0.21</v>
      </c>
      <c r="T1372" s="20">
        <v>0.24</v>
      </c>
    </row>
    <row r="1373" spans="13:20" x14ac:dyDescent="0.2">
      <c r="M1373" s="20">
        <v>1.3842810103737418E-2</v>
      </c>
      <c r="N1373" s="20">
        <v>1.8511876654240408E-3</v>
      </c>
      <c r="O1373" s="20">
        <v>0.13372918154271574</v>
      </c>
      <c r="P1373" s="20">
        <v>0.29999999999999993</v>
      </c>
      <c r="Q1373" s="20"/>
      <c r="R1373" s="20"/>
      <c r="S1373" s="20"/>
      <c r="T1373" s="20">
        <v>0.7</v>
      </c>
    </row>
    <row r="1374" spans="13:20" x14ac:dyDescent="0.2">
      <c r="M1374" s="20">
        <v>1.1542606659934798E-2</v>
      </c>
      <c r="N1374" s="20">
        <v>1.1470153503412438E-3</v>
      </c>
      <c r="O1374" s="20">
        <v>9.9372298141512078E-2</v>
      </c>
      <c r="P1374" s="20"/>
      <c r="Q1374" s="20">
        <v>0.32</v>
      </c>
      <c r="R1374" s="20">
        <v>0.24</v>
      </c>
      <c r="S1374" s="20">
        <v>0.21</v>
      </c>
      <c r="T1374" s="20">
        <v>0.22999999999999998</v>
      </c>
    </row>
    <row r="1375" spans="13:20" x14ac:dyDescent="0.2">
      <c r="M1375" s="20">
        <v>1.1450257298571178E-2</v>
      </c>
      <c r="N1375" s="20">
        <v>1.1434829736172462E-3</v>
      </c>
      <c r="O1375" s="20">
        <v>9.9865264491474426E-2</v>
      </c>
      <c r="P1375" s="20">
        <v>0.01</v>
      </c>
      <c r="Q1375" s="20">
        <v>0.28999999999999998</v>
      </c>
      <c r="R1375" s="20">
        <v>0.61</v>
      </c>
      <c r="S1375" s="20">
        <v>9.0000000000000191E-2</v>
      </c>
      <c r="T1375" s="20"/>
    </row>
    <row r="1376" spans="13:20" x14ac:dyDescent="0.2">
      <c r="M1376" s="20">
        <v>1.1587741928176389E-2</v>
      </c>
      <c r="N1376" s="20">
        <v>1.3127241137395902E-3</v>
      </c>
      <c r="O1376" s="20">
        <v>0.11328558418682172</v>
      </c>
      <c r="P1376" s="20">
        <v>0.11</v>
      </c>
      <c r="Q1376" s="20">
        <v>0.29999999999999993</v>
      </c>
      <c r="R1376" s="20">
        <v>0.1</v>
      </c>
      <c r="S1376" s="20">
        <v>0.22</v>
      </c>
      <c r="T1376" s="20">
        <v>0.27</v>
      </c>
    </row>
    <row r="1377" spans="13:20" x14ac:dyDescent="0.2">
      <c r="M1377" s="20">
        <v>1.297975033704595E-2</v>
      </c>
      <c r="N1377" s="20">
        <v>1.5302113485834304E-3</v>
      </c>
      <c r="O1377" s="20">
        <v>0.11789220199528815</v>
      </c>
      <c r="P1377" s="20">
        <v>0.14000000000000001</v>
      </c>
      <c r="Q1377" s="20"/>
      <c r="R1377" s="20"/>
      <c r="S1377" s="20">
        <v>0.15</v>
      </c>
      <c r="T1377" s="20">
        <v>0.71</v>
      </c>
    </row>
    <row r="1378" spans="13:20" x14ac:dyDescent="0.2">
      <c r="M1378" s="20">
        <v>9.3257178490704726E-3</v>
      </c>
      <c r="N1378" s="20">
        <v>1.2119821352767641E-3</v>
      </c>
      <c r="O1378" s="20">
        <v>0.12996126999462748</v>
      </c>
      <c r="P1378" s="20">
        <v>0.16000000000000014</v>
      </c>
      <c r="Q1378" s="20"/>
      <c r="R1378" s="20">
        <v>0.2</v>
      </c>
      <c r="S1378" s="20">
        <v>0.41</v>
      </c>
      <c r="T1378" s="20">
        <v>0.23</v>
      </c>
    </row>
    <row r="1379" spans="13:20" x14ac:dyDescent="0.2">
      <c r="M1379" s="20">
        <v>1.5298716201155593E-2</v>
      </c>
      <c r="N1379" s="20">
        <v>1.2388048105501385E-3</v>
      </c>
      <c r="O1379" s="20">
        <v>8.0974429112984331E-2</v>
      </c>
      <c r="P1379" s="20"/>
      <c r="Q1379" s="20">
        <v>0.7</v>
      </c>
      <c r="R1379" s="20">
        <v>0.29999999999999993</v>
      </c>
      <c r="S1379" s="20"/>
      <c r="T1379" s="20"/>
    </row>
    <row r="1380" spans="13:20" x14ac:dyDescent="0.2">
      <c r="M1380" s="20">
        <v>1.4639563893888013E-2</v>
      </c>
      <c r="N1380" s="20">
        <v>1.3900559296538425E-3</v>
      </c>
      <c r="O1380" s="20">
        <v>9.4952004016607888E-2</v>
      </c>
      <c r="P1380" s="20">
        <v>0.11</v>
      </c>
      <c r="Q1380" s="20">
        <v>0.64</v>
      </c>
      <c r="R1380" s="20">
        <v>0.25</v>
      </c>
      <c r="S1380" s="20"/>
      <c r="T1380" s="20"/>
    </row>
    <row r="1381" spans="13:20" x14ac:dyDescent="0.2">
      <c r="M1381" s="20">
        <v>1.1752377308224945E-2</v>
      </c>
      <c r="N1381" s="20">
        <v>5.4931831624606842E-4</v>
      </c>
      <c r="O1381" s="20">
        <v>4.6741038160987722E-2</v>
      </c>
      <c r="P1381" s="20"/>
      <c r="Q1381" s="20"/>
      <c r="R1381" s="20">
        <v>0.04</v>
      </c>
      <c r="S1381" s="20">
        <v>0.96</v>
      </c>
      <c r="T1381" s="20"/>
    </row>
    <row r="1382" spans="13:20" x14ac:dyDescent="0.2">
      <c r="M1382" s="20">
        <v>1.3427441715263081E-2</v>
      </c>
      <c r="N1382" s="20">
        <v>2.0055925908756098E-3</v>
      </c>
      <c r="O1382" s="20">
        <v>0.14936520548034377</v>
      </c>
      <c r="P1382" s="20">
        <v>0.56000000000000005</v>
      </c>
      <c r="Q1382" s="20">
        <v>0.37</v>
      </c>
      <c r="R1382" s="20">
        <v>6.9999999999999951E-2</v>
      </c>
      <c r="S1382" s="20"/>
      <c r="T1382" s="20"/>
    </row>
    <row r="1383" spans="13:20" x14ac:dyDescent="0.2">
      <c r="M1383" s="20">
        <v>1.2858534473618552E-2</v>
      </c>
      <c r="N1383" s="20">
        <v>1.0241586040601785E-3</v>
      </c>
      <c r="O1383" s="20">
        <v>7.9648159450939934E-2</v>
      </c>
      <c r="P1383" s="20"/>
      <c r="Q1383" s="20">
        <v>0.44</v>
      </c>
      <c r="R1383" s="20">
        <v>0.27</v>
      </c>
      <c r="S1383" s="20">
        <v>0.28999999999999992</v>
      </c>
      <c r="T1383" s="20"/>
    </row>
    <row r="1384" spans="13:20" x14ac:dyDescent="0.2">
      <c r="M1384" s="20">
        <v>1.4123718142303428E-2</v>
      </c>
      <c r="N1384" s="20">
        <v>2.0279238044249724E-3</v>
      </c>
      <c r="O1384" s="20">
        <v>0.14358285714800026</v>
      </c>
      <c r="P1384" s="20">
        <v>0.56999999999999995</v>
      </c>
      <c r="Q1384" s="20">
        <v>0.43000000000000016</v>
      </c>
      <c r="R1384" s="20"/>
      <c r="S1384" s="20"/>
      <c r="T1384" s="20"/>
    </row>
    <row r="1385" spans="13:20" x14ac:dyDescent="0.2">
      <c r="M1385" s="20">
        <v>1.4148879873072288E-2</v>
      </c>
      <c r="N1385" s="20">
        <v>2.4620121138320657E-3</v>
      </c>
      <c r="O1385" s="20">
        <v>0.17400756356110503</v>
      </c>
      <c r="P1385" s="20">
        <v>0.9</v>
      </c>
      <c r="Q1385" s="20">
        <v>0.10000000000000009</v>
      </c>
      <c r="R1385" s="20"/>
      <c r="S1385" s="20"/>
      <c r="T1385" s="20"/>
    </row>
    <row r="1386" spans="13:20" x14ac:dyDescent="0.2">
      <c r="M1386" s="20">
        <v>9.6663333915812076E-3</v>
      </c>
      <c r="N1386" s="20">
        <v>9.5687652022076984E-4</v>
      </c>
      <c r="O1386" s="20">
        <v>9.8990639103566549E-2</v>
      </c>
      <c r="P1386" s="20"/>
      <c r="Q1386" s="20"/>
      <c r="R1386" s="20">
        <v>0.16</v>
      </c>
      <c r="S1386" s="20">
        <v>0.51</v>
      </c>
      <c r="T1386" s="20">
        <v>0.32999999999999996</v>
      </c>
    </row>
    <row r="1387" spans="13:20" x14ac:dyDescent="0.2">
      <c r="M1387" s="20">
        <v>1.4720182860170506E-2</v>
      </c>
      <c r="N1387" s="20">
        <v>1.1749028910055326E-3</v>
      </c>
      <c r="O1387" s="20">
        <v>7.9815780969987454E-2</v>
      </c>
      <c r="P1387" s="20">
        <v>0</v>
      </c>
      <c r="Q1387" s="20">
        <v>0.64</v>
      </c>
      <c r="R1387" s="20">
        <v>0.27</v>
      </c>
      <c r="S1387" s="20">
        <v>8.9999999999999969E-2</v>
      </c>
      <c r="T1387" s="20"/>
    </row>
    <row r="1388" spans="13:20" x14ac:dyDescent="0.2">
      <c r="M1388" s="20">
        <v>1.4302584555678085E-2</v>
      </c>
      <c r="N1388" s="20">
        <v>1.3918242483356594E-3</v>
      </c>
      <c r="O1388" s="20">
        <v>9.7312778883947182E-2</v>
      </c>
      <c r="P1388" s="20"/>
      <c r="Q1388" s="20"/>
      <c r="R1388" s="20"/>
      <c r="S1388" s="20">
        <v>0.14000000000000001</v>
      </c>
      <c r="T1388" s="20">
        <v>0.86</v>
      </c>
    </row>
    <row r="1389" spans="13:20" x14ac:dyDescent="0.2">
      <c r="M1389" s="20">
        <v>1.1001611278064451E-2</v>
      </c>
      <c r="N1389" s="20">
        <v>1.2208620682002858E-3</v>
      </c>
      <c r="O1389" s="20">
        <v>0.11097120570279555</v>
      </c>
      <c r="P1389" s="20"/>
      <c r="Q1389" s="20"/>
      <c r="R1389" s="20">
        <v>0.26</v>
      </c>
      <c r="S1389" s="20">
        <v>0.21</v>
      </c>
      <c r="T1389" s="20">
        <v>0.53000000000000014</v>
      </c>
    </row>
    <row r="1390" spans="13:20" x14ac:dyDescent="0.2">
      <c r="M1390" s="20">
        <v>1.0267488646913093E-2</v>
      </c>
      <c r="N1390" s="20">
        <v>7.967401108292505E-4</v>
      </c>
      <c r="O1390" s="20">
        <v>7.7598343492572497E-2</v>
      </c>
      <c r="P1390" s="20"/>
      <c r="Q1390" s="20"/>
      <c r="R1390" s="20"/>
      <c r="S1390" s="20">
        <v>0.73</v>
      </c>
      <c r="T1390" s="20">
        <v>0.27</v>
      </c>
    </row>
    <row r="1391" spans="13:20" x14ac:dyDescent="0.2">
      <c r="M1391" s="20">
        <v>1.0111038660449708E-2</v>
      </c>
      <c r="N1391" s="20">
        <v>1.0287365750783904E-3</v>
      </c>
      <c r="O1391" s="20">
        <v>0.10174390679588553</v>
      </c>
      <c r="P1391" s="20"/>
      <c r="Q1391" s="20"/>
      <c r="R1391" s="20">
        <v>0.81</v>
      </c>
      <c r="S1391" s="20">
        <v>0.19000000000000006</v>
      </c>
      <c r="T1391" s="20"/>
    </row>
    <row r="1392" spans="13:20" x14ac:dyDescent="0.2">
      <c r="M1392" s="20">
        <v>1.4054415181796755E-2</v>
      </c>
      <c r="N1392" s="20">
        <v>2.054232186813281E-3</v>
      </c>
      <c r="O1392" s="20">
        <v>0.14616276524077057</v>
      </c>
      <c r="P1392" s="20">
        <v>0.59</v>
      </c>
      <c r="Q1392" s="20">
        <v>0.41000000000000014</v>
      </c>
      <c r="R1392" s="20"/>
      <c r="S1392" s="20"/>
      <c r="T1392" s="20"/>
    </row>
    <row r="1393" spans="13:20" x14ac:dyDescent="0.2">
      <c r="M1393" s="20">
        <v>1.136999368363986E-2</v>
      </c>
      <c r="N1393" s="20">
        <v>1.1295837809599538E-3</v>
      </c>
      <c r="O1393" s="20">
        <v>9.9347793181740959E-2</v>
      </c>
      <c r="P1393" s="20"/>
      <c r="Q1393" s="20"/>
      <c r="R1393" s="20"/>
      <c r="S1393" s="20">
        <v>0.4</v>
      </c>
      <c r="T1393" s="20">
        <v>0.60000000000000009</v>
      </c>
    </row>
    <row r="1394" spans="13:20" x14ac:dyDescent="0.2">
      <c r="M1394" s="20">
        <v>1.0744266522931405E-2</v>
      </c>
      <c r="N1394" s="20">
        <v>6.9639745450496228E-4</v>
      </c>
      <c r="O1394" s="20">
        <v>6.4815727813401364E-2</v>
      </c>
      <c r="P1394" s="20">
        <v>1.0000000000000009E-2</v>
      </c>
      <c r="Q1394" s="20"/>
      <c r="R1394" s="20"/>
      <c r="S1394" s="20">
        <v>0.84</v>
      </c>
      <c r="T1394" s="20">
        <v>0.15</v>
      </c>
    </row>
    <row r="1395" spans="13:20" x14ac:dyDescent="0.2">
      <c r="M1395" s="20">
        <v>1.5757614238489263E-2</v>
      </c>
      <c r="N1395" s="20">
        <v>1.6859148333769596E-3</v>
      </c>
      <c r="O1395" s="20">
        <v>0.10699048776425651</v>
      </c>
      <c r="P1395" s="20">
        <v>0.31</v>
      </c>
      <c r="Q1395" s="20">
        <v>0.69000000000000006</v>
      </c>
      <c r="R1395" s="20"/>
      <c r="S1395" s="20"/>
      <c r="T1395" s="20"/>
    </row>
    <row r="1396" spans="13:20" x14ac:dyDescent="0.2">
      <c r="M1396" s="20">
        <v>1.3834362163160023E-2</v>
      </c>
      <c r="N1396" s="20">
        <v>2.1989282899489791E-3</v>
      </c>
      <c r="O1396" s="20">
        <v>0.15894685017026497</v>
      </c>
      <c r="P1396" s="20">
        <v>0.7</v>
      </c>
      <c r="Q1396" s="20">
        <v>0.30000000000000016</v>
      </c>
      <c r="R1396" s="20"/>
      <c r="S1396" s="20"/>
      <c r="T1396" s="20"/>
    </row>
    <row r="1397" spans="13:20" x14ac:dyDescent="0.2">
      <c r="M1397" s="20">
        <v>1.3876992723142755E-2</v>
      </c>
      <c r="N1397" s="20">
        <v>2.3304702018905219E-3</v>
      </c>
      <c r="O1397" s="20">
        <v>0.16793769719313761</v>
      </c>
      <c r="P1397" s="20">
        <v>0.8</v>
      </c>
      <c r="Q1397" s="20">
        <v>0.19999999999999996</v>
      </c>
      <c r="R1397" s="20"/>
      <c r="S1397" s="20"/>
      <c r="T1397" s="20"/>
    </row>
    <row r="1398" spans="13:20" x14ac:dyDescent="0.2">
      <c r="M1398" s="20">
        <v>1.561852098904238E-2</v>
      </c>
      <c r="N1398" s="20">
        <v>1.6072672898806114E-3</v>
      </c>
      <c r="O1398" s="20">
        <v>0.1029077779521016</v>
      </c>
      <c r="P1398" s="20">
        <v>6.9999999999999951E-2</v>
      </c>
      <c r="Q1398" s="20"/>
      <c r="R1398" s="20"/>
      <c r="S1398" s="20"/>
      <c r="T1398" s="20">
        <v>0.93</v>
      </c>
    </row>
    <row r="1399" spans="13:20" x14ac:dyDescent="0.2">
      <c r="M1399" s="20">
        <v>1.2714261754007972E-2</v>
      </c>
      <c r="N1399" s="20">
        <v>1.8561930458175979E-3</v>
      </c>
      <c r="O1399" s="20">
        <v>0.14599298659495208</v>
      </c>
      <c r="P1399" s="20">
        <v>0.36</v>
      </c>
      <c r="Q1399" s="20">
        <v>0.23000000000000009</v>
      </c>
      <c r="R1399" s="20"/>
      <c r="S1399" s="20"/>
      <c r="T1399" s="20">
        <v>0.41</v>
      </c>
    </row>
    <row r="1400" spans="13:20" x14ac:dyDescent="0.2">
      <c r="M1400" s="20">
        <v>1.049835125197526E-2</v>
      </c>
      <c r="N1400" s="20">
        <v>1.0785462643077225E-3</v>
      </c>
      <c r="O1400" s="20">
        <v>0.10273482363288183</v>
      </c>
      <c r="P1400" s="20"/>
      <c r="Q1400" s="20"/>
      <c r="R1400" s="20">
        <v>0.89</v>
      </c>
      <c r="S1400" s="20">
        <v>0.10999999999999999</v>
      </c>
      <c r="T1400" s="20"/>
    </row>
    <row r="1401" spans="13:20" x14ac:dyDescent="0.2">
      <c r="M1401" s="20">
        <v>1.0032851212008101E-2</v>
      </c>
      <c r="N1401" s="20">
        <v>1.2030773593212343E-3</v>
      </c>
      <c r="O1401" s="20">
        <v>0.11991380455052471</v>
      </c>
      <c r="P1401" s="20">
        <v>0.25</v>
      </c>
      <c r="Q1401" s="20"/>
      <c r="R1401" s="20"/>
      <c r="S1401" s="20">
        <v>0.59</v>
      </c>
      <c r="T1401" s="20">
        <v>0.16</v>
      </c>
    </row>
    <row r="1402" spans="13:20" x14ac:dyDescent="0.2">
      <c r="M1402" s="20">
        <v>1.5904108076560286E-2</v>
      </c>
      <c r="N1402" s="20">
        <v>1.5754515887227729E-3</v>
      </c>
      <c r="O1402" s="20">
        <v>9.905941163998358E-2</v>
      </c>
      <c r="P1402" s="20">
        <v>4.0000000000000036E-2</v>
      </c>
      <c r="Q1402" s="20"/>
      <c r="R1402" s="20"/>
      <c r="S1402" s="20"/>
      <c r="T1402" s="20">
        <v>0.96</v>
      </c>
    </row>
    <row r="1403" spans="13:20" x14ac:dyDescent="0.2">
      <c r="M1403" s="20">
        <v>1.1107854694294931E-2</v>
      </c>
      <c r="N1403" s="20">
        <v>6.0535421662906712E-4</v>
      </c>
      <c r="O1403" s="20">
        <v>5.4497851591449174E-2</v>
      </c>
      <c r="P1403" s="20"/>
      <c r="Q1403" s="20"/>
      <c r="R1403" s="20">
        <v>0.13</v>
      </c>
      <c r="S1403" s="20">
        <v>0.86999999999999988</v>
      </c>
      <c r="T1403" s="20"/>
    </row>
    <row r="1404" spans="13:20" x14ac:dyDescent="0.2">
      <c r="M1404" s="20">
        <v>9.4609605039112313E-3</v>
      </c>
      <c r="N1404" s="20">
        <v>8.5116387198863239E-4</v>
      </c>
      <c r="O1404" s="20">
        <v>8.9965904797589508E-2</v>
      </c>
      <c r="P1404" s="20"/>
      <c r="Q1404" s="20"/>
      <c r="R1404" s="20">
        <v>0.46</v>
      </c>
      <c r="S1404" s="20">
        <v>0.5</v>
      </c>
      <c r="T1404" s="20">
        <v>4.0000000000000036E-2</v>
      </c>
    </row>
    <row r="1405" spans="13:20" x14ac:dyDescent="0.2">
      <c r="M1405" s="20">
        <v>1.386228907498102E-2</v>
      </c>
      <c r="N1405" s="20">
        <v>2.3173160106963677E-3</v>
      </c>
      <c r="O1405" s="20">
        <v>0.16716690859366892</v>
      </c>
      <c r="P1405" s="20">
        <v>0.79</v>
      </c>
      <c r="Q1405" s="20">
        <v>0.20999999999999996</v>
      </c>
      <c r="R1405" s="20"/>
      <c r="S1405" s="20"/>
      <c r="T1405" s="20"/>
    </row>
    <row r="1406" spans="13:20" x14ac:dyDescent="0.2">
      <c r="M1406" s="20">
        <v>1.0602495561197554E-2</v>
      </c>
      <c r="N1406" s="20">
        <v>1.0186358909163857E-3</v>
      </c>
      <c r="O1406" s="20">
        <v>9.6075106566828938E-2</v>
      </c>
      <c r="P1406" s="20"/>
      <c r="Q1406" s="20"/>
      <c r="R1406" s="20"/>
      <c r="S1406" s="20">
        <v>0.51</v>
      </c>
      <c r="T1406" s="20">
        <v>0.48999999999999988</v>
      </c>
    </row>
    <row r="1407" spans="13:20" x14ac:dyDescent="0.2">
      <c r="M1407" s="20">
        <v>1.0293138345401874E-2</v>
      </c>
      <c r="N1407" s="20">
        <v>1.0536414196930565E-3</v>
      </c>
      <c r="O1407" s="20">
        <v>0.10236347597171241</v>
      </c>
      <c r="P1407" s="20"/>
      <c r="Q1407" s="20"/>
      <c r="R1407" s="20">
        <v>0.85</v>
      </c>
      <c r="S1407" s="20">
        <v>0.14999999999999991</v>
      </c>
      <c r="T1407" s="20"/>
    </row>
    <row r="1408" spans="13:20" x14ac:dyDescent="0.2">
      <c r="M1408" s="20">
        <v>1.0672671067407683E-2</v>
      </c>
      <c r="N1408" s="20">
        <v>6.6885866792849337E-4</v>
      </c>
      <c r="O1408" s="20">
        <v>6.2670222262453223E-2</v>
      </c>
      <c r="P1408" s="20"/>
      <c r="Q1408" s="20"/>
      <c r="R1408" s="20">
        <v>7.0000000000000007E-2</v>
      </c>
      <c r="S1408" s="20">
        <v>0.83</v>
      </c>
      <c r="T1408" s="20">
        <v>0.10000000000000009</v>
      </c>
    </row>
    <row r="1409" spans="13:20" x14ac:dyDescent="0.2">
      <c r="M1409" s="20">
        <v>1.2498435399144461E-2</v>
      </c>
      <c r="N1409" s="20">
        <v>1.9385547909693789E-3</v>
      </c>
      <c r="O1409" s="20">
        <v>0.15510379732026905</v>
      </c>
      <c r="P1409" s="20">
        <v>0.52</v>
      </c>
      <c r="Q1409" s="20">
        <v>0.3</v>
      </c>
      <c r="R1409" s="20">
        <v>0.17999999999999994</v>
      </c>
      <c r="S1409" s="20"/>
      <c r="T1409" s="20"/>
    </row>
    <row r="1410" spans="13:20" x14ac:dyDescent="0.2">
      <c r="M1410" s="20">
        <v>1.2425860470316605E-2</v>
      </c>
      <c r="N1410" s="20">
        <v>7.777279482369631E-4</v>
      </c>
      <c r="O1410" s="20">
        <v>6.2589464133677566E-2</v>
      </c>
      <c r="P1410" s="20"/>
      <c r="Q1410" s="20">
        <v>0.27</v>
      </c>
      <c r="R1410" s="20">
        <v>0.08</v>
      </c>
      <c r="S1410" s="20">
        <v>0.64999999999999991</v>
      </c>
      <c r="T1410" s="20"/>
    </row>
    <row r="1411" spans="13:20" x14ac:dyDescent="0.2">
      <c r="M1411" s="20">
        <v>1.4168542622972173E-2</v>
      </c>
      <c r="N1411" s="20">
        <v>1.3817380765135169E-3</v>
      </c>
      <c r="O1411" s="20">
        <v>9.7521538614228062E-2</v>
      </c>
      <c r="P1411" s="20"/>
      <c r="Q1411" s="20"/>
      <c r="R1411" s="20"/>
      <c r="S1411" s="20">
        <v>0.15</v>
      </c>
      <c r="T1411" s="20">
        <v>0.85000000000000009</v>
      </c>
    </row>
    <row r="1412" spans="13:20" x14ac:dyDescent="0.2">
      <c r="M1412" s="20">
        <v>1.8661079521685268E-2</v>
      </c>
      <c r="N1412" s="20">
        <v>1.2742018967773715E-3</v>
      </c>
      <c r="O1412" s="20">
        <v>6.8281253252078705E-2</v>
      </c>
      <c r="P1412" s="20"/>
      <c r="Q1412" s="20">
        <v>0.97</v>
      </c>
      <c r="R1412" s="20">
        <v>3.0000000000000138E-2</v>
      </c>
      <c r="S1412" s="20"/>
      <c r="T1412" s="20"/>
    </row>
    <row r="1413" spans="13:20" x14ac:dyDescent="0.2">
      <c r="M1413" s="20">
        <v>1.2418371488511375E-2</v>
      </c>
      <c r="N1413" s="20">
        <v>1.1994747147421026E-3</v>
      </c>
      <c r="O1413" s="20">
        <v>9.6588728711471908E-2</v>
      </c>
      <c r="P1413" s="20"/>
      <c r="Q1413" s="20">
        <v>0.4</v>
      </c>
      <c r="R1413" s="20">
        <v>0.60000000000000009</v>
      </c>
      <c r="S1413" s="20"/>
      <c r="T1413" s="20"/>
    </row>
    <row r="1414" spans="13:20" x14ac:dyDescent="0.2">
      <c r="M1414" s="20">
        <v>1.2161347700261043E-2</v>
      </c>
      <c r="N1414" s="20">
        <v>2.0042526980278228E-3</v>
      </c>
      <c r="O1414" s="20">
        <v>0.16480514721117639</v>
      </c>
      <c r="P1414" s="20">
        <v>0.56999999999999995</v>
      </c>
      <c r="Q1414" s="20">
        <v>0.22</v>
      </c>
      <c r="R1414" s="20">
        <v>0.19999999999999996</v>
      </c>
      <c r="S1414" s="20"/>
      <c r="T1414" s="20">
        <v>0.01</v>
      </c>
    </row>
    <row r="1415" spans="13:20" x14ac:dyDescent="0.2">
      <c r="M1415" s="20">
        <v>1.5528474120001454E-2</v>
      </c>
      <c r="N1415" s="20">
        <v>1.241426816937341E-3</v>
      </c>
      <c r="O1415" s="20">
        <v>7.9945190193434462E-2</v>
      </c>
      <c r="P1415" s="20"/>
      <c r="Q1415" s="20">
        <v>0.72</v>
      </c>
      <c r="R1415" s="20">
        <v>0.27999999999999992</v>
      </c>
      <c r="S1415" s="20"/>
      <c r="T1415" s="20"/>
    </row>
    <row r="1416" spans="13:20" x14ac:dyDescent="0.2">
      <c r="M1416" s="20">
        <v>1.3386296219863699E-2</v>
      </c>
      <c r="N1416" s="20">
        <v>1.7412656247408368E-3</v>
      </c>
      <c r="O1416" s="20">
        <v>0.13007822299322813</v>
      </c>
      <c r="P1416" s="20">
        <v>0.23</v>
      </c>
      <c r="Q1416" s="20">
        <v>0.1399999999999999</v>
      </c>
      <c r="R1416" s="20"/>
      <c r="S1416" s="20"/>
      <c r="T1416" s="20">
        <v>0.63</v>
      </c>
    </row>
    <row r="1417" spans="13:20" x14ac:dyDescent="0.2">
      <c r="M1417" s="20">
        <v>1.278526533182937E-2</v>
      </c>
      <c r="N1417" s="20">
        <v>1.9970194454628871E-3</v>
      </c>
      <c r="O1417" s="20">
        <v>0.15619694966292461</v>
      </c>
      <c r="P1417" s="20">
        <v>0.5</v>
      </c>
      <c r="Q1417" s="20">
        <v>0.26</v>
      </c>
      <c r="R1417" s="20"/>
      <c r="S1417" s="20"/>
      <c r="T1417" s="20">
        <v>0.24</v>
      </c>
    </row>
    <row r="1418" spans="13:20" x14ac:dyDescent="0.2">
      <c r="M1418" s="20">
        <v>1.0609211937929571E-2</v>
      </c>
      <c r="N1418" s="20">
        <v>1.0909986866150558E-3</v>
      </c>
      <c r="O1418" s="20">
        <v>0.10283503553308865</v>
      </c>
      <c r="P1418" s="20"/>
      <c r="Q1418" s="20"/>
      <c r="R1418" s="20">
        <v>0.91</v>
      </c>
      <c r="S1418" s="20">
        <v>0.09</v>
      </c>
      <c r="T1418" s="20">
        <v>0</v>
      </c>
    </row>
    <row r="1419" spans="13:20" x14ac:dyDescent="0.2">
      <c r="M1419" s="20">
        <v>1.0697669917458966E-2</v>
      </c>
      <c r="N1419" s="20">
        <v>1.0919851010580742E-3</v>
      </c>
      <c r="O1419" s="20">
        <v>0.10207691109219184</v>
      </c>
      <c r="P1419" s="20"/>
      <c r="Q1419" s="20">
        <v>0.15</v>
      </c>
      <c r="R1419" s="20">
        <v>0.73</v>
      </c>
      <c r="S1419" s="20">
        <v>0.12000000000000011</v>
      </c>
      <c r="T1419" s="20"/>
    </row>
    <row r="1420" spans="13:20" x14ac:dyDescent="0.2">
      <c r="M1420" s="20">
        <v>1.3424167007732985E-2</v>
      </c>
      <c r="N1420" s="20">
        <v>1.2152067530653171E-3</v>
      </c>
      <c r="O1420" s="20">
        <v>9.052381070388188E-2</v>
      </c>
      <c r="P1420" s="20"/>
      <c r="Q1420" s="20">
        <v>0.52</v>
      </c>
      <c r="R1420" s="20">
        <v>0.48</v>
      </c>
      <c r="S1420" s="20"/>
      <c r="T1420" s="20"/>
    </row>
    <row r="1421" spans="13:20" x14ac:dyDescent="0.2">
      <c r="M1421" s="20">
        <v>1.3834362163160021E-2</v>
      </c>
      <c r="N1421" s="20">
        <v>2.1989282899489786E-3</v>
      </c>
      <c r="O1421" s="20">
        <v>0.15894685017026497</v>
      </c>
      <c r="P1421" s="20">
        <v>0.7</v>
      </c>
      <c r="Q1421" s="20">
        <v>0.30000000000000004</v>
      </c>
      <c r="R1421" s="20"/>
      <c r="S1421" s="20"/>
      <c r="T1421" s="20"/>
    </row>
    <row r="1422" spans="13:20" x14ac:dyDescent="0.2">
      <c r="M1422" s="20">
        <v>1.2766285171527555E-2</v>
      </c>
      <c r="N1422" s="20">
        <v>2.3145920657426525E-3</v>
      </c>
      <c r="O1422" s="20">
        <v>0.18130505739483641</v>
      </c>
      <c r="P1422" s="20">
        <v>0.8</v>
      </c>
      <c r="Q1422" s="20">
        <v>0.02</v>
      </c>
      <c r="R1422" s="20">
        <v>0.16000000000000003</v>
      </c>
      <c r="S1422" s="20"/>
      <c r="T1422" s="20">
        <v>0.02</v>
      </c>
    </row>
    <row r="1423" spans="13:20" x14ac:dyDescent="0.2">
      <c r="M1423" s="20">
        <v>1.3920174483762862E-2</v>
      </c>
      <c r="N1423" s="20">
        <v>2.1200031427840525E-3</v>
      </c>
      <c r="O1423" s="20">
        <v>0.15229716734204177</v>
      </c>
      <c r="P1423" s="20">
        <v>0.64</v>
      </c>
      <c r="Q1423" s="20">
        <v>0.35999999999999988</v>
      </c>
      <c r="R1423" s="20"/>
      <c r="S1423" s="20"/>
      <c r="T1423" s="20"/>
    </row>
    <row r="1424" spans="13:20" x14ac:dyDescent="0.2">
      <c r="M1424" s="20">
        <v>1.0862551636796093E-2</v>
      </c>
      <c r="N1424" s="20">
        <v>1.1001978057954313E-3</v>
      </c>
      <c r="O1424" s="20">
        <v>0.10128355128537132</v>
      </c>
      <c r="P1424" s="20"/>
      <c r="Q1424" s="20"/>
      <c r="R1424" s="20">
        <v>0.05</v>
      </c>
      <c r="S1424" s="20">
        <v>0.41</v>
      </c>
      <c r="T1424" s="20">
        <v>0.54</v>
      </c>
    </row>
    <row r="1425" spans="13:20" x14ac:dyDescent="0.2">
      <c r="M1425" s="20">
        <v>7.3437512477625665E-3</v>
      </c>
      <c r="N1425" s="20">
        <v>8.3548866094751146E-4</v>
      </c>
      <c r="O1425" s="20">
        <v>0.11376864939455313</v>
      </c>
      <c r="P1425" s="20">
        <v>0.13</v>
      </c>
      <c r="Q1425" s="20">
        <v>0.28999999999999998</v>
      </c>
      <c r="R1425" s="20">
        <v>0.08</v>
      </c>
      <c r="S1425" s="20">
        <v>0.01</v>
      </c>
      <c r="T1425" s="20">
        <v>0.02</v>
      </c>
    </row>
    <row r="1426" spans="13:20" x14ac:dyDescent="0.2">
      <c r="M1426" s="20">
        <v>1.3842810103737418E-2</v>
      </c>
      <c r="N1426" s="20">
        <v>1.8511876654240408E-3</v>
      </c>
      <c r="O1426" s="20">
        <v>0.13372918154271574</v>
      </c>
      <c r="P1426" s="20">
        <v>0.29999999999999993</v>
      </c>
      <c r="Q1426" s="20"/>
      <c r="R1426" s="20"/>
      <c r="S1426" s="20"/>
      <c r="T1426" s="20">
        <v>0.7</v>
      </c>
    </row>
    <row r="1427" spans="13:20" x14ac:dyDescent="0.2">
      <c r="M1427" s="20">
        <v>1.4912738377618208E-2</v>
      </c>
      <c r="N1427" s="20">
        <v>1.6921091596348479E-3</v>
      </c>
      <c r="O1427" s="20">
        <v>0.11346736707823232</v>
      </c>
      <c r="P1427" s="20">
        <v>0.15000000000000002</v>
      </c>
      <c r="Q1427" s="20"/>
      <c r="R1427" s="20"/>
      <c r="S1427" s="20"/>
      <c r="T1427" s="20">
        <v>0.85</v>
      </c>
    </row>
    <row r="1428" spans="13:20" x14ac:dyDescent="0.2">
      <c r="M1428" s="20">
        <v>9.9456205049447115E-3</v>
      </c>
      <c r="N1428" s="20">
        <v>1.2630753283569525E-3</v>
      </c>
      <c r="O1428" s="20">
        <v>0.12699814232093246</v>
      </c>
      <c r="P1428" s="20">
        <v>0.24</v>
      </c>
      <c r="Q1428" s="20"/>
      <c r="R1428" s="20"/>
      <c r="S1428" s="20">
        <v>0.52</v>
      </c>
      <c r="T1428" s="20">
        <v>0.24</v>
      </c>
    </row>
    <row r="1429" spans="13:20" x14ac:dyDescent="0.2">
      <c r="M1429" s="20">
        <v>1.3140044380384162E-2</v>
      </c>
      <c r="N1429" s="20">
        <v>2.0208714049325138E-3</v>
      </c>
      <c r="O1429" s="20">
        <v>0.15379486906066536</v>
      </c>
      <c r="P1429" s="20">
        <v>0.46000000000000008</v>
      </c>
      <c r="Q1429" s="20"/>
      <c r="R1429" s="20"/>
      <c r="S1429" s="20"/>
      <c r="T1429" s="20">
        <v>0.54</v>
      </c>
    </row>
    <row r="1430" spans="13:20" x14ac:dyDescent="0.2">
      <c r="M1430" s="20">
        <v>1.6100360939876667E-2</v>
      </c>
      <c r="N1430" s="20">
        <v>1.5542411212842138E-3</v>
      </c>
      <c r="O1430" s="20">
        <v>9.6534551435722024E-2</v>
      </c>
      <c r="P1430" s="20">
        <v>2.0000000000000018E-2</v>
      </c>
      <c r="Q1430" s="20"/>
      <c r="R1430" s="20"/>
      <c r="S1430" s="20"/>
      <c r="T1430" s="20">
        <v>0.98</v>
      </c>
    </row>
    <row r="1431" spans="13:20" x14ac:dyDescent="0.2">
      <c r="M1431" s="20">
        <v>1.0073239684238847E-2</v>
      </c>
      <c r="N1431" s="20">
        <v>1.1741727407177177E-3</v>
      </c>
      <c r="O1431" s="20">
        <v>0.1165635661935945</v>
      </c>
      <c r="P1431" s="20"/>
      <c r="Q1431" s="20"/>
      <c r="R1431" s="20">
        <v>0.59</v>
      </c>
      <c r="S1431" s="20">
        <v>0.13</v>
      </c>
      <c r="T1431" s="20">
        <v>0.28000000000000003</v>
      </c>
    </row>
    <row r="1432" spans="13:20" x14ac:dyDescent="0.2">
      <c r="M1432" s="20">
        <v>1.6977970946010546E-2</v>
      </c>
      <c r="N1432" s="20">
        <v>1.2571588552605555E-3</v>
      </c>
      <c r="O1432" s="20">
        <v>7.4046472293908622E-2</v>
      </c>
      <c r="P1432" s="20"/>
      <c r="Q1432" s="20">
        <v>0.84</v>
      </c>
      <c r="R1432" s="20">
        <v>0.15999999999999992</v>
      </c>
      <c r="S1432" s="20"/>
      <c r="T1432" s="20"/>
    </row>
    <row r="1433" spans="13:20" x14ac:dyDescent="0.2">
      <c r="M1433" s="20">
        <v>1.3598469547583389E-2</v>
      </c>
      <c r="N1433" s="20">
        <v>2.4133725178943945E-3</v>
      </c>
      <c r="O1433" s="20">
        <v>0.17747383331996208</v>
      </c>
      <c r="P1433" s="20">
        <v>0.87</v>
      </c>
      <c r="Q1433" s="20">
        <v>0.06</v>
      </c>
      <c r="R1433" s="20">
        <v>7.0000000000000062E-2</v>
      </c>
      <c r="S1433" s="20"/>
      <c r="T1433" s="20"/>
    </row>
    <row r="1434" spans="13:20" x14ac:dyDescent="0.2">
      <c r="M1434" s="20">
        <v>1.0538832727703177E-2</v>
      </c>
      <c r="N1434" s="20">
        <v>1.1774222010801174E-3</v>
      </c>
      <c r="O1434" s="20">
        <v>0.11172225914403745</v>
      </c>
      <c r="P1434" s="20">
        <v>0.23</v>
      </c>
      <c r="Q1434" s="20">
        <v>9.9999999999999867E-2</v>
      </c>
      <c r="R1434" s="20">
        <v>0.05</v>
      </c>
      <c r="S1434" s="20">
        <v>0.55000000000000004</v>
      </c>
      <c r="T1434" s="20">
        <v>7.0000000000000007E-2</v>
      </c>
    </row>
    <row r="1435" spans="13:20" x14ac:dyDescent="0.2">
      <c r="M1435" s="20">
        <v>1.1155857379582856E-2</v>
      </c>
      <c r="N1435" s="20">
        <v>1.1483455901916554E-3</v>
      </c>
      <c r="O1435" s="20">
        <v>0.10293656068903552</v>
      </c>
      <c r="P1435" s="20"/>
      <c r="Q1435" s="20">
        <v>0.01</v>
      </c>
      <c r="R1435" s="20">
        <v>0.99</v>
      </c>
      <c r="S1435" s="20"/>
      <c r="T1435" s="20"/>
    </row>
    <row r="1436" spans="13:20" x14ac:dyDescent="0.2">
      <c r="M1436" s="20">
        <v>1.2846248612708959E-2</v>
      </c>
      <c r="N1436" s="20">
        <v>1.7900126860270458E-3</v>
      </c>
      <c r="O1436" s="20">
        <v>0.13934127697452184</v>
      </c>
      <c r="P1436" s="20">
        <v>0.3</v>
      </c>
      <c r="Q1436" s="20">
        <v>0.24</v>
      </c>
      <c r="R1436" s="20"/>
      <c r="S1436" s="20"/>
      <c r="T1436" s="20">
        <v>0.46</v>
      </c>
    </row>
    <row r="1437" spans="13:20" x14ac:dyDescent="0.2">
      <c r="M1437" s="20">
        <v>1.5963162740261098E-2</v>
      </c>
      <c r="N1437" s="20">
        <v>1.6252417923559373E-3</v>
      </c>
      <c r="O1437" s="20">
        <v>0.10181201675385251</v>
      </c>
      <c r="P1437" s="20">
        <v>0.26</v>
      </c>
      <c r="Q1437" s="20">
        <v>0.72</v>
      </c>
      <c r="R1437" s="20"/>
      <c r="S1437" s="20"/>
      <c r="T1437" s="20">
        <v>0.02</v>
      </c>
    </row>
    <row r="1438" spans="13:20" x14ac:dyDescent="0.2">
      <c r="M1438" s="20">
        <v>1.227636452888764E-2</v>
      </c>
      <c r="N1438" s="20">
        <v>1.8123010510603826E-3</v>
      </c>
      <c r="O1438" s="20">
        <v>0.14762522298811168</v>
      </c>
      <c r="P1438" s="20">
        <v>0.43</v>
      </c>
      <c r="Q1438" s="20">
        <v>0.33</v>
      </c>
      <c r="R1438" s="20">
        <v>0.24</v>
      </c>
      <c r="S1438" s="20"/>
      <c r="T1438" s="20"/>
    </row>
    <row r="1439" spans="13:20" x14ac:dyDescent="0.2">
      <c r="M1439" s="20">
        <v>9.886018503842452E-3</v>
      </c>
      <c r="N1439" s="20">
        <v>7.5478328431706357E-4</v>
      </c>
      <c r="O1439" s="20">
        <v>7.6348560750083352E-2</v>
      </c>
      <c r="P1439" s="20"/>
      <c r="Q1439" s="20"/>
      <c r="R1439" s="20">
        <v>0.37</v>
      </c>
      <c r="S1439" s="20">
        <v>0.63</v>
      </c>
      <c r="T1439" s="20"/>
    </row>
    <row r="1440" spans="13:20" x14ac:dyDescent="0.2">
      <c r="M1440" s="20">
        <v>1.0809734564319709E-2</v>
      </c>
      <c r="N1440" s="20">
        <v>9.1175378241608457E-4</v>
      </c>
      <c r="O1440" s="20">
        <v>8.4345621716333433E-2</v>
      </c>
      <c r="P1440" s="20"/>
      <c r="Q1440" s="20">
        <v>0.2</v>
      </c>
      <c r="R1440" s="20">
        <v>0.38</v>
      </c>
      <c r="S1440" s="20">
        <v>0.41999999999999993</v>
      </c>
      <c r="T1440" s="20"/>
    </row>
    <row r="1441" spans="13:20" x14ac:dyDescent="0.2">
      <c r="M1441" s="20">
        <v>1.443994593090284E-2</v>
      </c>
      <c r="N1441" s="20">
        <v>1.912085041152458E-3</v>
      </c>
      <c r="O1441" s="20">
        <v>0.13241635739510746</v>
      </c>
      <c r="P1441" s="20">
        <v>0.48</v>
      </c>
      <c r="Q1441" s="20">
        <v>0.51</v>
      </c>
      <c r="R1441" s="20"/>
      <c r="S1441" s="20"/>
      <c r="T1441" s="20">
        <v>0.01</v>
      </c>
    </row>
    <row r="1442" spans="13:20" x14ac:dyDescent="0.2">
      <c r="M1442" s="20">
        <v>1.0536053449205284E-2</v>
      </c>
      <c r="N1442" s="20">
        <v>1.0657692532498068E-3</v>
      </c>
      <c r="O1442" s="20">
        <v>0.10115450328606639</v>
      </c>
      <c r="P1442" s="20"/>
      <c r="Q1442" s="20">
        <v>0.14000000000000001</v>
      </c>
      <c r="R1442" s="20">
        <v>0.7</v>
      </c>
      <c r="S1442" s="20">
        <v>0.16000000000000003</v>
      </c>
      <c r="T1442" s="20"/>
    </row>
    <row r="1443" spans="13:20" x14ac:dyDescent="0.2">
      <c r="M1443" s="20">
        <v>1.4978885027308358E-2</v>
      </c>
      <c r="N1443" s="20">
        <v>1.1341241263067537E-3</v>
      </c>
      <c r="O1443" s="20">
        <v>7.57148562285581E-2</v>
      </c>
      <c r="P1443" s="20"/>
      <c r="Q1443" s="20">
        <v>0.65</v>
      </c>
      <c r="R1443" s="20">
        <v>0.16</v>
      </c>
      <c r="S1443" s="20">
        <v>0.17</v>
      </c>
      <c r="T1443" s="20">
        <v>1.9999999999999907E-2</v>
      </c>
    </row>
    <row r="1444" spans="13:20" x14ac:dyDescent="0.2">
      <c r="M1444" s="20">
        <v>1.1066351096922188E-2</v>
      </c>
      <c r="N1444" s="20">
        <v>1.3842372684027492E-3</v>
      </c>
      <c r="O1444" s="20">
        <v>0.12508524772792884</v>
      </c>
      <c r="P1444" s="20">
        <v>0.08</v>
      </c>
      <c r="Q1444" s="20">
        <v>0.22</v>
      </c>
      <c r="R1444" s="20">
        <v>0.45999999999999996</v>
      </c>
      <c r="S1444" s="20"/>
      <c r="T1444" s="20">
        <v>0.24</v>
      </c>
    </row>
    <row r="1445" spans="13:20" x14ac:dyDescent="0.2">
      <c r="M1445" s="20">
        <v>1.0172992656396672E-2</v>
      </c>
      <c r="N1445" s="20">
        <v>9.2052816176017046E-4</v>
      </c>
      <c r="O1445" s="20">
        <v>9.0487449745808274E-2</v>
      </c>
      <c r="P1445" s="20">
        <v>0.05</v>
      </c>
      <c r="Q1445" s="20">
        <v>0.35</v>
      </c>
      <c r="R1445" s="20">
        <v>0.15</v>
      </c>
      <c r="S1445" s="20">
        <v>0.21</v>
      </c>
      <c r="T1445" s="20">
        <v>0.04</v>
      </c>
    </row>
    <row r="1446" spans="13:20" x14ac:dyDescent="0.2">
      <c r="M1446" s="20">
        <v>1.4054415181796754E-2</v>
      </c>
      <c r="N1446" s="20">
        <v>2.0542321868132806E-3</v>
      </c>
      <c r="O1446" s="20">
        <v>0.14616276524077054</v>
      </c>
      <c r="P1446" s="20">
        <v>0.59</v>
      </c>
      <c r="Q1446" s="20">
        <v>0.40999999999999992</v>
      </c>
      <c r="R1446" s="20"/>
      <c r="S1446" s="20"/>
      <c r="T1446" s="20"/>
    </row>
    <row r="1447" spans="13:20" x14ac:dyDescent="0.2">
      <c r="M1447" s="20">
        <v>1.5615715502582068E-2</v>
      </c>
      <c r="N1447" s="20">
        <v>1.1329592209378078E-3</v>
      </c>
      <c r="O1447" s="20">
        <v>7.2552501404784947E-2</v>
      </c>
      <c r="P1447" s="20"/>
      <c r="Q1447" s="20">
        <v>0.7</v>
      </c>
      <c r="R1447" s="20">
        <v>0.13</v>
      </c>
      <c r="S1447" s="20">
        <v>0.17000000000000015</v>
      </c>
      <c r="T1447" s="20"/>
    </row>
    <row r="1448" spans="13:20" x14ac:dyDescent="0.2">
      <c r="M1448" s="20">
        <v>1.2864147753165829E-2</v>
      </c>
      <c r="N1448" s="20">
        <v>1.6952243335065949E-3</v>
      </c>
      <c r="O1448" s="20">
        <v>0.13177898497701918</v>
      </c>
      <c r="P1448" s="20">
        <v>0.34</v>
      </c>
      <c r="Q1448" s="20">
        <v>0.43</v>
      </c>
      <c r="R1448" s="20">
        <v>0.23000000000000009</v>
      </c>
      <c r="S1448" s="20"/>
      <c r="T1448" s="20"/>
    </row>
    <row r="1449" spans="13:20" x14ac:dyDescent="0.2">
      <c r="M1449" s="20">
        <v>1.3233498408664886E-2</v>
      </c>
      <c r="N1449" s="20">
        <v>1.4331121626919123E-3</v>
      </c>
      <c r="O1449" s="20">
        <v>0.10829427853737866</v>
      </c>
      <c r="P1449" s="20">
        <v>4.0000000000000036E-2</v>
      </c>
      <c r="Q1449" s="20">
        <v>0.3</v>
      </c>
      <c r="R1449" s="20">
        <v>0.04</v>
      </c>
      <c r="S1449" s="20">
        <v>0.05</v>
      </c>
      <c r="T1449" s="20">
        <v>0.56999999999999995</v>
      </c>
    </row>
    <row r="1450" spans="13:20" x14ac:dyDescent="0.2">
      <c r="M1450" s="20">
        <v>1.1752377308224945E-2</v>
      </c>
      <c r="N1450" s="20">
        <v>5.4931831624606842E-4</v>
      </c>
      <c r="O1450" s="20">
        <v>4.6741038160987722E-2</v>
      </c>
      <c r="P1450" s="20"/>
      <c r="Q1450" s="20"/>
      <c r="R1450" s="20">
        <v>0.04</v>
      </c>
      <c r="S1450" s="20">
        <v>0.96</v>
      </c>
      <c r="T1450" s="20">
        <v>0</v>
      </c>
    </row>
    <row r="1451" spans="13:20" x14ac:dyDescent="0.2">
      <c r="M1451" s="20">
        <v>9.6362040657184487E-3</v>
      </c>
      <c r="N1451" s="20">
        <v>9.2314674136807144E-4</v>
      </c>
      <c r="O1451" s="20">
        <v>9.5799833116054306E-2</v>
      </c>
      <c r="P1451" s="20"/>
      <c r="Q1451" s="20">
        <v>0.02</v>
      </c>
      <c r="R1451" s="20">
        <v>0.6</v>
      </c>
      <c r="S1451" s="20">
        <v>0.37</v>
      </c>
      <c r="T1451" s="20">
        <v>1.0000000000000009E-2</v>
      </c>
    </row>
    <row r="1452" spans="13:20" x14ac:dyDescent="0.2">
      <c r="M1452" s="20">
        <v>9.5330310345173221E-3</v>
      </c>
      <c r="N1452" s="20">
        <v>9.515228493690085E-4</v>
      </c>
      <c r="O1452" s="20">
        <v>9.9813254139603902E-2</v>
      </c>
      <c r="P1452" s="20"/>
      <c r="Q1452" s="20"/>
      <c r="R1452" s="20">
        <v>0.2</v>
      </c>
      <c r="S1452" s="20">
        <v>0.5</v>
      </c>
      <c r="T1452" s="20">
        <v>0.30000000000000004</v>
      </c>
    </row>
    <row r="1453" spans="13:20" x14ac:dyDescent="0.2">
      <c r="M1453" s="20">
        <v>1.3474696834592237E-2</v>
      </c>
      <c r="N1453" s="20">
        <v>1.9254243014589975E-3</v>
      </c>
      <c r="O1453" s="20">
        <v>0.14289184573830624</v>
      </c>
      <c r="P1453" s="20">
        <v>0.36999999999999988</v>
      </c>
      <c r="Q1453" s="20"/>
      <c r="R1453" s="20"/>
      <c r="S1453" s="20"/>
      <c r="T1453" s="20">
        <v>0.63</v>
      </c>
    </row>
    <row r="1454" spans="13:20" x14ac:dyDescent="0.2">
      <c r="M1454" s="20">
        <v>1.4043816940215014E-2</v>
      </c>
      <c r="N1454" s="20">
        <v>2.4225495402496024E-3</v>
      </c>
      <c r="O1454" s="20">
        <v>0.1724993675553074</v>
      </c>
      <c r="P1454" s="20">
        <v>0.87</v>
      </c>
      <c r="Q1454" s="20">
        <v>0.12999999999999989</v>
      </c>
      <c r="R1454" s="20"/>
      <c r="S1454" s="20"/>
      <c r="T1454" s="20"/>
    </row>
    <row r="1455" spans="13:20" x14ac:dyDescent="0.2">
      <c r="M1455" s="20">
        <v>1.3044338301955732E-2</v>
      </c>
      <c r="N1455" s="20">
        <v>2.0632923398096318E-3</v>
      </c>
      <c r="O1455" s="20">
        <v>0.15817531652795938</v>
      </c>
      <c r="P1455" s="20">
        <v>0.5</v>
      </c>
      <c r="Q1455" s="20"/>
      <c r="R1455" s="20"/>
      <c r="S1455" s="20"/>
      <c r="T1455" s="20">
        <v>0.5</v>
      </c>
    </row>
    <row r="1456" spans="13:20" x14ac:dyDescent="0.2">
      <c r="M1456" s="20">
        <v>1.2186377844044595E-2</v>
      </c>
      <c r="N1456" s="20">
        <v>1.2749015175589498E-3</v>
      </c>
      <c r="O1456" s="20">
        <v>0.10461693653967788</v>
      </c>
      <c r="P1456" s="20"/>
      <c r="Q1456" s="20"/>
      <c r="R1456" s="20">
        <v>0.12</v>
      </c>
      <c r="S1456" s="20">
        <v>0.21</v>
      </c>
      <c r="T1456" s="20">
        <v>0.67000000000000015</v>
      </c>
    </row>
    <row r="1457" spans="13:20" x14ac:dyDescent="0.2">
      <c r="M1457" s="20">
        <v>1.429807178266535E-2</v>
      </c>
      <c r="N1457" s="20">
        <v>1.5477883827420304E-3</v>
      </c>
      <c r="O1457" s="20">
        <v>0.10825154652101641</v>
      </c>
      <c r="P1457" s="20">
        <v>9.000000000000008E-2</v>
      </c>
      <c r="Q1457" s="20"/>
      <c r="R1457" s="20"/>
      <c r="S1457" s="20">
        <v>0.08</v>
      </c>
      <c r="T1457" s="20">
        <v>0.83</v>
      </c>
    </row>
    <row r="1458" spans="13:20" x14ac:dyDescent="0.2">
      <c r="M1458" s="20">
        <v>1.5425894668362876E-2</v>
      </c>
      <c r="N1458" s="20">
        <v>1.738531598153577E-3</v>
      </c>
      <c r="O1458" s="20">
        <v>0.11270215670013287</v>
      </c>
      <c r="P1458" s="20">
        <v>0.35</v>
      </c>
      <c r="Q1458" s="20">
        <v>0.65000000000000013</v>
      </c>
      <c r="R1458" s="20"/>
      <c r="S1458" s="20"/>
      <c r="T1458" s="20"/>
    </row>
    <row r="1459" spans="13:20" x14ac:dyDescent="0.2">
      <c r="M1459" s="20">
        <v>1.0187873581924065E-2</v>
      </c>
      <c r="N1459" s="20">
        <v>8.5725714176210558E-4</v>
      </c>
      <c r="O1459" s="20">
        <v>8.4144854651818854E-2</v>
      </c>
      <c r="P1459" s="20"/>
      <c r="Q1459" s="20"/>
      <c r="R1459" s="20"/>
      <c r="S1459" s="20">
        <v>0.67</v>
      </c>
      <c r="T1459" s="20">
        <v>0.32999999999999996</v>
      </c>
    </row>
    <row r="1460" spans="13:20" x14ac:dyDescent="0.2">
      <c r="M1460" s="20">
        <v>1.0111038660449708E-2</v>
      </c>
      <c r="N1460" s="20">
        <v>1.0287365750783904E-3</v>
      </c>
      <c r="O1460" s="20">
        <v>0.10174390679588553</v>
      </c>
      <c r="P1460" s="20"/>
      <c r="Q1460" s="20"/>
      <c r="R1460" s="20">
        <v>0.81</v>
      </c>
      <c r="S1460" s="20">
        <v>0.19000000000000006</v>
      </c>
      <c r="T1460" s="20"/>
    </row>
    <row r="1461" spans="13:20" x14ac:dyDescent="0.2">
      <c r="M1461" s="20">
        <v>1.4334860516373144E-2</v>
      </c>
      <c r="N1461" s="20">
        <v>1.9621528484542006E-3</v>
      </c>
      <c r="O1461" s="20">
        <v>0.13687980055425358</v>
      </c>
      <c r="P1461" s="20">
        <v>0.52</v>
      </c>
      <c r="Q1461" s="20">
        <v>0.47999999999999987</v>
      </c>
      <c r="R1461" s="20"/>
      <c r="S1461" s="20"/>
      <c r="T1461" s="20"/>
    </row>
    <row r="1462" spans="13:20" x14ac:dyDescent="0.2">
      <c r="M1462" s="20">
        <v>1.1926086045174134E-2</v>
      </c>
      <c r="N1462" s="20">
        <v>1.1901008118928088E-3</v>
      </c>
      <c r="O1462" s="20">
        <v>9.9789722075196707E-2</v>
      </c>
      <c r="P1462" s="20"/>
      <c r="Q1462" s="20"/>
      <c r="R1462" s="20"/>
      <c r="S1462" s="20">
        <v>0.34</v>
      </c>
      <c r="T1462" s="20">
        <v>0.65999999999999992</v>
      </c>
    </row>
    <row r="1463" spans="13:20" x14ac:dyDescent="0.2">
      <c r="M1463" s="20">
        <v>1.0540716386334026E-2</v>
      </c>
      <c r="N1463" s="20">
        <v>9.0486869561059405E-4</v>
      </c>
      <c r="O1463" s="20">
        <v>8.584508513897128E-2</v>
      </c>
      <c r="P1463" s="20">
        <v>0.14000000000000001</v>
      </c>
      <c r="Q1463" s="20"/>
      <c r="R1463" s="20"/>
      <c r="S1463" s="20">
        <v>0.77</v>
      </c>
      <c r="T1463" s="20">
        <v>0.09</v>
      </c>
    </row>
    <row r="1464" spans="13:20" x14ac:dyDescent="0.2">
      <c r="M1464" s="20">
        <v>1.3253436773710978E-2</v>
      </c>
      <c r="N1464" s="20">
        <v>2.3390284165108995E-3</v>
      </c>
      <c r="O1464" s="20">
        <v>0.17648467008576285</v>
      </c>
      <c r="P1464" s="20">
        <v>0.7599999999999999</v>
      </c>
      <c r="Q1464" s="20"/>
      <c r="R1464" s="20"/>
      <c r="S1464" s="20"/>
      <c r="T1464" s="20">
        <v>0.24</v>
      </c>
    </row>
    <row r="1465" spans="13:20" x14ac:dyDescent="0.2">
      <c r="M1465" s="20">
        <v>1.3834362163160023E-2</v>
      </c>
      <c r="N1465" s="20">
        <v>2.1989282899489791E-3</v>
      </c>
      <c r="O1465" s="20">
        <v>0.15894685017026497</v>
      </c>
      <c r="P1465" s="20">
        <v>0.7</v>
      </c>
      <c r="Q1465" s="20">
        <v>0.30000000000000016</v>
      </c>
      <c r="R1465" s="20"/>
      <c r="S1465" s="20"/>
      <c r="T1465" s="20"/>
    </row>
    <row r="1466" spans="13:20" x14ac:dyDescent="0.2">
      <c r="M1466" s="20">
        <v>1.3974092198420055E-2</v>
      </c>
      <c r="N1466" s="20">
        <v>1.7141384347129675E-3</v>
      </c>
      <c r="O1466" s="20">
        <v>0.12266545907767605</v>
      </c>
      <c r="P1466" s="20">
        <v>0.19</v>
      </c>
      <c r="Q1466" s="20">
        <v>7.999999999999996E-2</v>
      </c>
      <c r="R1466" s="20"/>
      <c r="S1466" s="20"/>
      <c r="T1466" s="20">
        <v>0.73</v>
      </c>
    </row>
    <row r="1467" spans="13:20" x14ac:dyDescent="0.2">
      <c r="M1467" s="20">
        <v>1.0864898757308375E-2</v>
      </c>
      <c r="N1467" s="20">
        <v>6.6561987714139771E-4</v>
      </c>
      <c r="O1467" s="20">
        <v>6.1263329922302531E-2</v>
      </c>
      <c r="P1467" s="20"/>
      <c r="Q1467" s="20"/>
      <c r="R1467" s="20"/>
      <c r="S1467" s="20">
        <v>0.86</v>
      </c>
      <c r="T1467" s="20">
        <v>0.14000000000000001</v>
      </c>
    </row>
    <row r="1468" spans="13:20" x14ac:dyDescent="0.2">
      <c r="M1468" s="20">
        <v>1.73570973225694E-2</v>
      </c>
      <c r="N1468" s="20">
        <v>1.2610918648413591E-3</v>
      </c>
      <c r="O1468" s="20">
        <v>7.2655688990207121E-2</v>
      </c>
      <c r="P1468" s="20"/>
      <c r="Q1468" s="20">
        <v>0.87</v>
      </c>
      <c r="R1468" s="20">
        <v>0.12999999999999989</v>
      </c>
      <c r="S1468" s="20"/>
      <c r="T1468" s="20"/>
    </row>
    <row r="1469" spans="13:20" x14ac:dyDescent="0.2">
      <c r="M1469" s="20">
        <v>1.0154326017134093E-2</v>
      </c>
      <c r="N1469" s="20">
        <v>1.0349627862320568E-3</v>
      </c>
      <c r="O1469" s="20">
        <v>0.10192333636774049</v>
      </c>
      <c r="P1469" s="20"/>
      <c r="Q1469" s="20"/>
      <c r="R1469" s="20">
        <v>0.82</v>
      </c>
      <c r="S1469" s="20">
        <v>0.17999999999999994</v>
      </c>
      <c r="T1469" s="20"/>
    </row>
    <row r="1470" spans="13:20" x14ac:dyDescent="0.2">
      <c r="M1470" s="20">
        <v>1.0032851212008101E-2</v>
      </c>
      <c r="N1470" s="20">
        <v>1.2030773593212343E-3</v>
      </c>
      <c r="O1470" s="20">
        <v>0.11991380455052471</v>
      </c>
      <c r="P1470" s="20">
        <v>0.25</v>
      </c>
      <c r="Q1470" s="20"/>
      <c r="R1470" s="20"/>
      <c r="S1470" s="20">
        <v>0.59</v>
      </c>
      <c r="T1470" s="20">
        <v>0.16</v>
      </c>
    </row>
    <row r="1471" spans="13:20" x14ac:dyDescent="0.2">
      <c r="M1471" s="20">
        <v>1.1078226110210934E-2</v>
      </c>
      <c r="N1471" s="20">
        <v>6.3536136167497011E-4</v>
      </c>
      <c r="O1471" s="20">
        <v>5.7352265187054628E-2</v>
      </c>
      <c r="P1471" s="20"/>
      <c r="Q1471" s="20"/>
      <c r="R1471" s="20"/>
      <c r="S1471" s="20">
        <v>0.89</v>
      </c>
      <c r="T1471" s="20">
        <v>0.10999999999999999</v>
      </c>
    </row>
    <row r="1472" spans="13:20" x14ac:dyDescent="0.2">
      <c r="M1472" s="20">
        <v>1.1503998773573372E-2</v>
      </c>
      <c r="N1472" s="20">
        <v>5.718569103755443E-4</v>
      </c>
      <c r="O1472" s="20">
        <v>4.9709402932934611E-2</v>
      </c>
      <c r="P1472" s="20"/>
      <c r="Q1472" s="20"/>
      <c r="R1472" s="20">
        <v>0.06</v>
      </c>
      <c r="S1472" s="20">
        <v>0.93</v>
      </c>
      <c r="T1472" s="20">
        <v>1.000000000000012E-2</v>
      </c>
    </row>
    <row r="1473" spans="13:20" x14ac:dyDescent="0.2">
      <c r="M1473" s="20">
        <v>9.588121303623345E-3</v>
      </c>
      <c r="N1473" s="20">
        <v>8.4195024046839493E-4</v>
      </c>
      <c r="O1473" s="20">
        <v>8.7811805233442605E-2</v>
      </c>
      <c r="P1473" s="20"/>
      <c r="Q1473" s="20"/>
      <c r="R1473" s="20">
        <v>0.51</v>
      </c>
      <c r="S1473" s="20">
        <v>0.4900000000000001</v>
      </c>
      <c r="T1473" s="20"/>
    </row>
    <row r="1474" spans="13:20" x14ac:dyDescent="0.2">
      <c r="M1474" s="20">
        <v>1.3824281704775374E-2</v>
      </c>
      <c r="N1474" s="20">
        <v>2.2252366723372876E-3</v>
      </c>
      <c r="O1474" s="20">
        <v>0.16096580783424108</v>
      </c>
      <c r="P1474" s="20">
        <v>0.72</v>
      </c>
      <c r="Q1474" s="20">
        <v>0.28000000000000003</v>
      </c>
      <c r="R1474" s="20"/>
      <c r="S1474" s="20"/>
      <c r="T1474" s="20"/>
    </row>
    <row r="1475" spans="13:20" x14ac:dyDescent="0.2">
      <c r="M1475" s="20">
        <v>1.0602495561197554E-2</v>
      </c>
      <c r="N1475" s="20">
        <v>1.0186358909163857E-3</v>
      </c>
      <c r="O1475" s="20">
        <v>9.6075106566828938E-2</v>
      </c>
      <c r="P1475" s="20"/>
      <c r="Q1475" s="20"/>
      <c r="R1475" s="20"/>
      <c r="S1475" s="20">
        <v>0.51</v>
      </c>
      <c r="T1475" s="20">
        <v>0.48999999999999988</v>
      </c>
    </row>
    <row r="1476" spans="13:20" x14ac:dyDescent="0.2">
      <c r="M1476" s="20">
        <v>1.623891119323944E-2</v>
      </c>
      <c r="N1476" s="20">
        <v>1.2492928360989483E-3</v>
      </c>
      <c r="O1476" s="20">
        <v>7.6932056665169279E-2</v>
      </c>
      <c r="P1476" s="20"/>
      <c r="Q1476" s="20">
        <v>0.78</v>
      </c>
      <c r="R1476" s="20">
        <v>0.21999999999999986</v>
      </c>
      <c r="S1476" s="20"/>
      <c r="T1476" s="20"/>
    </row>
    <row r="1477" spans="13:20" x14ac:dyDescent="0.2">
      <c r="M1477" s="20">
        <v>9.9533208727755288E-3</v>
      </c>
      <c r="N1477" s="20">
        <v>1.0038317304637244E-3</v>
      </c>
      <c r="O1477" s="20">
        <v>0.1008539504849502</v>
      </c>
      <c r="P1477" s="20"/>
      <c r="Q1477" s="20">
        <v>0</v>
      </c>
      <c r="R1477" s="20">
        <v>0.77</v>
      </c>
      <c r="S1477" s="20">
        <v>0.23000000000000009</v>
      </c>
      <c r="T1477" s="20"/>
    </row>
    <row r="1478" spans="13:20" x14ac:dyDescent="0.2">
      <c r="M1478" s="20">
        <v>1.1520132678004879E-2</v>
      </c>
      <c r="N1478" s="20">
        <v>1.7783117186705494E-3</v>
      </c>
      <c r="O1478" s="20">
        <v>0.15436555883300188</v>
      </c>
      <c r="P1478" s="20">
        <v>0.45</v>
      </c>
      <c r="Q1478" s="20">
        <v>0.23</v>
      </c>
      <c r="R1478" s="20">
        <v>0.24</v>
      </c>
      <c r="S1478" s="20">
        <v>7.9999999999999849E-2</v>
      </c>
      <c r="T1478" s="20"/>
    </row>
    <row r="1479" spans="13:20" x14ac:dyDescent="0.2">
      <c r="M1479" s="20">
        <v>1.5269985189170514E-2</v>
      </c>
      <c r="N1479" s="20">
        <v>1.7648399805418858E-3</v>
      </c>
      <c r="O1479" s="20">
        <v>0.11557574933297982</v>
      </c>
      <c r="P1479" s="20">
        <v>0.37</v>
      </c>
      <c r="Q1479" s="20">
        <v>0.63000000000000012</v>
      </c>
      <c r="R1479" s="20"/>
      <c r="S1479" s="20"/>
      <c r="T1479" s="20"/>
    </row>
    <row r="1480" spans="13:20" x14ac:dyDescent="0.2">
      <c r="M1480" s="20">
        <v>1.5133029800759952E-2</v>
      </c>
      <c r="N1480" s="20">
        <v>1.4523412792685144E-3</v>
      </c>
      <c r="O1480" s="20">
        <v>9.5971612981002694E-2</v>
      </c>
      <c r="P1480" s="20">
        <v>0</v>
      </c>
      <c r="Q1480" s="20"/>
      <c r="R1480" s="20"/>
      <c r="S1480" s="20">
        <v>0.08</v>
      </c>
      <c r="T1480" s="20">
        <v>0.92</v>
      </c>
    </row>
    <row r="1481" spans="13:20" x14ac:dyDescent="0.2">
      <c r="M1481" s="20">
        <v>1.0795981222029259E-2</v>
      </c>
      <c r="N1481" s="20">
        <v>1.1767989631686767E-3</v>
      </c>
      <c r="O1481" s="20">
        <v>0.10900342812447765</v>
      </c>
      <c r="P1481" s="20"/>
      <c r="Q1481" s="20">
        <v>0.21</v>
      </c>
      <c r="R1481" s="20">
        <v>0.34</v>
      </c>
      <c r="S1481" s="20">
        <v>0.17</v>
      </c>
      <c r="T1481" s="20">
        <v>0.27999999999999992</v>
      </c>
    </row>
    <row r="1482" spans="13:20" x14ac:dyDescent="0.2">
      <c r="M1482" s="20">
        <v>1.5904108076560286E-2</v>
      </c>
      <c r="N1482" s="20">
        <v>1.5754515887227729E-3</v>
      </c>
      <c r="O1482" s="20">
        <v>9.905941163998358E-2</v>
      </c>
      <c r="P1482" s="20">
        <v>4.0000000000000036E-2</v>
      </c>
      <c r="Q1482" s="20"/>
      <c r="R1482" s="20"/>
      <c r="S1482" s="20"/>
      <c r="T1482" s="20">
        <v>0.96</v>
      </c>
    </row>
    <row r="1483" spans="13:20" x14ac:dyDescent="0.2">
      <c r="M1483" s="20">
        <v>1.4292403745251791E-2</v>
      </c>
      <c r="N1483" s="20">
        <v>1.4115416386621272E-3</v>
      </c>
      <c r="O1483" s="20">
        <v>9.8761668353447421E-2</v>
      </c>
      <c r="P1483" s="20">
        <v>0.15</v>
      </c>
      <c r="Q1483" s="20">
        <v>0.6</v>
      </c>
      <c r="R1483" s="20">
        <v>0.2</v>
      </c>
      <c r="S1483" s="20">
        <v>5.0000000000000044E-2</v>
      </c>
      <c r="T1483" s="20"/>
    </row>
    <row r="1484" spans="13:20" x14ac:dyDescent="0.2">
      <c r="M1484" s="20">
        <v>1.0045687080579737E-2</v>
      </c>
      <c r="N1484" s="20">
        <v>1.2651515759455E-3</v>
      </c>
      <c r="O1484" s="20">
        <v>0.12593977552727914</v>
      </c>
      <c r="P1484" s="20">
        <v>0.2799999999999998</v>
      </c>
      <c r="Q1484" s="20"/>
      <c r="R1484" s="20"/>
      <c r="S1484" s="20">
        <v>0.56000000000000005</v>
      </c>
      <c r="T1484" s="20">
        <v>0.16</v>
      </c>
    </row>
    <row r="1485" spans="13:20" x14ac:dyDescent="0.2">
      <c r="M1485" s="20">
        <v>1.329749581902435E-2</v>
      </c>
      <c r="N1485" s="20">
        <v>1.9002515959738375E-3</v>
      </c>
      <c r="O1485" s="20">
        <v>0.14290296623031845</v>
      </c>
      <c r="P1485" s="20">
        <v>0.44</v>
      </c>
      <c r="Q1485" s="20">
        <v>0.39</v>
      </c>
      <c r="R1485" s="20"/>
      <c r="S1485" s="20"/>
      <c r="T1485" s="20">
        <v>0.17</v>
      </c>
    </row>
    <row r="1486" spans="13:20" x14ac:dyDescent="0.2">
      <c r="M1486" s="20">
        <v>1.7439700267599393E-2</v>
      </c>
      <c r="N1486" s="20">
        <v>1.1775291134564921E-3</v>
      </c>
      <c r="O1486" s="20">
        <v>6.7520031616838172E-2</v>
      </c>
      <c r="P1486" s="20"/>
      <c r="Q1486" s="20">
        <v>0.85</v>
      </c>
      <c r="R1486" s="20">
        <v>0.02</v>
      </c>
      <c r="S1486" s="20">
        <v>0.13</v>
      </c>
      <c r="T1486" s="20"/>
    </row>
    <row r="1487" spans="13:20" x14ac:dyDescent="0.2">
      <c r="M1487" s="20">
        <v>1.5079729532936405E-2</v>
      </c>
      <c r="N1487" s="20">
        <v>1.3214750723834694E-3</v>
      </c>
      <c r="O1487" s="20">
        <v>8.7632544701625334E-2</v>
      </c>
      <c r="P1487" s="20">
        <v>0.09</v>
      </c>
      <c r="Q1487" s="20">
        <v>0.67</v>
      </c>
      <c r="R1487" s="20">
        <v>0.17</v>
      </c>
      <c r="S1487" s="20">
        <v>6.9999999999999951E-2</v>
      </c>
      <c r="T1487" s="20"/>
    </row>
    <row r="1488" spans="13:20" x14ac:dyDescent="0.2">
      <c r="M1488" s="20">
        <v>1.171522493695186E-2</v>
      </c>
      <c r="N1488" s="20">
        <v>1.2426079185920698E-3</v>
      </c>
      <c r="O1488" s="20">
        <v>0.10606778147918167</v>
      </c>
      <c r="P1488" s="20">
        <v>4.0000000000000036E-2</v>
      </c>
      <c r="Q1488" s="20"/>
      <c r="R1488" s="20"/>
      <c r="S1488" s="20">
        <v>0.33</v>
      </c>
      <c r="T1488" s="20">
        <v>0.63</v>
      </c>
    </row>
    <row r="1489" spans="13:20" x14ac:dyDescent="0.2">
      <c r="M1489" s="20">
        <v>1.3025664141353185E-2</v>
      </c>
      <c r="N1489" s="20">
        <v>2.0738975735289113E-3</v>
      </c>
      <c r="O1489" s="20">
        <v>0.15921626344907908</v>
      </c>
      <c r="P1489" s="20">
        <v>0.51</v>
      </c>
      <c r="Q1489" s="20"/>
      <c r="R1489" s="20"/>
      <c r="S1489" s="20"/>
      <c r="T1489" s="20">
        <v>0.49</v>
      </c>
    </row>
    <row r="1490" spans="13:20" x14ac:dyDescent="0.2">
      <c r="M1490" s="20">
        <v>1.409250508640581E-2</v>
      </c>
      <c r="N1490" s="20">
        <v>1.8087667305469227E-3</v>
      </c>
      <c r="O1490" s="20">
        <v>0.12834955314592938</v>
      </c>
      <c r="P1490" s="20">
        <v>0.26</v>
      </c>
      <c r="Q1490" s="20"/>
      <c r="R1490" s="20"/>
      <c r="S1490" s="20"/>
      <c r="T1490" s="20">
        <v>0.74</v>
      </c>
    </row>
    <row r="1491" spans="13:20" x14ac:dyDescent="0.2">
      <c r="M1491" s="20">
        <v>1.323355076442035E-2</v>
      </c>
      <c r="N1491" s="20">
        <v>1.9890557037746757E-3</v>
      </c>
      <c r="O1491" s="20">
        <v>0.1503040067766574</v>
      </c>
      <c r="P1491" s="20">
        <v>0.43000000000000016</v>
      </c>
      <c r="Q1491" s="20"/>
      <c r="R1491" s="20"/>
      <c r="S1491" s="20"/>
      <c r="T1491" s="20">
        <v>0.56999999999999995</v>
      </c>
    </row>
    <row r="1492" spans="13:20" x14ac:dyDescent="0.2">
      <c r="M1492" s="20">
        <v>1.8132536690980541E-2</v>
      </c>
      <c r="N1492" s="20">
        <v>1.2689578840029666E-3</v>
      </c>
      <c r="O1492" s="20">
        <v>6.9982369572932926E-2</v>
      </c>
      <c r="P1492" s="20"/>
      <c r="Q1492" s="20">
        <v>0.93</v>
      </c>
      <c r="R1492" s="20">
        <v>7.0000000000000062E-2</v>
      </c>
      <c r="S1492" s="20"/>
      <c r="T1492" s="20"/>
    </row>
    <row r="1493" spans="13:20" x14ac:dyDescent="0.2">
      <c r="M1493" s="20">
        <v>1.5434244138739563E-2</v>
      </c>
      <c r="N1493" s="20">
        <v>1.6284777573191704E-3</v>
      </c>
      <c r="O1493" s="20">
        <v>0.10551069055799968</v>
      </c>
      <c r="P1493" s="20">
        <v>8.9999999999999969E-2</v>
      </c>
      <c r="Q1493" s="20"/>
      <c r="R1493" s="20"/>
      <c r="S1493" s="20"/>
      <c r="T1493" s="20">
        <v>0.91</v>
      </c>
    </row>
    <row r="1494" spans="13:20" x14ac:dyDescent="0.2">
      <c r="M1494" s="20">
        <v>1.441711545283081E-2</v>
      </c>
      <c r="N1494" s="20">
        <v>2.5409372609969914E-3</v>
      </c>
      <c r="O1494" s="20">
        <v>0.17624449698764649</v>
      </c>
      <c r="P1494" s="20">
        <v>0.96</v>
      </c>
      <c r="Q1494" s="20">
        <v>4.0000000000000036E-2</v>
      </c>
      <c r="R1494" s="20"/>
      <c r="S1494" s="20"/>
      <c r="T1494" s="20"/>
    </row>
    <row r="1495" spans="13:20" x14ac:dyDescent="0.2">
      <c r="M1495" s="20">
        <v>1.4452811593038477E-2</v>
      </c>
      <c r="N1495" s="20">
        <v>1.7244439226898234E-3</v>
      </c>
      <c r="O1495" s="20">
        <v>0.11931546409422791</v>
      </c>
      <c r="P1495" s="20">
        <v>0.18999999999999995</v>
      </c>
      <c r="Q1495" s="20"/>
      <c r="R1495" s="20"/>
      <c r="S1495" s="20">
        <v>0.01</v>
      </c>
      <c r="T1495" s="20">
        <v>0.8</v>
      </c>
    </row>
    <row r="1496" spans="13:20" x14ac:dyDescent="0.2">
      <c r="M1496" s="20">
        <v>1.4368989816425544E-2</v>
      </c>
      <c r="N1496" s="20">
        <v>1.7663457956698047E-3</v>
      </c>
      <c r="O1496" s="20">
        <v>0.12292762527054278</v>
      </c>
      <c r="P1496" s="20">
        <v>0.21999999999999997</v>
      </c>
      <c r="Q1496" s="20"/>
      <c r="R1496" s="20"/>
      <c r="S1496" s="20"/>
      <c r="T1496" s="20">
        <v>0.78</v>
      </c>
    </row>
    <row r="1497" spans="13:20" x14ac:dyDescent="0.2">
      <c r="M1497" s="20">
        <v>1.0231291145667851E-2</v>
      </c>
      <c r="N1497" s="20">
        <v>1.1878675027878114E-3</v>
      </c>
      <c r="O1497" s="20">
        <v>0.11610142707069576</v>
      </c>
      <c r="P1497" s="20"/>
      <c r="Q1497" s="20"/>
      <c r="R1497" s="20">
        <v>0.45</v>
      </c>
      <c r="S1497" s="20">
        <v>0.17</v>
      </c>
      <c r="T1497" s="20">
        <v>0.37999999999999989</v>
      </c>
    </row>
    <row r="1498" spans="13:20" x14ac:dyDescent="0.2">
      <c r="M1498" s="20">
        <v>1.0840390896534003E-2</v>
      </c>
      <c r="N1498" s="20">
        <v>1.0589805782049559E-3</v>
      </c>
      <c r="O1498" s="20">
        <v>9.7688412559324186E-2</v>
      </c>
      <c r="P1498" s="20"/>
      <c r="Q1498" s="20"/>
      <c r="R1498" s="20"/>
      <c r="S1498" s="20">
        <v>0.47</v>
      </c>
      <c r="T1498" s="20">
        <v>0.52999999999999992</v>
      </c>
    </row>
    <row r="1499" spans="13:20" x14ac:dyDescent="0.2">
      <c r="M1499" s="20">
        <v>1.1234592652910182E-2</v>
      </c>
      <c r="N1499" s="20">
        <v>6.1518901803068484E-4</v>
      </c>
      <c r="O1499" s="20">
        <v>5.4758462281347398E-2</v>
      </c>
      <c r="P1499" s="20"/>
      <c r="Q1499" s="20"/>
      <c r="R1499" s="20"/>
      <c r="S1499" s="20">
        <v>0.91</v>
      </c>
      <c r="T1499" s="20">
        <v>8.9999999999999858E-2</v>
      </c>
    </row>
    <row r="1500" spans="13:20" x14ac:dyDescent="0.2">
      <c r="M1500" s="20">
        <v>1.4206750705193845E-2</v>
      </c>
      <c r="N1500" s="20">
        <v>9.5993209576498962E-4</v>
      </c>
      <c r="O1500" s="20">
        <v>6.756872952054041E-2</v>
      </c>
      <c r="P1500" s="20"/>
      <c r="Q1500" s="20">
        <v>0.52</v>
      </c>
      <c r="R1500" s="20">
        <v>7.0000000000000007E-2</v>
      </c>
      <c r="S1500" s="20">
        <v>0.40999999999999992</v>
      </c>
      <c r="T1500" s="20"/>
    </row>
    <row r="1501" spans="13:20" x14ac:dyDescent="0.2">
      <c r="M1501" s="20">
        <v>1.383981491350712E-2</v>
      </c>
      <c r="N1501" s="20">
        <v>2.2910076283080591E-3</v>
      </c>
      <c r="O1501" s="20">
        <v>0.16553744704144308</v>
      </c>
      <c r="P1501" s="20">
        <v>0.77</v>
      </c>
      <c r="Q1501" s="20">
        <v>0.22999999999999998</v>
      </c>
      <c r="R1501" s="20"/>
      <c r="S1501" s="20"/>
      <c r="T1501" s="20"/>
    </row>
    <row r="1502" spans="13:20" x14ac:dyDescent="0.2">
      <c r="M1502" s="20">
        <v>1.3876992723142755E-2</v>
      </c>
      <c r="N1502" s="20">
        <v>2.3304702018905219E-3</v>
      </c>
      <c r="O1502" s="20">
        <v>0.16793769719313761</v>
      </c>
      <c r="P1502" s="20">
        <v>0.8</v>
      </c>
      <c r="Q1502" s="20">
        <v>0.19999999999999996</v>
      </c>
      <c r="R1502" s="20"/>
      <c r="S1502" s="20"/>
      <c r="T1502" s="20"/>
    </row>
    <row r="1503" spans="13:20" x14ac:dyDescent="0.2">
      <c r="M1503" s="20">
        <v>1.4027511296019176E-2</v>
      </c>
      <c r="N1503" s="20">
        <v>1.8193719642662022E-3</v>
      </c>
      <c r="O1503" s="20">
        <v>0.12970026727282097</v>
      </c>
      <c r="P1503" s="20">
        <v>0.27</v>
      </c>
      <c r="Q1503" s="20"/>
      <c r="R1503" s="20"/>
      <c r="S1503" s="20"/>
      <c r="T1503" s="20">
        <v>0.73</v>
      </c>
    </row>
    <row r="1504" spans="13:20" x14ac:dyDescent="0.2">
      <c r="M1504" s="20">
        <v>1.126400210754119E-2</v>
      </c>
      <c r="N1504" s="20">
        <v>1.8636509719015407E-3</v>
      </c>
      <c r="O1504" s="20">
        <v>0.16545193742940054</v>
      </c>
      <c r="P1504" s="20">
        <v>0.48</v>
      </c>
      <c r="Q1504" s="20">
        <v>0.17</v>
      </c>
      <c r="R1504" s="20">
        <v>0.34999999999999987</v>
      </c>
      <c r="S1504" s="20"/>
      <c r="T1504" s="20"/>
    </row>
    <row r="1505" spans="13:20" x14ac:dyDescent="0.2">
      <c r="M1505" s="20">
        <v>1.8528130402520309E-2</v>
      </c>
      <c r="N1505" s="20">
        <v>1.27289089358377E-3</v>
      </c>
      <c r="O1505" s="20">
        <v>6.8700449852761386E-2</v>
      </c>
      <c r="P1505" s="20"/>
      <c r="Q1505" s="20">
        <v>0.96</v>
      </c>
      <c r="R1505" s="20">
        <v>3.9999999999999925E-2</v>
      </c>
      <c r="S1505" s="20"/>
      <c r="T1505" s="20"/>
    </row>
    <row r="1506" spans="13:20" x14ac:dyDescent="0.2">
      <c r="M1506" s="20">
        <v>1.0311235047610693E-2</v>
      </c>
      <c r="N1506" s="20">
        <v>1.5426688341147192E-3</v>
      </c>
      <c r="O1506" s="20">
        <v>0.14961048089696924</v>
      </c>
      <c r="P1506" s="20">
        <v>0.38000000000000012</v>
      </c>
      <c r="Q1506" s="20"/>
      <c r="R1506" s="20"/>
      <c r="S1506" s="20">
        <v>0.39</v>
      </c>
      <c r="T1506" s="20">
        <v>0.23</v>
      </c>
    </row>
    <row r="1507" spans="13:20" x14ac:dyDescent="0.2">
      <c r="M1507" s="20">
        <v>1.5904108076560286E-2</v>
      </c>
      <c r="N1507" s="20">
        <v>1.5754515887227729E-3</v>
      </c>
      <c r="O1507" s="20">
        <v>9.905941163998358E-2</v>
      </c>
      <c r="P1507" s="20">
        <v>4.0000000000000036E-2</v>
      </c>
      <c r="Q1507" s="20"/>
      <c r="R1507" s="20"/>
      <c r="S1507" s="20"/>
      <c r="T1507" s="20">
        <v>0.96</v>
      </c>
    </row>
    <row r="1508" spans="13:20" x14ac:dyDescent="0.2">
      <c r="M1508" s="20">
        <v>1.8288945665152503E-2</v>
      </c>
      <c r="N1508" s="20">
        <v>1.2640426760429011E-3</v>
      </c>
      <c r="O1508" s="20">
        <v>6.9115120094177432E-2</v>
      </c>
      <c r="P1508" s="20"/>
      <c r="Q1508" s="20">
        <v>0.94</v>
      </c>
      <c r="R1508" s="20">
        <v>0.05</v>
      </c>
      <c r="S1508" s="20">
        <v>1.0000000000000009E-2</v>
      </c>
      <c r="T1508" s="20"/>
    </row>
    <row r="1509" spans="13:20" x14ac:dyDescent="0.2">
      <c r="M1509" s="20">
        <v>1.2132778421920141E-2</v>
      </c>
      <c r="N1509" s="20">
        <v>1.1408168079719014E-3</v>
      </c>
      <c r="O1509" s="20">
        <v>9.4027663598537467E-2</v>
      </c>
      <c r="P1509" s="20"/>
      <c r="Q1509" s="20">
        <v>0.38</v>
      </c>
      <c r="R1509" s="20">
        <v>0.53</v>
      </c>
      <c r="S1509" s="20">
        <v>8.9999999999999969E-2</v>
      </c>
      <c r="T1509" s="20"/>
    </row>
    <row r="1510" spans="13:20" x14ac:dyDescent="0.2">
      <c r="M1510" s="20">
        <v>1.0240603744911918E-2</v>
      </c>
      <c r="N1510" s="20">
        <v>8.8601300666454267E-4</v>
      </c>
      <c r="O1510" s="20">
        <v>8.6519606532452886E-2</v>
      </c>
      <c r="P1510" s="20"/>
      <c r="Q1510" s="20">
        <v>0.13</v>
      </c>
      <c r="R1510" s="20">
        <v>0.31</v>
      </c>
      <c r="S1510" s="20">
        <v>0.49</v>
      </c>
      <c r="T1510" s="20">
        <v>7.0000000000000062E-2</v>
      </c>
    </row>
    <row r="1511" spans="13:20" x14ac:dyDescent="0.2">
      <c r="M1511" s="20">
        <v>1.0293138345401874E-2</v>
      </c>
      <c r="N1511" s="20">
        <v>1.0536414196930565E-3</v>
      </c>
      <c r="O1511" s="20">
        <v>0.10236347597171241</v>
      </c>
      <c r="P1511" s="20"/>
      <c r="Q1511" s="20"/>
      <c r="R1511" s="20">
        <v>0.85</v>
      </c>
      <c r="S1511" s="20">
        <v>0.14999999999999991</v>
      </c>
      <c r="T1511" s="20"/>
    </row>
    <row r="1512" spans="13:20" x14ac:dyDescent="0.2">
      <c r="M1512" s="20">
        <v>1.0374307735152282E-2</v>
      </c>
      <c r="N1512" s="20">
        <v>1.0221857751741411E-3</v>
      </c>
      <c r="O1512" s="20">
        <v>9.8530504518443085E-2</v>
      </c>
      <c r="P1512" s="20"/>
      <c r="Q1512" s="20">
        <v>0.14000000000000001</v>
      </c>
      <c r="R1512" s="20">
        <v>0.63</v>
      </c>
      <c r="S1512" s="20">
        <v>0.22999999999999998</v>
      </c>
      <c r="T1512" s="20"/>
    </row>
    <row r="1513" spans="13:20" x14ac:dyDescent="0.2">
      <c r="M1513" s="20">
        <v>1.1710101176523404E-2</v>
      </c>
      <c r="N1513" s="20">
        <v>2.0101009266040235E-3</v>
      </c>
      <c r="O1513" s="20">
        <v>0.17165529966845255</v>
      </c>
      <c r="P1513" s="20">
        <v>0.59</v>
      </c>
      <c r="Q1513" s="20">
        <v>0.1</v>
      </c>
      <c r="R1513" s="20">
        <v>0.11</v>
      </c>
      <c r="S1513" s="20">
        <v>0.08</v>
      </c>
      <c r="T1513" s="20">
        <v>0.12000000000000022</v>
      </c>
    </row>
    <row r="1514" spans="13:20" x14ac:dyDescent="0.2">
      <c r="M1514" s="20">
        <v>1.4111664700453743E-2</v>
      </c>
      <c r="N1514" s="20">
        <v>2.4488579226379114E-3</v>
      </c>
      <c r="O1514" s="20">
        <v>0.17353430474855114</v>
      </c>
      <c r="P1514" s="20">
        <v>0.89</v>
      </c>
      <c r="Q1514" s="20">
        <v>0.10999999999999999</v>
      </c>
      <c r="R1514" s="20"/>
      <c r="S1514" s="20"/>
      <c r="T1514" s="20"/>
    </row>
    <row r="1515" spans="13:20" x14ac:dyDescent="0.2">
      <c r="M1515" s="20">
        <v>1.3009110546230461E-2</v>
      </c>
      <c r="N1515" s="20">
        <v>2.0845028072481913E-3</v>
      </c>
      <c r="O1515" s="20">
        <v>0.16023407594550726</v>
      </c>
      <c r="P1515" s="20">
        <v>0.52</v>
      </c>
      <c r="Q1515" s="20"/>
      <c r="R1515" s="20"/>
      <c r="S1515" s="20"/>
      <c r="T1515" s="20">
        <v>0.48</v>
      </c>
    </row>
    <row r="1516" spans="13:20" x14ac:dyDescent="0.2">
      <c r="M1516" s="20">
        <v>1.1441471998014405E-2</v>
      </c>
      <c r="N1516" s="20">
        <v>1.2794219583512408E-3</v>
      </c>
      <c r="O1516" s="20">
        <v>0.11182319535224805</v>
      </c>
      <c r="P1516" s="20">
        <v>0.28000000000000003</v>
      </c>
      <c r="Q1516" s="20">
        <v>0.2</v>
      </c>
      <c r="R1516" s="20">
        <v>0.04</v>
      </c>
      <c r="S1516" s="20">
        <v>0.48</v>
      </c>
      <c r="T1516" s="20"/>
    </row>
    <row r="1517" spans="13:20" x14ac:dyDescent="0.2">
      <c r="M1517" s="20">
        <v>1.29389878774267E-2</v>
      </c>
      <c r="N1517" s="20">
        <v>1.7492878234083417E-3</v>
      </c>
      <c r="O1517" s="20">
        <v>0.13519510490153108</v>
      </c>
      <c r="P1517" s="20">
        <v>0.28000000000000003</v>
      </c>
      <c r="Q1517" s="20"/>
      <c r="R1517" s="20"/>
      <c r="S1517" s="20">
        <v>0.08</v>
      </c>
      <c r="T1517" s="20">
        <v>0.64</v>
      </c>
    </row>
    <row r="1518" spans="13:20" x14ac:dyDescent="0.2">
      <c r="M1518" s="20">
        <v>1.1146254156210249E-2</v>
      </c>
      <c r="N1518" s="20">
        <v>1.5714215344055302E-3</v>
      </c>
      <c r="O1518" s="20">
        <v>0.14098202969201065</v>
      </c>
      <c r="P1518" s="20">
        <v>0.37</v>
      </c>
      <c r="Q1518" s="20">
        <v>0.19000000000000006</v>
      </c>
      <c r="R1518" s="20">
        <v>0.06</v>
      </c>
      <c r="S1518" s="20">
        <v>0.28000000000000003</v>
      </c>
      <c r="T1518" s="20">
        <v>0.1</v>
      </c>
    </row>
    <row r="1519" spans="13:20" x14ac:dyDescent="0.2">
      <c r="M1519" s="20">
        <v>1.1443542192633299E-2</v>
      </c>
      <c r="N1519" s="20">
        <v>1.177187660450882E-3</v>
      </c>
      <c r="O1519" s="20">
        <v>0.10286916766110132</v>
      </c>
      <c r="P1519" s="20"/>
      <c r="Q1519" s="20">
        <v>0.23</v>
      </c>
      <c r="R1519" s="20">
        <v>0.77</v>
      </c>
      <c r="S1519" s="20"/>
      <c r="T1519" s="20"/>
    </row>
    <row r="1520" spans="13:20" x14ac:dyDescent="0.2">
      <c r="M1520" s="20">
        <v>1.1103742306070523E-2</v>
      </c>
      <c r="N1520" s="20">
        <v>1.1408083758443876E-3</v>
      </c>
      <c r="O1520" s="20">
        <v>0.10274089080946129</v>
      </c>
      <c r="P1520" s="20"/>
      <c r="Q1520" s="20"/>
      <c r="R1520" s="20">
        <v>0.99</v>
      </c>
      <c r="S1520" s="20">
        <v>9.9999999999998979E-3</v>
      </c>
      <c r="T1520" s="20"/>
    </row>
    <row r="1521" spans="13:20" x14ac:dyDescent="0.2">
      <c r="M1521" s="20">
        <v>1.1037677669451181E-2</v>
      </c>
      <c r="N1521" s="20">
        <v>1.1345821646907212E-3</v>
      </c>
      <c r="O1521" s="20">
        <v>0.10279174647678721</v>
      </c>
      <c r="P1521" s="20"/>
      <c r="Q1521" s="20"/>
      <c r="R1521" s="20">
        <v>0.98</v>
      </c>
      <c r="S1521" s="20">
        <v>2.0000000000000129E-2</v>
      </c>
      <c r="T1521" s="20"/>
    </row>
    <row r="1522" spans="13:20" x14ac:dyDescent="0.2">
      <c r="M1522" s="20">
        <v>1.2886241582534257E-2</v>
      </c>
      <c r="N1522" s="20">
        <v>1.8002085159265449E-3</v>
      </c>
      <c r="O1522" s="20">
        <v>0.13970004398850555</v>
      </c>
      <c r="P1522" s="20">
        <v>0.3</v>
      </c>
      <c r="Q1522" s="20">
        <v>0.19999999999999996</v>
      </c>
      <c r="R1522" s="20"/>
      <c r="S1522" s="20"/>
      <c r="T1522" s="20">
        <v>0.5</v>
      </c>
    </row>
    <row r="1523" spans="13:20" x14ac:dyDescent="0.2">
      <c r="M1523" s="20">
        <v>1.2000009016157286E-2</v>
      </c>
      <c r="N1523" s="20">
        <v>9.0575110348088846E-4</v>
      </c>
      <c r="O1523" s="20">
        <v>7.5479201912377697E-2</v>
      </c>
      <c r="P1523" s="20"/>
      <c r="Q1523" s="20">
        <v>0.31</v>
      </c>
      <c r="R1523" s="20">
        <v>0.14000000000000001</v>
      </c>
      <c r="S1523" s="20">
        <v>0.49</v>
      </c>
      <c r="T1523" s="20">
        <v>6.0000000000000053E-2</v>
      </c>
    </row>
    <row r="1524" spans="13:20" x14ac:dyDescent="0.2">
      <c r="M1524" s="20">
        <v>1.0444953040813672E-2</v>
      </c>
      <c r="N1524" s="20">
        <v>1.0723200531540561E-3</v>
      </c>
      <c r="O1524" s="20">
        <v>0.10266394199801222</v>
      </c>
      <c r="P1524" s="20"/>
      <c r="Q1524" s="20"/>
      <c r="R1524" s="20">
        <v>0.88</v>
      </c>
      <c r="S1524" s="20">
        <v>0.12000000000000011</v>
      </c>
      <c r="T1524" s="20"/>
    </row>
    <row r="1525" spans="13:20" x14ac:dyDescent="0.2">
      <c r="M1525" s="20">
        <v>1.5807718646568842E-2</v>
      </c>
      <c r="N1525" s="20">
        <v>1.5860568224420521E-3</v>
      </c>
      <c r="O1525" s="20">
        <v>0.10033432767265978</v>
      </c>
      <c r="P1525" s="20">
        <v>4.9999999999999933E-2</v>
      </c>
      <c r="Q1525" s="20"/>
      <c r="R1525" s="20"/>
      <c r="S1525" s="20"/>
      <c r="T1525" s="20">
        <v>0.95</v>
      </c>
    </row>
    <row r="1526" spans="13:20" x14ac:dyDescent="0.2">
      <c r="M1526" s="20">
        <v>9.7409704201740031E-3</v>
      </c>
      <c r="N1526" s="20">
        <v>7.8591434008539612E-4</v>
      </c>
      <c r="O1526" s="20">
        <v>8.0681318819912543E-2</v>
      </c>
      <c r="P1526" s="20"/>
      <c r="Q1526" s="20"/>
      <c r="R1526" s="20">
        <v>0.42</v>
      </c>
      <c r="S1526" s="20">
        <v>0.57999999999999996</v>
      </c>
      <c r="T1526" s="20"/>
    </row>
    <row r="1527" spans="13:20" x14ac:dyDescent="0.2">
      <c r="M1527" s="20">
        <v>1.4076638263943288E-2</v>
      </c>
      <c r="N1527" s="20">
        <v>2.4357037314437571E-3</v>
      </c>
      <c r="O1527" s="20">
        <v>0.17303163481033032</v>
      </c>
      <c r="P1527" s="20">
        <v>0.88</v>
      </c>
      <c r="Q1527" s="20">
        <v>0.12000000000000011</v>
      </c>
      <c r="R1527" s="20"/>
      <c r="S1527" s="20"/>
      <c r="T1527" s="20"/>
    </row>
    <row r="1528" spans="13:20" x14ac:dyDescent="0.2">
      <c r="M1528" s="20">
        <v>1.2695033824683762E-2</v>
      </c>
      <c r="N1528" s="20">
        <v>2.0094938850499116E-3</v>
      </c>
      <c r="O1528" s="20">
        <v>0.15828976218580251</v>
      </c>
      <c r="P1528" s="20">
        <v>0.64</v>
      </c>
      <c r="Q1528" s="20">
        <v>0.19999999999999996</v>
      </c>
      <c r="R1528" s="20"/>
      <c r="S1528" s="20">
        <v>0.15</v>
      </c>
      <c r="T1528" s="20">
        <v>0.01</v>
      </c>
    </row>
    <row r="1529" spans="13:20" x14ac:dyDescent="0.2">
      <c r="M1529" s="20">
        <v>1.1105349198803046E-2</v>
      </c>
      <c r="N1529" s="20">
        <v>7.6298249377449757E-4</v>
      </c>
      <c r="O1529" s="20">
        <v>6.8704052444990477E-2</v>
      </c>
      <c r="P1529" s="20"/>
      <c r="Q1529" s="20">
        <v>0.13</v>
      </c>
      <c r="R1529" s="20">
        <v>0.08</v>
      </c>
      <c r="S1529" s="20">
        <v>0.7</v>
      </c>
      <c r="T1529" s="20">
        <v>8.9999999999999969E-2</v>
      </c>
    </row>
    <row r="1530" spans="13:20" x14ac:dyDescent="0.2">
      <c r="M1530" s="20">
        <v>1.0192156839305608E-2</v>
      </c>
      <c r="N1530" s="20">
        <v>8.4717096993996315E-4</v>
      </c>
      <c r="O1530" s="20">
        <v>8.3119891431898421E-2</v>
      </c>
      <c r="P1530" s="20"/>
      <c r="Q1530" s="20"/>
      <c r="R1530" s="20"/>
      <c r="S1530" s="20">
        <v>0.68</v>
      </c>
      <c r="T1530" s="20">
        <v>0.32000000000000006</v>
      </c>
    </row>
    <row r="1531" spans="13:20" x14ac:dyDescent="0.2">
      <c r="M1531" s="20">
        <v>1.2680069304551221E-2</v>
      </c>
      <c r="N1531" s="20">
        <v>1.2004246894378222E-3</v>
      </c>
      <c r="O1531" s="20">
        <v>9.4670199397645038E-2</v>
      </c>
      <c r="P1531" s="20"/>
      <c r="Q1531" s="20">
        <v>0.45</v>
      </c>
      <c r="R1531" s="20">
        <v>0.46</v>
      </c>
      <c r="S1531" s="20">
        <v>0.04</v>
      </c>
      <c r="T1531" s="20">
        <v>4.9999999999999822E-2</v>
      </c>
    </row>
    <row r="1532" spans="13:20" x14ac:dyDescent="0.2">
      <c r="M1532" s="20">
        <v>9.8089701147830027E-3</v>
      </c>
      <c r="N1532" s="20">
        <v>7.6312437553539576E-4</v>
      </c>
      <c r="O1532" s="20">
        <v>7.7798623770430134E-2</v>
      </c>
      <c r="P1532" s="20"/>
      <c r="Q1532" s="20"/>
      <c r="R1532" s="20">
        <v>0.27</v>
      </c>
      <c r="S1532" s="20">
        <v>0.66</v>
      </c>
      <c r="T1532" s="20">
        <v>6.999999999999984E-2</v>
      </c>
    </row>
    <row r="1533" spans="13:20" x14ac:dyDescent="0.2">
      <c r="M1533" s="20">
        <v>1.4201752820903987E-2</v>
      </c>
      <c r="N1533" s="20">
        <v>2.0016154220366634E-3</v>
      </c>
      <c r="O1533" s="20">
        <v>0.14094143499599751</v>
      </c>
      <c r="P1533" s="20">
        <v>0.55000000000000004</v>
      </c>
      <c r="Q1533" s="20">
        <v>0.44999999999999984</v>
      </c>
      <c r="R1533" s="20"/>
      <c r="S1533" s="20"/>
      <c r="T1533" s="20"/>
    </row>
    <row r="1534" spans="13:20" x14ac:dyDescent="0.2">
      <c r="M1534" s="20">
        <v>1.3253436773710983E-2</v>
      </c>
      <c r="N1534" s="20">
        <v>2.3390284165109004E-3</v>
      </c>
      <c r="O1534" s="20">
        <v>0.17648467008576288</v>
      </c>
      <c r="P1534" s="20">
        <v>0.76000000000000012</v>
      </c>
      <c r="Q1534" s="20"/>
      <c r="R1534" s="20"/>
      <c r="S1534" s="20"/>
      <c r="T1534" s="20">
        <v>0.24</v>
      </c>
    </row>
    <row r="1535" spans="13:20" x14ac:dyDescent="0.2">
      <c r="M1535" s="20">
        <v>1.3942508844043463E-2</v>
      </c>
      <c r="N1535" s="20">
        <v>2.1068489515898982E-3</v>
      </c>
      <c r="O1535" s="20">
        <v>0.151109744677694</v>
      </c>
      <c r="P1535" s="20">
        <v>0.63</v>
      </c>
      <c r="Q1535" s="20">
        <v>0.37</v>
      </c>
      <c r="R1535" s="20"/>
      <c r="S1535" s="20"/>
      <c r="T1535" s="20"/>
    </row>
    <row r="1536" spans="13:20" x14ac:dyDescent="0.2">
      <c r="M1536" s="20">
        <v>1.3734505458571657E-2</v>
      </c>
      <c r="N1536" s="20">
        <v>1.6042163940297636E-3</v>
      </c>
      <c r="O1536" s="20">
        <v>0.11680190443468626</v>
      </c>
      <c r="P1536" s="20">
        <v>0.12</v>
      </c>
      <c r="Q1536" s="20">
        <v>0.21999999999999997</v>
      </c>
      <c r="R1536" s="20"/>
      <c r="S1536" s="20"/>
      <c r="T1536" s="20">
        <v>0.66</v>
      </c>
    </row>
    <row r="1537" spans="13:20" x14ac:dyDescent="0.2">
      <c r="M1537" s="20">
        <v>1.0029055968474527E-2</v>
      </c>
      <c r="N1537" s="20">
        <v>1.0162841527710574E-3</v>
      </c>
      <c r="O1537" s="20">
        <v>0.10133397958548233</v>
      </c>
      <c r="P1537" s="20"/>
      <c r="Q1537" s="20"/>
      <c r="R1537" s="20">
        <v>0.79</v>
      </c>
      <c r="S1537" s="20">
        <v>0.20999999999999996</v>
      </c>
      <c r="T1537" s="20"/>
    </row>
    <row r="1538" spans="13:20" x14ac:dyDescent="0.2">
      <c r="M1538" s="20">
        <v>1.6605098630716873E-2</v>
      </c>
      <c r="N1538" s="20">
        <v>1.2532258456797519E-3</v>
      </c>
      <c r="O1538" s="20">
        <v>7.5472351808948443E-2</v>
      </c>
      <c r="P1538" s="20"/>
      <c r="Q1538" s="20">
        <v>0.81</v>
      </c>
      <c r="R1538" s="20">
        <v>0.18999999999999995</v>
      </c>
      <c r="S1538" s="20"/>
      <c r="T1538" s="20"/>
    </row>
    <row r="1539" spans="13:20" x14ac:dyDescent="0.2">
      <c r="M1539" s="20">
        <v>1.0154326017134093E-2</v>
      </c>
      <c r="N1539" s="20">
        <v>1.0349627862320568E-3</v>
      </c>
      <c r="O1539" s="20">
        <v>0.10192333636774049</v>
      </c>
      <c r="P1539" s="20"/>
      <c r="Q1539" s="20"/>
      <c r="R1539" s="20">
        <v>0.82</v>
      </c>
      <c r="S1539" s="20">
        <v>0.17999999999999994</v>
      </c>
      <c r="T1539" s="20"/>
    </row>
    <row r="1540" spans="13:20" x14ac:dyDescent="0.2">
      <c r="M1540" s="20">
        <v>1.0368329954033128E-2</v>
      </c>
      <c r="N1540" s="20">
        <v>1.4221538341461456E-3</v>
      </c>
      <c r="O1540" s="20">
        <v>0.13716325005580565</v>
      </c>
      <c r="P1540" s="20">
        <v>0.39</v>
      </c>
      <c r="Q1540" s="20"/>
      <c r="R1540" s="20"/>
      <c r="S1540" s="20">
        <v>0.52</v>
      </c>
      <c r="T1540" s="20">
        <v>0.09</v>
      </c>
    </row>
    <row r="1541" spans="13:20" x14ac:dyDescent="0.2">
      <c r="M1541" s="20">
        <v>1.0864015822688188E-2</v>
      </c>
      <c r="N1541" s="20">
        <v>8.4383260278060156E-4</v>
      </c>
      <c r="O1541" s="20">
        <v>7.7672254583646572E-2</v>
      </c>
      <c r="P1541" s="20">
        <v>0.12999999999999989</v>
      </c>
      <c r="Q1541" s="20"/>
      <c r="R1541" s="20"/>
      <c r="S1541" s="20">
        <v>0.82</v>
      </c>
      <c r="T1541" s="20">
        <v>0.05</v>
      </c>
    </row>
    <row r="1542" spans="13:20" x14ac:dyDescent="0.2">
      <c r="M1542" s="20">
        <v>1.2773124075694867E-2</v>
      </c>
      <c r="N1542" s="20">
        <v>1.8243773446597591E-3</v>
      </c>
      <c r="O1542" s="20">
        <v>0.14282937626287104</v>
      </c>
      <c r="P1542" s="20">
        <v>0.33</v>
      </c>
      <c r="Q1542" s="20">
        <v>0.22999999999999998</v>
      </c>
      <c r="R1542" s="20"/>
      <c r="S1542" s="20"/>
      <c r="T1542" s="20">
        <v>0.44</v>
      </c>
    </row>
    <row r="1543" spans="13:20" x14ac:dyDescent="0.2">
      <c r="M1543" s="20">
        <v>9.886018503842452E-3</v>
      </c>
      <c r="N1543" s="20">
        <v>7.5478328431706357E-4</v>
      </c>
      <c r="O1543" s="20">
        <v>7.6348560750083352E-2</v>
      </c>
      <c r="P1543" s="20"/>
      <c r="Q1543" s="20"/>
      <c r="R1543" s="20">
        <v>0.37</v>
      </c>
      <c r="S1543" s="20">
        <v>0.63</v>
      </c>
      <c r="T1543" s="20"/>
    </row>
    <row r="1544" spans="13:20" x14ac:dyDescent="0.2">
      <c r="M1544" s="20">
        <v>1.1050488904892273E-2</v>
      </c>
      <c r="N1544" s="20">
        <v>1.0892390936713835E-3</v>
      </c>
      <c r="O1544" s="20">
        <v>9.8569312457221281E-2</v>
      </c>
      <c r="P1544" s="20"/>
      <c r="Q1544" s="20"/>
      <c r="R1544" s="20">
        <v>0</v>
      </c>
      <c r="S1544" s="20">
        <v>0.44</v>
      </c>
      <c r="T1544" s="20">
        <v>0.55999999999999994</v>
      </c>
    </row>
    <row r="1545" spans="13:20" x14ac:dyDescent="0.2">
      <c r="M1545" s="20">
        <v>1.0622417067170096E-2</v>
      </c>
      <c r="N1545" s="20">
        <v>7.0596456442996772E-4</v>
      </c>
      <c r="O1545" s="20">
        <v>6.6459880078691233E-2</v>
      </c>
      <c r="P1545" s="20"/>
      <c r="Q1545" s="20"/>
      <c r="R1545" s="20"/>
      <c r="S1545" s="20">
        <v>0.82</v>
      </c>
      <c r="T1545" s="20">
        <v>0.17999999999999994</v>
      </c>
    </row>
    <row r="1546" spans="13:20" x14ac:dyDescent="0.2">
      <c r="M1546" s="20">
        <v>1.3126097599401285E-2</v>
      </c>
      <c r="N1546" s="20">
        <v>1.8600627493080065E-3</v>
      </c>
      <c r="O1546" s="20">
        <v>0.14170721611828094</v>
      </c>
      <c r="P1546" s="20">
        <v>0.33</v>
      </c>
      <c r="Q1546" s="20">
        <v>9.000000000000008E-2</v>
      </c>
      <c r="R1546" s="20"/>
      <c r="S1546" s="20"/>
      <c r="T1546" s="20">
        <v>0.57999999999999996</v>
      </c>
    </row>
    <row r="1547" spans="13:20" x14ac:dyDescent="0.2">
      <c r="M1547" s="20">
        <v>1.4107761123317457E-2</v>
      </c>
      <c r="N1547" s="20">
        <v>1.2243837754205256E-3</v>
      </c>
      <c r="O1547" s="20">
        <v>8.6787957686414965E-2</v>
      </c>
      <c r="P1547" s="20"/>
      <c r="Q1547" s="20">
        <v>0.59</v>
      </c>
      <c r="R1547" s="20">
        <v>0.41000000000000014</v>
      </c>
      <c r="S1547" s="20"/>
      <c r="T1547" s="20"/>
    </row>
    <row r="1548" spans="13:20" x14ac:dyDescent="0.2">
      <c r="M1548" s="20">
        <v>1.1271429270821276E-2</v>
      </c>
      <c r="N1548" s="20">
        <v>1.5411439968294575E-3</v>
      </c>
      <c r="O1548" s="20">
        <v>0.13673013065158188</v>
      </c>
      <c r="P1548" s="20">
        <v>0.16</v>
      </c>
      <c r="Q1548" s="20">
        <v>0.14000000000000001</v>
      </c>
      <c r="R1548" s="20">
        <v>0.3</v>
      </c>
      <c r="S1548" s="20">
        <v>0.01</v>
      </c>
      <c r="T1548" s="20">
        <v>0.39</v>
      </c>
    </row>
    <row r="1549" spans="13:20" x14ac:dyDescent="0.2">
      <c r="M1549" s="20">
        <v>1.4879817046544608E-2</v>
      </c>
      <c r="N1549" s="20">
        <v>1.6401211148327241E-3</v>
      </c>
      <c r="O1549" s="20">
        <v>0.11022454844050607</v>
      </c>
      <c r="P1549" s="20">
        <v>0.12</v>
      </c>
      <c r="Q1549" s="20"/>
      <c r="R1549" s="20"/>
      <c r="S1549" s="20">
        <v>0.02</v>
      </c>
      <c r="T1549" s="20">
        <v>0.86</v>
      </c>
    </row>
    <row r="1550" spans="13:20" x14ac:dyDescent="0.2">
      <c r="M1550" s="20">
        <v>1.1452331726292215E-2</v>
      </c>
      <c r="N1550" s="20">
        <v>1.2821784211049878E-3</v>
      </c>
      <c r="O1550" s="20">
        <v>0.1119578485629584</v>
      </c>
      <c r="P1550" s="20"/>
      <c r="Q1550" s="20">
        <v>0.14000000000000001</v>
      </c>
      <c r="R1550" s="20">
        <v>0.27</v>
      </c>
      <c r="S1550" s="20">
        <v>0.11</v>
      </c>
      <c r="T1550" s="20">
        <v>0.48000000000000009</v>
      </c>
    </row>
    <row r="1551" spans="13:20" x14ac:dyDescent="0.2">
      <c r="M1551" s="20">
        <v>1.1078226110210934E-2</v>
      </c>
      <c r="N1551" s="20">
        <v>6.353613616749699E-4</v>
      </c>
      <c r="O1551" s="20">
        <v>5.7352265187054607E-2</v>
      </c>
      <c r="P1551" s="20"/>
      <c r="Q1551" s="20"/>
      <c r="R1551" s="20"/>
      <c r="S1551" s="20">
        <v>0.89</v>
      </c>
      <c r="T1551" s="20">
        <v>0.10999999999999988</v>
      </c>
    </row>
    <row r="1552" spans="13:20" x14ac:dyDescent="0.2">
      <c r="M1552" s="20">
        <v>1.3743442670077471E-2</v>
      </c>
      <c r="N1552" s="20">
        <v>1.1967563761635846E-3</v>
      </c>
      <c r="O1552" s="20">
        <v>8.7078354739252434E-2</v>
      </c>
      <c r="P1552" s="20">
        <v>0.08</v>
      </c>
      <c r="Q1552" s="20">
        <v>0.53</v>
      </c>
      <c r="R1552" s="20">
        <v>0.14000000000000001</v>
      </c>
      <c r="S1552" s="20">
        <v>0.23</v>
      </c>
      <c r="T1552" s="20">
        <v>2.0000000000000018E-2</v>
      </c>
    </row>
    <row r="1553" spans="13:20" x14ac:dyDescent="0.2">
      <c r="M1553" s="20">
        <v>1.3834362163160023E-2</v>
      </c>
      <c r="N1553" s="20">
        <v>2.1989282899489791E-3</v>
      </c>
      <c r="O1553" s="20">
        <v>0.15894685017026497</v>
      </c>
      <c r="P1553" s="20">
        <v>0.7</v>
      </c>
      <c r="Q1553" s="20">
        <v>0.30000000000000016</v>
      </c>
      <c r="R1553" s="20"/>
      <c r="S1553" s="20"/>
      <c r="T1553" s="20"/>
    </row>
    <row r="1554" spans="13:20" x14ac:dyDescent="0.2">
      <c r="M1554" s="20">
        <v>1.4135952359691161E-2</v>
      </c>
      <c r="N1554" s="20">
        <v>1.7928785127655084E-3</v>
      </c>
      <c r="O1554" s="20">
        <v>0.12683110887370583</v>
      </c>
      <c r="P1554" s="20">
        <v>0.37</v>
      </c>
      <c r="Q1554" s="20">
        <v>0.52</v>
      </c>
      <c r="R1554" s="20"/>
      <c r="S1554" s="20"/>
      <c r="T1554" s="20">
        <v>0.11</v>
      </c>
    </row>
    <row r="1555" spans="13:20" x14ac:dyDescent="0.2">
      <c r="M1555" s="20">
        <v>1.623891119323944E-2</v>
      </c>
      <c r="N1555" s="20">
        <v>1.2492928360989483E-3</v>
      </c>
      <c r="O1555" s="20">
        <v>7.6932056665169279E-2</v>
      </c>
      <c r="P1555" s="20"/>
      <c r="Q1555" s="20">
        <v>0.78</v>
      </c>
      <c r="R1555" s="20">
        <v>0.21999999999999997</v>
      </c>
      <c r="S1555" s="20"/>
      <c r="T1555" s="20"/>
    </row>
    <row r="1556" spans="13:20" x14ac:dyDescent="0.2">
      <c r="M1556" s="20">
        <v>1.0338154838642933E-2</v>
      </c>
      <c r="N1556" s="20">
        <v>1.5734090450253105E-3</v>
      </c>
      <c r="O1556" s="20">
        <v>0.1521943779700487</v>
      </c>
      <c r="P1556" s="20">
        <v>0.28999999999999998</v>
      </c>
      <c r="Q1556" s="20">
        <v>0.1</v>
      </c>
      <c r="R1556" s="20">
        <v>0.6</v>
      </c>
      <c r="S1556" s="20">
        <v>9.9999999999998979E-3</v>
      </c>
      <c r="T1556" s="20"/>
    </row>
    <row r="1557" spans="13:20" x14ac:dyDescent="0.2">
      <c r="M1557" s="20">
        <v>1.23453440931807E-2</v>
      </c>
      <c r="N1557" s="20">
        <v>1.1981637115485012E-3</v>
      </c>
      <c r="O1557" s="20">
        <v>9.7053893557356649E-2</v>
      </c>
      <c r="P1557" s="20"/>
      <c r="Q1557" s="20">
        <v>0.39</v>
      </c>
      <c r="R1557" s="20">
        <v>0.61</v>
      </c>
      <c r="S1557" s="20"/>
      <c r="T1557" s="20"/>
    </row>
    <row r="1558" spans="13:20" x14ac:dyDescent="0.2">
      <c r="M1558" s="20">
        <v>1.3945961497563776E-2</v>
      </c>
      <c r="N1558" s="20">
        <v>2.0121476068436159E-3</v>
      </c>
      <c r="O1558" s="20">
        <v>0.14428174114743672</v>
      </c>
      <c r="P1558" s="20">
        <v>0.56000000000000005</v>
      </c>
      <c r="Q1558" s="20">
        <v>0.42</v>
      </c>
      <c r="R1558" s="20">
        <v>2.0000000000000129E-2</v>
      </c>
      <c r="S1558" s="20"/>
      <c r="T1558" s="20"/>
    </row>
    <row r="1559" spans="13:20" x14ac:dyDescent="0.2">
      <c r="M1559" s="20">
        <v>1.032247063989955E-2</v>
      </c>
      <c r="N1559" s="20">
        <v>7.7656776718496565E-4</v>
      </c>
      <c r="O1559" s="20">
        <v>7.5230804162647893E-2</v>
      </c>
      <c r="P1559" s="20"/>
      <c r="Q1559" s="20"/>
      <c r="R1559" s="20"/>
      <c r="S1559" s="20">
        <v>0.75</v>
      </c>
      <c r="T1559" s="20">
        <v>0.25000000000000011</v>
      </c>
    </row>
    <row r="1560" spans="13:20" x14ac:dyDescent="0.2">
      <c r="M1560" s="20">
        <v>1.0556532643402264E-2</v>
      </c>
      <c r="N1560" s="20">
        <v>6.6139011701206582E-4</v>
      </c>
      <c r="O1560" s="20">
        <v>6.2652211607134897E-2</v>
      </c>
      <c r="P1560" s="20"/>
      <c r="Q1560" s="20"/>
      <c r="R1560" s="20">
        <v>0.22</v>
      </c>
      <c r="S1560" s="20">
        <v>0.77999999999999992</v>
      </c>
      <c r="T1560" s="20"/>
    </row>
    <row r="1561" spans="13:20" x14ac:dyDescent="0.2">
      <c r="M1561" s="20">
        <v>1.3728471703233706E-2</v>
      </c>
      <c r="N1561" s="20">
        <v>1.8723981328626E-3</v>
      </c>
      <c r="O1561" s="20">
        <v>0.13638795150239202</v>
      </c>
      <c r="P1561" s="20">
        <v>0.31999999999999995</v>
      </c>
      <c r="Q1561" s="20"/>
      <c r="R1561" s="20"/>
      <c r="S1561" s="20"/>
      <c r="T1561" s="20">
        <v>0.68</v>
      </c>
    </row>
    <row r="1562" spans="13:20" x14ac:dyDescent="0.2">
      <c r="M1562" s="20">
        <v>1.312819471213825E-2</v>
      </c>
      <c r="N1562" s="20">
        <v>2.2966074816337815E-3</v>
      </c>
      <c r="O1562" s="20">
        <v>0.17493703681210271</v>
      </c>
      <c r="P1562" s="20">
        <v>0.71999999999999986</v>
      </c>
      <c r="Q1562" s="20"/>
      <c r="R1562" s="20"/>
      <c r="S1562" s="20"/>
      <c r="T1562" s="20">
        <v>0.28000000000000003</v>
      </c>
    </row>
    <row r="1563" spans="13:20" x14ac:dyDescent="0.2">
      <c r="M1563" s="20">
        <v>1.3065123935181406E-2</v>
      </c>
      <c r="N1563" s="20">
        <v>2.0526871060903523E-3</v>
      </c>
      <c r="O1563" s="20">
        <v>0.1571119505849411</v>
      </c>
      <c r="P1563" s="20">
        <v>0.49</v>
      </c>
      <c r="Q1563" s="20"/>
      <c r="R1563" s="20"/>
      <c r="S1563" s="20"/>
      <c r="T1563" s="20">
        <v>0.51</v>
      </c>
    </row>
    <row r="1564" spans="13:20" x14ac:dyDescent="0.2">
      <c r="M1564" s="20">
        <v>1.3075606813184711E-2</v>
      </c>
      <c r="N1564" s="20">
        <v>2.0530039753539398E-3</v>
      </c>
      <c r="O1564" s="20">
        <v>0.15701022558156194</v>
      </c>
      <c r="P1564" s="20">
        <v>0.56000000000000005</v>
      </c>
      <c r="Q1564" s="20">
        <v>0.28999999999999981</v>
      </c>
      <c r="R1564" s="20"/>
      <c r="S1564" s="20"/>
      <c r="T1564" s="20">
        <v>0.15</v>
      </c>
    </row>
    <row r="1565" spans="13:20" x14ac:dyDescent="0.2">
      <c r="M1565" s="20">
        <v>1.0322470639899549E-2</v>
      </c>
      <c r="N1565" s="20">
        <v>7.7656776718496544E-4</v>
      </c>
      <c r="O1565" s="20">
        <v>7.523080416264788E-2</v>
      </c>
      <c r="P1565" s="20"/>
      <c r="Q1565" s="20"/>
      <c r="R1565" s="20"/>
      <c r="S1565" s="20">
        <v>0.75</v>
      </c>
      <c r="T1565" s="20">
        <v>0.25</v>
      </c>
    </row>
    <row r="1566" spans="13:20" x14ac:dyDescent="0.2">
      <c r="M1566" s="20">
        <v>1.1104904177471439E-2</v>
      </c>
      <c r="N1566" s="20">
        <v>1.0801902883794199E-3</v>
      </c>
      <c r="O1566" s="20">
        <v>9.7271464131208449E-2</v>
      </c>
      <c r="P1566" s="20"/>
      <c r="Q1566" s="20">
        <v>0.25</v>
      </c>
      <c r="R1566" s="20">
        <v>0.59</v>
      </c>
      <c r="S1566" s="20">
        <v>0.16000000000000003</v>
      </c>
      <c r="T1566" s="20"/>
    </row>
    <row r="1567" spans="13:20" x14ac:dyDescent="0.2">
      <c r="M1567" s="20">
        <v>9.7409704201740031E-3</v>
      </c>
      <c r="N1567" s="20">
        <v>7.8591434008539623E-4</v>
      </c>
      <c r="O1567" s="20">
        <v>8.0681318819912543E-2</v>
      </c>
      <c r="P1567" s="20"/>
      <c r="Q1567" s="20"/>
      <c r="R1567" s="20">
        <v>0.42</v>
      </c>
      <c r="S1567" s="20">
        <v>0.58000000000000007</v>
      </c>
      <c r="T1567" s="20"/>
    </row>
    <row r="1568" spans="13:20" x14ac:dyDescent="0.2">
      <c r="M1568" s="20">
        <v>1.4442119867290834E-2</v>
      </c>
      <c r="N1568" s="20">
        <v>1.7557405619505247E-3</v>
      </c>
      <c r="O1568" s="20">
        <v>0.12157083434316351</v>
      </c>
      <c r="P1568" s="20">
        <v>0.20999999999999985</v>
      </c>
      <c r="Q1568" s="20"/>
      <c r="R1568" s="20"/>
      <c r="S1568" s="20"/>
      <c r="T1568" s="20">
        <v>0.79</v>
      </c>
    </row>
    <row r="1569" spans="13:20" x14ac:dyDescent="0.2">
      <c r="M1569" s="20">
        <v>1.0541995785273607E-2</v>
      </c>
      <c r="N1569" s="20">
        <v>1.7206773437854366E-3</v>
      </c>
      <c r="O1569" s="20">
        <v>0.16322121340525447</v>
      </c>
      <c r="P1569" s="20">
        <v>0.53000000000000014</v>
      </c>
      <c r="Q1569" s="20"/>
      <c r="R1569" s="20">
        <v>0.16</v>
      </c>
      <c r="S1569" s="20">
        <v>0.31</v>
      </c>
      <c r="T1569" s="20">
        <v>0</v>
      </c>
    </row>
    <row r="1570" spans="13:20" x14ac:dyDescent="0.2">
      <c r="M1570" s="20">
        <v>1.3834362163160023E-2</v>
      </c>
      <c r="N1570" s="20">
        <v>2.1989282899489791E-3</v>
      </c>
      <c r="O1570" s="20">
        <v>0.15894685017026497</v>
      </c>
      <c r="P1570" s="20">
        <v>0.7</v>
      </c>
      <c r="Q1570" s="20">
        <v>0.30000000000000016</v>
      </c>
      <c r="R1570" s="20"/>
      <c r="S1570" s="20"/>
      <c r="T1570" s="20"/>
    </row>
    <row r="1571" spans="13:20" x14ac:dyDescent="0.2">
      <c r="M1571" s="20">
        <v>1.3876992723142755E-2</v>
      </c>
      <c r="N1571" s="20">
        <v>2.3304702018905219E-3</v>
      </c>
      <c r="O1571" s="20">
        <v>0.16793769719313761</v>
      </c>
      <c r="P1571" s="20">
        <v>0.8</v>
      </c>
      <c r="Q1571" s="20">
        <v>0.19999999999999996</v>
      </c>
      <c r="R1571" s="20"/>
      <c r="S1571" s="20"/>
      <c r="T1571" s="20"/>
    </row>
    <row r="1572" spans="13:20" x14ac:dyDescent="0.2">
      <c r="M1572" s="20">
        <v>1.3674008432626252E-2</v>
      </c>
      <c r="N1572" s="20">
        <v>1.8830033665818793E-3</v>
      </c>
      <c r="O1572" s="20">
        <v>0.13770675774113345</v>
      </c>
      <c r="P1572" s="20">
        <v>0.32999999999999985</v>
      </c>
      <c r="Q1572" s="20"/>
      <c r="R1572" s="20"/>
      <c r="S1572" s="20"/>
      <c r="T1572" s="20">
        <v>0.67</v>
      </c>
    </row>
    <row r="1573" spans="13:20" x14ac:dyDescent="0.2">
      <c r="M1573" s="20">
        <v>1.2667346861034422E-2</v>
      </c>
      <c r="N1573" s="20">
        <v>1.4983789875340429E-3</v>
      </c>
      <c r="O1573" s="20">
        <v>0.11828672601862301</v>
      </c>
      <c r="P1573" s="20">
        <v>0.1</v>
      </c>
      <c r="Q1573" s="20">
        <v>0.34</v>
      </c>
      <c r="R1573" s="20">
        <v>0.14000000000000001</v>
      </c>
      <c r="S1573" s="20"/>
      <c r="T1573" s="20">
        <v>0.42</v>
      </c>
    </row>
    <row r="1574" spans="13:20" x14ac:dyDescent="0.2">
      <c r="M1574" s="20">
        <v>1.3262960628972897E-2</v>
      </c>
      <c r="N1574" s="20">
        <v>1.7784961101120125E-3</v>
      </c>
      <c r="O1574" s="20">
        <v>0.13409495510579236</v>
      </c>
      <c r="P1574" s="20">
        <v>0.33</v>
      </c>
      <c r="Q1574" s="20">
        <v>0.40999999999999981</v>
      </c>
      <c r="R1574" s="20"/>
      <c r="S1574" s="20"/>
      <c r="T1574" s="20">
        <v>0.26</v>
      </c>
    </row>
    <row r="1575" spans="13:20" x14ac:dyDescent="0.2">
      <c r="M1575" s="20">
        <v>1.390452838941523E-2</v>
      </c>
      <c r="N1575" s="20">
        <v>1.3615657328692316E-3</v>
      </c>
      <c r="O1575" s="20">
        <v>9.7922467755592352E-2</v>
      </c>
      <c r="P1575" s="20"/>
      <c r="Q1575" s="20"/>
      <c r="R1575" s="20"/>
      <c r="S1575" s="20">
        <v>0.17</v>
      </c>
      <c r="T1575" s="20">
        <v>0.83</v>
      </c>
    </row>
    <row r="1576" spans="13:20" x14ac:dyDescent="0.2">
      <c r="M1576" s="20">
        <v>1.395873396845901E-2</v>
      </c>
      <c r="N1576" s="20">
        <v>2.3830869666671395E-3</v>
      </c>
      <c r="O1576" s="20">
        <v>0.17072371835812147</v>
      </c>
      <c r="P1576" s="20">
        <v>0.84</v>
      </c>
      <c r="Q1576" s="20">
        <v>0.16000000000000003</v>
      </c>
      <c r="R1576" s="20"/>
      <c r="S1576" s="20"/>
      <c r="T1576" s="20"/>
    </row>
    <row r="1577" spans="13:20" x14ac:dyDescent="0.2">
      <c r="M1577" s="20">
        <v>1.2010773885012309E-2</v>
      </c>
      <c r="N1577" s="20">
        <v>1.5927783938090826E-3</v>
      </c>
      <c r="O1577" s="20">
        <v>0.13261247019200301</v>
      </c>
      <c r="P1577" s="20">
        <v>0.2</v>
      </c>
      <c r="Q1577" s="20">
        <v>0.31</v>
      </c>
      <c r="R1577" s="20">
        <v>0.18999999999999995</v>
      </c>
      <c r="S1577" s="20"/>
      <c r="T1577" s="20">
        <v>0.3</v>
      </c>
    </row>
    <row r="1578" spans="13:20" x14ac:dyDescent="0.2">
      <c r="M1578" s="20">
        <v>1.1664955862090074E-2</v>
      </c>
      <c r="N1578" s="20">
        <v>1.2386579549793786E-3</v>
      </c>
      <c r="O1578" s="20">
        <v>0.10618625304917712</v>
      </c>
      <c r="P1578" s="20">
        <v>0.22</v>
      </c>
      <c r="Q1578" s="20">
        <v>0.25</v>
      </c>
      <c r="R1578" s="20">
        <v>0</v>
      </c>
      <c r="S1578" s="20">
        <v>0.46</v>
      </c>
      <c r="T1578" s="20">
        <v>7.0000000000000007E-2</v>
      </c>
    </row>
    <row r="1579" spans="13:20" x14ac:dyDescent="0.2">
      <c r="M1579" s="20">
        <v>1.1078226110210934E-2</v>
      </c>
      <c r="N1579" s="20">
        <v>6.3536136167497011E-4</v>
      </c>
      <c r="O1579" s="20">
        <v>5.7352265187054628E-2</v>
      </c>
      <c r="P1579" s="20"/>
      <c r="Q1579" s="20"/>
      <c r="R1579" s="20"/>
      <c r="S1579" s="20">
        <v>0.89</v>
      </c>
      <c r="T1579" s="20">
        <v>0.10999999999999999</v>
      </c>
    </row>
    <row r="1580" spans="13:20" x14ac:dyDescent="0.2">
      <c r="M1580" s="20">
        <v>1.1253776388295516E-2</v>
      </c>
      <c r="N1580" s="20">
        <v>1.8228773951254767E-3</v>
      </c>
      <c r="O1580" s="20">
        <v>0.16197917323302774</v>
      </c>
      <c r="P1580" s="20">
        <v>0.45</v>
      </c>
      <c r="Q1580" s="20">
        <v>0.19</v>
      </c>
      <c r="R1580" s="20">
        <v>0.36</v>
      </c>
      <c r="S1580" s="20"/>
      <c r="T1580" s="20"/>
    </row>
    <row r="1581" spans="13:20" x14ac:dyDescent="0.2">
      <c r="M1581" s="20">
        <v>9.2415416993420034E-3</v>
      </c>
      <c r="N1581" s="20">
        <v>1.0513089489442629E-3</v>
      </c>
      <c r="O1581" s="20">
        <v>0.11375904401525516</v>
      </c>
      <c r="P1581" s="20">
        <v>0.04</v>
      </c>
      <c r="Q1581" s="20">
        <v>0.01</v>
      </c>
      <c r="R1581" s="20">
        <v>0.72</v>
      </c>
      <c r="S1581" s="20">
        <v>0.12</v>
      </c>
      <c r="T1581" s="20">
        <v>0.03</v>
      </c>
    </row>
    <row r="1582" spans="13:20" x14ac:dyDescent="0.2">
      <c r="M1582" s="20">
        <v>1.3876782910384536E-2</v>
      </c>
      <c r="N1582" s="20">
        <v>2.4768964548615336E-3</v>
      </c>
      <c r="O1582" s="20">
        <v>0.17849212392073785</v>
      </c>
      <c r="P1582" s="20">
        <v>0.8899999999999999</v>
      </c>
      <c r="Q1582" s="20"/>
      <c r="R1582" s="20"/>
      <c r="S1582" s="20"/>
      <c r="T1582" s="20">
        <v>0.11</v>
      </c>
    </row>
    <row r="1583" spans="13:20" x14ac:dyDescent="0.2">
      <c r="M1583" s="20">
        <v>1.1383691064210773E-2</v>
      </c>
      <c r="N1583" s="20">
        <v>5.8044937201440108E-4</v>
      </c>
      <c r="O1583" s="20">
        <v>5.098955766985612E-2</v>
      </c>
      <c r="P1583" s="20"/>
      <c r="Q1583" s="20"/>
      <c r="R1583" s="20">
        <v>0.09</v>
      </c>
      <c r="S1583" s="20">
        <v>0.91</v>
      </c>
      <c r="T1583" s="20"/>
    </row>
    <row r="1584" spans="13:20" x14ac:dyDescent="0.2">
      <c r="M1584" s="20">
        <v>1.7895134265593464E-2</v>
      </c>
      <c r="N1584" s="20">
        <v>1.2601096664620977E-3</v>
      </c>
      <c r="O1584" s="20">
        <v>7.0416329252409107E-2</v>
      </c>
      <c r="P1584" s="20"/>
      <c r="Q1584" s="20">
        <v>0.91</v>
      </c>
      <c r="R1584" s="20">
        <v>0.08</v>
      </c>
      <c r="S1584" s="20">
        <v>1.000000000000012E-2</v>
      </c>
      <c r="T1584" s="20"/>
    </row>
    <row r="1585" spans="13:20" x14ac:dyDescent="0.2">
      <c r="M1585" s="20">
        <v>1.1103742306070523E-2</v>
      </c>
      <c r="N1585" s="20">
        <v>1.1408083758443878E-3</v>
      </c>
      <c r="O1585" s="20">
        <v>0.10274089080946132</v>
      </c>
      <c r="P1585" s="20"/>
      <c r="Q1585" s="20"/>
      <c r="R1585" s="20">
        <v>0.99</v>
      </c>
      <c r="S1585" s="20">
        <v>0.01</v>
      </c>
      <c r="T1585" s="20">
        <v>1.1102230246251565E-16</v>
      </c>
    </row>
    <row r="1586" spans="13:20" x14ac:dyDescent="0.2">
      <c r="M1586" s="20">
        <v>1.4772438770044513E-2</v>
      </c>
      <c r="N1586" s="20">
        <v>9.8429320489209029E-4</v>
      </c>
      <c r="O1586" s="20">
        <v>6.6630379737165388E-2</v>
      </c>
      <c r="P1586" s="20"/>
      <c r="Q1586" s="20">
        <v>0.56999999999999995</v>
      </c>
      <c r="R1586" s="20">
        <v>0</v>
      </c>
      <c r="S1586" s="20">
        <v>0.4</v>
      </c>
      <c r="T1586" s="20">
        <v>3.0000000000000027E-2</v>
      </c>
    </row>
    <row r="1587" spans="13:20" x14ac:dyDescent="0.2">
      <c r="M1587" s="20">
        <v>9.5111898281597541E-3</v>
      </c>
      <c r="N1587" s="20">
        <v>1.3093940990907202E-3</v>
      </c>
      <c r="O1587" s="20">
        <v>0.13766880093319139</v>
      </c>
      <c r="P1587" s="20">
        <v>0.13999999999999979</v>
      </c>
      <c r="Q1587" s="20">
        <v>0.03</v>
      </c>
      <c r="R1587" s="20">
        <v>0.5</v>
      </c>
      <c r="S1587" s="20">
        <v>0.17</v>
      </c>
      <c r="T1587" s="20">
        <v>0.16</v>
      </c>
    </row>
    <row r="1588" spans="13:20" x14ac:dyDescent="0.2">
      <c r="M1588" s="20">
        <v>1.0666632172008018E-2</v>
      </c>
      <c r="N1588" s="20">
        <v>1.0972248977687219E-3</v>
      </c>
      <c r="O1588" s="20">
        <v>0.1028651668188317</v>
      </c>
      <c r="P1588" s="20"/>
      <c r="Q1588" s="20"/>
      <c r="R1588" s="20">
        <v>0.92</v>
      </c>
      <c r="S1588" s="20">
        <v>7.999999999999996E-2</v>
      </c>
      <c r="T1588" s="20"/>
    </row>
    <row r="1589" spans="13:20" x14ac:dyDescent="0.2">
      <c r="M1589" s="20">
        <v>1.0666632172008018E-2</v>
      </c>
      <c r="N1589" s="20">
        <v>1.0972248977687219E-3</v>
      </c>
      <c r="O1589" s="20">
        <v>0.1028651668188317</v>
      </c>
      <c r="P1589" s="20"/>
      <c r="Q1589" s="20"/>
      <c r="R1589" s="20">
        <v>0.92</v>
      </c>
      <c r="S1589" s="20">
        <v>7.999999999999996E-2</v>
      </c>
      <c r="T1589" s="20"/>
    </row>
    <row r="1590" spans="13:20" x14ac:dyDescent="0.2">
      <c r="M1590" s="20">
        <v>1.3073094975834842E-2</v>
      </c>
      <c r="N1590" s="20">
        <v>1.7034406664374953E-3</v>
      </c>
      <c r="O1590" s="20">
        <v>0.13030125380303942</v>
      </c>
      <c r="P1590" s="20">
        <v>0.24</v>
      </c>
      <c r="Q1590" s="20">
        <v>0.33000000000000007</v>
      </c>
      <c r="R1590" s="20"/>
      <c r="S1590" s="20"/>
      <c r="T1590" s="20">
        <v>0.43</v>
      </c>
    </row>
    <row r="1591" spans="13:20" x14ac:dyDescent="0.2">
      <c r="M1591" s="20">
        <v>9.6526355733381961E-3</v>
      </c>
      <c r="N1591" s="20">
        <v>1.3414947846640663E-3</v>
      </c>
      <c r="O1591" s="20">
        <v>0.13897704668033309</v>
      </c>
      <c r="P1591" s="20">
        <v>0.24</v>
      </c>
      <c r="Q1591" s="20">
        <v>7.0000000000000007E-2</v>
      </c>
      <c r="R1591" s="20">
        <v>0.43</v>
      </c>
      <c r="S1591" s="20">
        <v>0.26000000000000012</v>
      </c>
      <c r="T1591" s="20"/>
    </row>
    <row r="1592" spans="13:20" x14ac:dyDescent="0.2">
      <c r="M1592" s="20">
        <v>1.0111038660449708E-2</v>
      </c>
      <c r="N1592" s="20">
        <v>1.0287365750783904E-3</v>
      </c>
      <c r="O1592" s="20">
        <v>0.10174390679588553</v>
      </c>
      <c r="P1592" s="20"/>
      <c r="Q1592" s="20"/>
      <c r="R1592" s="20">
        <v>0.81</v>
      </c>
      <c r="S1592" s="20">
        <v>0.18999999999999995</v>
      </c>
      <c r="T1592" s="20"/>
    </row>
    <row r="1593" spans="13:20" x14ac:dyDescent="0.2">
      <c r="M1593" s="20">
        <v>1.5213885686341586E-2</v>
      </c>
      <c r="N1593" s="20">
        <v>1.5287515465354658E-3</v>
      </c>
      <c r="O1593" s="20">
        <v>0.10048396432398052</v>
      </c>
      <c r="P1593" s="20">
        <v>0.02</v>
      </c>
      <c r="Q1593" s="20">
        <v>9.9999999999999978E-2</v>
      </c>
      <c r="R1593" s="20"/>
      <c r="S1593" s="20"/>
      <c r="T1593" s="20">
        <v>0.88</v>
      </c>
    </row>
    <row r="1594" spans="13:20" x14ac:dyDescent="0.2">
      <c r="M1594" s="20">
        <v>1.1637126067539824E-2</v>
      </c>
      <c r="N1594" s="20">
        <v>1.1598422964263814E-3</v>
      </c>
      <c r="O1594" s="20">
        <v>9.9667416997535424E-2</v>
      </c>
      <c r="P1594" s="20"/>
      <c r="Q1594" s="20"/>
      <c r="R1594" s="20"/>
      <c r="S1594" s="20">
        <v>0.37</v>
      </c>
      <c r="T1594" s="20">
        <v>0.63</v>
      </c>
    </row>
    <row r="1595" spans="13:20" x14ac:dyDescent="0.2">
      <c r="M1595" s="20">
        <v>1.1170957929046488E-2</v>
      </c>
      <c r="N1595" s="20">
        <v>1.1470345869980542E-3</v>
      </c>
      <c r="O1595" s="20">
        <v>0.10268005611368021</v>
      </c>
      <c r="P1595" s="20"/>
      <c r="Q1595" s="20"/>
      <c r="R1595" s="20">
        <v>1</v>
      </c>
      <c r="S1595" s="20">
        <v>0</v>
      </c>
      <c r="T1595" s="20"/>
    </row>
    <row r="1596" spans="13:20" x14ac:dyDescent="0.2">
      <c r="M1596" s="20">
        <v>1.3570602348951239E-2</v>
      </c>
      <c r="N1596" s="20">
        <v>1.9042138340204385E-3</v>
      </c>
      <c r="O1596" s="20">
        <v>0.14031903559296319</v>
      </c>
      <c r="P1596" s="20">
        <v>0.35</v>
      </c>
      <c r="Q1596" s="20"/>
      <c r="R1596" s="20"/>
      <c r="S1596" s="20"/>
      <c r="T1596" s="20">
        <v>0.65</v>
      </c>
    </row>
    <row r="1597" spans="13:20" x14ac:dyDescent="0.2">
      <c r="M1597" s="20">
        <v>1.3203902615933136E-2</v>
      </c>
      <c r="N1597" s="20">
        <v>2.1510829974781698E-3</v>
      </c>
      <c r="O1597" s="20">
        <v>0.1629126675686369</v>
      </c>
      <c r="P1597" s="20">
        <v>0.7</v>
      </c>
      <c r="Q1597" s="20">
        <v>0.22</v>
      </c>
      <c r="R1597" s="20">
        <v>0.02</v>
      </c>
      <c r="S1597" s="20">
        <v>6.0000000000000164E-2</v>
      </c>
      <c r="T1597" s="20"/>
    </row>
    <row r="1598" spans="13:20" x14ac:dyDescent="0.2">
      <c r="M1598" s="20">
        <v>1.0258850148799393E-2</v>
      </c>
      <c r="N1598" s="20">
        <v>9.2786034451710329E-4</v>
      </c>
      <c r="O1598" s="20">
        <v>9.0444867705343379E-2</v>
      </c>
      <c r="P1598" s="20"/>
      <c r="Q1598" s="20"/>
      <c r="R1598" s="20"/>
      <c r="S1598" s="20">
        <v>0.6</v>
      </c>
      <c r="T1598" s="20">
        <v>0.4</v>
      </c>
    </row>
    <row r="1599" spans="13:20" x14ac:dyDescent="0.2">
      <c r="M1599" s="20">
        <v>1.5154474237182466E-2</v>
      </c>
      <c r="N1599" s="20">
        <v>1.1925993260872706E-3</v>
      </c>
      <c r="O1599" s="20">
        <v>7.869618618382368E-2</v>
      </c>
      <c r="P1599" s="20"/>
      <c r="Q1599" s="20">
        <v>0.68</v>
      </c>
      <c r="R1599" s="20">
        <v>0.25</v>
      </c>
      <c r="S1599" s="20">
        <v>6.9999999999999951E-2</v>
      </c>
      <c r="T1599" s="20"/>
    </row>
    <row r="1600" spans="13:20" x14ac:dyDescent="0.2">
      <c r="M1600" s="20">
        <v>1.1037677669451181E-2</v>
      </c>
      <c r="N1600" s="20">
        <v>1.1345821646907212E-3</v>
      </c>
      <c r="O1600" s="20">
        <v>0.10279174647678721</v>
      </c>
      <c r="P1600" s="20"/>
      <c r="Q1600" s="20"/>
      <c r="R1600" s="20">
        <v>0.98</v>
      </c>
      <c r="S1600" s="20">
        <v>2.0000000000000018E-2</v>
      </c>
      <c r="T1600" s="20"/>
    </row>
    <row r="1601" spans="13:20" x14ac:dyDescent="0.2">
      <c r="M1601" s="20">
        <v>9.5799798832001421E-3</v>
      </c>
      <c r="N1601" s="20">
        <v>8.4817645162206144E-4</v>
      </c>
      <c r="O1601" s="20">
        <v>8.853634996765071E-2</v>
      </c>
      <c r="P1601" s="20"/>
      <c r="Q1601" s="20"/>
      <c r="R1601" s="20">
        <v>0.52</v>
      </c>
      <c r="S1601" s="20">
        <v>0.48000000000000009</v>
      </c>
      <c r="T1601" s="20"/>
    </row>
    <row r="1602" spans="13:20" x14ac:dyDescent="0.2">
      <c r="M1602" s="20">
        <v>1.3009110546230463E-2</v>
      </c>
      <c r="N1602" s="20">
        <v>2.0845028072481913E-3</v>
      </c>
      <c r="O1602" s="20">
        <v>0.16023407594550726</v>
      </c>
      <c r="P1602" s="20">
        <v>0.52</v>
      </c>
      <c r="Q1602" s="20">
        <v>1.1102230246251565E-16</v>
      </c>
      <c r="R1602" s="20"/>
      <c r="S1602" s="20"/>
      <c r="T1602" s="20">
        <v>0.48</v>
      </c>
    </row>
    <row r="1603" spans="13:20" x14ac:dyDescent="0.2">
      <c r="M1603" s="20">
        <v>1.0933102399933914E-2</v>
      </c>
      <c r="N1603" s="20">
        <v>6.5553370531925518E-4</v>
      </c>
      <c r="O1603" s="20">
        <v>5.9958617539630617E-2</v>
      </c>
      <c r="P1603" s="20"/>
      <c r="Q1603" s="20"/>
      <c r="R1603" s="20"/>
      <c r="S1603" s="20">
        <v>0.87</v>
      </c>
      <c r="T1603" s="20">
        <v>0.13</v>
      </c>
    </row>
    <row r="1604" spans="13:20" x14ac:dyDescent="0.2">
      <c r="M1604" s="20">
        <v>1.1766506833316759E-2</v>
      </c>
      <c r="N1604" s="20">
        <v>5.5467198709783019E-4</v>
      </c>
      <c r="O1604" s="20">
        <v>4.7139902687795276E-2</v>
      </c>
      <c r="P1604" s="20"/>
      <c r="Q1604" s="20"/>
      <c r="R1604" s="20"/>
      <c r="S1604" s="20">
        <v>0.97</v>
      </c>
      <c r="T1604" s="20">
        <v>3.0000000000000138E-2</v>
      </c>
    </row>
    <row r="1605" spans="13:20" x14ac:dyDescent="0.2">
      <c r="M1605" s="20">
        <v>1.4043816940215016E-2</v>
      </c>
      <c r="N1605" s="20">
        <v>2.4225495402496028E-3</v>
      </c>
      <c r="O1605" s="20">
        <v>0.17249936755530743</v>
      </c>
      <c r="P1605" s="20">
        <v>0.87</v>
      </c>
      <c r="Q1605" s="20">
        <v>0.13000000000000012</v>
      </c>
      <c r="R1605" s="20"/>
      <c r="S1605" s="20"/>
      <c r="T1605" s="20"/>
    </row>
    <row r="1606" spans="13:20" x14ac:dyDescent="0.2">
      <c r="M1606" s="20">
        <v>9.8035940648196918E-3</v>
      </c>
      <c r="N1606" s="20">
        <v>1.0293577449597708E-3</v>
      </c>
      <c r="O1606" s="20">
        <v>0.10499799748478292</v>
      </c>
      <c r="P1606" s="20"/>
      <c r="Q1606" s="20"/>
      <c r="R1606" s="20">
        <v>0.73</v>
      </c>
      <c r="S1606" s="20">
        <v>0.22</v>
      </c>
      <c r="T1606" s="20">
        <v>5.0000000000000044E-2</v>
      </c>
    </row>
    <row r="1607" spans="13:20" x14ac:dyDescent="0.2">
      <c r="M1607" s="20">
        <v>1.0432702372816917E-2</v>
      </c>
      <c r="N1607" s="20">
        <v>6.806899203544456E-4</v>
      </c>
      <c r="O1607" s="20">
        <v>6.5245791169891654E-2</v>
      </c>
      <c r="P1607" s="20"/>
      <c r="Q1607" s="20"/>
      <c r="R1607" s="20">
        <v>0.17</v>
      </c>
      <c r="S1607" s="20">
        <v>0.78</v>
      </c>
      <c r="T1607" s="20">
        <v>4.9999999999999822E-2</v>
      </c>
    </row>
    <row r="1608" spans="13:20" x14ac:dyDescent="0.2">
      <c r="M1608" s="20">
        <v>9.8839769893505937E-3</v>
      </c>
      <c r="N1608" s="20">
        <v>9.9137930815639116E-4</v>
      </c>
      <c r="O1608" s="20">
        <v>0.10030166088251159</v>
      </c>
      <c r="P1608" s="20"/>
      <c r="Q1608" s="20"/>
      <c r="R1608" s="20">
        <v>0.75</v>
      </c>
      <c r="S1608" s="20">
        <v>0.25</v>
      </c>
      <c r="T1608" s="20"/>
    </row>
    <row r="1609" spans="13:20" x14ac:dyDescent="0.2">
      <c r="M1609" s="20">
        <v>1.3600758615372213E-2</v>
      </c>
      <c r="N1609" s="20">
        <v>2.3169066068765873E-3</v>
      </c>
      <c r="O1609" s="20">
        <v>0.17035127763078681</v>
      </c>
      <c r="P1609" s="20">
        <v>0.78</v>
      </c>
      <c r="Q1609" s="20">
        <v>0.16999999999999982</v>
      </c>
      <c r="R1609" s="20"/>
      <c r="S1609" s="20"/>
      <c r="T1609" s="20">
        <v>0.05</v>
      </c>
    </row>
    <row r="1610" spans="13:20" x14ac:dyDescent="0.2">
      <c r="M1610" s="20">
        <v>1.5009356418005538E-2</v>
      </c>
      <c r="N1610" s="20">
        <v>1.7936973204050691E-3</v>
      </c>
      <c r="O1610" s="20">
        <v>0.11950527860430527</v>
      </c>
      <c r="P1610" s="20">
        <v>0.39</v>
      </c>
      <c r="Q1610" s="20">
        <v>0.6</v>
      </c>
      <c r="R1610" s="20"/>
      <c r="S1610" s="20"/>
      <c r="T1610" s="20">
        <v>0.01</v>
      </c>
    </row>
    <row r="1611" spans="13:20" x14ac:dyDescent="0.2">
      <c r="M1611" s="20">
        <v>9.8919490727714873E-3</v>
      </c>
      <c r="N1611" s="20">
        <v>1.0983342961512895E-3</v>
      </c>
      <c r="O1611" s="20">
        <v>0.11103315313000926</v>
      </c>
      <c r="P1611" s="20"/>
      <c r="Q1611" s="20"/>
      <c r="R1611" s="20">
        <v>0.28999999999999998</v>
      </c>
      <c r="S1611" s="20">
        <v>0.32</v>
      </c>
      <c r="T1611" s="20">
        <v>0.3899999999999999</v>
      </c>
    </row>
    <row r="1612" spans="13:20" x14ac:dyDescent="0.2">
      <c r="M1612" s="20">
        <v>1.3728471703233706E-2</v>
      </c>
      <c r="N1612" s="20">
        <v>1.8723981328626E-3</v>
      </c>
      <c r="O1612" s="20">
        <v>0.13638795150239202</v>
      </c>
      <c r="P1612" s="20">
        <v>0.31999999999999995</v>
      </c>
      <c r="Q1612" s="20"/>
      <c r="R1612" s="20"/>
      <c r="S1612" s="20"/>
      <c r="T1612" s="20">
        <v>0.68</v>
      </c>
    </row>
    <row r="1613" spans="13:20" x14ac:dyDescent="0.2">
      <c r="M1613" s="20">
        <v>9.7939735866188482E-3</v>
      </c>
      <c r="N1613" s="20">
        <v>7.7346191777806321E-4</v>
      </c>
      <c r="O1613" s="20">
        <v>7.8973249308617322E-2</v>
      </c>
      <c r="P1613" s="20"/>
      <c r="Q1613" s="20"/>
      <c r="R1613" s="20">
        <v>0.4</v>
      </c>
      <c r="S1613" s="20">
        <v>0.60000000000000009</v>
      </c>
      <c r="T1613" s="20"/>
    </row>
    <row r="1614" spans="13:20" x14ac:dyDescent="0.2">
      <c r="M1614" s="20">
        <v>1.4961254683134251E-2</v>
      </c>
      <c r="N1614" s="20">
        <v>1.2348718009693351E-3</v>
      </c>
      <c r="O1614" s="20">
        <v>8.253798408775169E-2</v>
      </c>
      <c r="P1614" s="20"/>
      <c r="Q1614" s="20">
        <v>0.67</v>
      </c>
      <c r="R1614" s="20">
        <v>0.33000000000000007</v>
      </c>
      <c r="S1614" s="20"/>
      <c r="T1614" s="20"/>
    </row>
    <row r="1615" spans="13:20" x14ac:dyDescent="0.2">
      <c r="M1615" s="20">
        <v>1.774207684011481E-2</v>
      </c>
      <c r="N1615" s="20">
        <v>1.2650248744221629E-3</v>
      </c>
      <c r="O1615" s="20">
        <v>7.1300833934049013E-2</v>
      </c>
      <c r="P1615" s="20"/>
      <c r="Q1615" s="20">
        <v>0.9</v>
      </c>
      <c r="R1615" s="20">
        <v>9.9999999999999978E-2</v>
      </c>
      <c r="S1615" s="20"/>
      <c r="T1615" s="20"/>
    </row>
    <row r="1616" spans="13:20" x14ac:dyDescent="0.2">
      <c r="M1616" s="20">
        <v>1.3709273138729028E-2</v>
      </c>
      <c r="N1616" s="20">
        <v>1.2191397626461207E-3</v>
      </c>
      <c r="O1616" s="20">
        <v>8.8928110944264532E-2</v>
      </c>
      <c r="P1616" s="20"/>
      <c r="Q1616" s="20">
        <v>0.55000000000000004</v>
      </c>
      <c r="R1616" s="20">
        <v>0.44999999999999996</v>
      </c>
      <c r="S1616" s="20"/>
      <c r="T1616" s="20"/>
    </row>
    <row r="1617" spans="13:20" x14ac:dyDescent="0.2">
      <c r="M1617" s="20">
        <v>1.0416425364298374E-2</v>
      </c>
      <c r="N1617" s="20">
        <v>1.1793356909286126E-3</v>
      </c>
      <c r="O1617" s="20">
        <v>0.11321884904688219</v>
      </c>
      <c r="P1617" s="20">
        <v>0.18</v>
      </c>
      <c r="Q1617" s="20">
        <v>0.16</v>
      </c>
      <c r="R1617" s="20">
        <v>0.26</v>
      </c>
      <c r="S1617" s="20">
        <v>0.39999999999999991</v>
      </c>
      <c r="T1617" s="20"/>
    </row>
    <row r="1618" spans="13:20" x14ac:dyDescent="0.2">
      <c r="M1618" s="20">
        <v>1.4830630810695749E-2</v>
      </c>
      <c r="N1618" s="20">
        <v>1.7027143933541276E-3</v>
      </c>
      <c r="O1618" s="20">
        <v>0.11481065202743378</v>
      </c>
      <c r="P1618" s="20">
        <v>0.16000000000000014</v>
      </c>
      <c r="Q1618" s="20"/>
      <c r="R1618" s="20"/>
      <c r="S1618" s="20"/>
      <c r="T1618" s="20">
        <v>0.84</v>
      </c>
    </row>
    <row r="1619" spans="13:20" x14ac:dyDescent="0.2">
      <c r="M1619" s="20">
        <v>1.0674197646582072E-2</v>
      </c>
      <c r="N1619" s="20">
        <v>8.1149783972562606E-4</v>
      </c>
      <c r="O1619" s="20">
        <v>7.6024247123199135E-2</v>
      </c>
      <c r="P1619" s="20">
        <v>8.9999999999999969E-2</v>
      </c>
      <c r="Q1619" s="20"/>
      <c r="R1619" s="20"/>
      <c r="S1619" s="20">
        <v>0.81</v>
      </c>
      <c r="T1619" s="20">
        <v>0.1</v>
      </c>
    </row>
    <row r="1620" spans="13:20" x14ac:dyDescent="0.2">
      <c r="M1620" s="20">
        <v>1.3817115536563637E-2</v>
      </c>
      <c r="N1620" s="20">
        <v>1.5518392335644986E-3</v>
      </c>
      <c r="O1620" s="20">
        <v>0.11231282169262706</v>
      </c>
      <c r="P1620" s="20">
        <v>0.23</v>
      </c>
      <c r="Q1620" s="20">
        <v>0.55000000000000004</v>
      </c>
      <c r="R1620" s="20">
        <v>0.22000000000000008</v>
      </c>
      <c r="S1620" s="20"/>
      <c r="T1620" s="20"/>
    </row>
    <row r="1621" spans="13:20" x14ac:dyDescent="0.2">
      <c r="M1621" s="20">
        <v>1.5550991247703696E-2</v>
      </c>
      <c r="N1621" s="20">
        <v>1.1878712105983771E-3</v>
      </c>
      <c r="O1621" s="20">
        <v>7.6385562288434933E-2</v>
      </c>
      <c r="P1621" s="20"/>
      <c r="Q1621" s="20">
        <v>0.7</v>
      </c>
      <c r="R1621" s="20">
        <v>0.04</v>
      </c>
      <c r="S1621" s="20">
        <v>0.15</v>
      </c>
      <c r="T1621" s="20">
        <v>0.1100000000000001</v>
      </c>
    </row>
    <row r="1622" spans="13:20" x14ac:dyDescent="0.2">
      <c r="M1622" s="20">
        <v>1.2675983482620766E-2</v>
      </c>
      <c r="N1622" s="20">
        <v>1.3362164801999086E-3</v>
      </c>
      <c r="O1622" s="20">
        <v>0.10541323929870293</v>
      </c>
      <c r="P1622" s="20">
        <v>0.09</v>
      </c>
      <c r="Q1622" s="20">
        <v>0.45</v>
      </c>
      <c r="R1622" s="20">
        <v>0.46000000000000008</v>
      </c>
      <c r="S1622" s="20"/>
      <c r="T1622" s="20"/>
    </row>
    <row r="1623" spans="13:20" x14ac:dyDescent="0.2">
      <c r="M1623" s="20">
        <v>1.1009969090567276E-2</v>
      </c>
      <c r="N1623" s="20">
        <v>6.8014618486688034E-4</v>
      </c>
      <c r="O1623" s="20">
        <v>6.1775485405276158E-2</v>
      </c>
      <c r="P1623" s="20"/>
      <c r="Q1623" s="20">
        <v>0.05</v>
      </c>
      <c r="R1623" s="20">
        <v>0.06</v>
      </c>
      <c r="S1623" s="20">
        <v>0.81</v>
      </c>
      <c r="T1623" s="20">
        <v>8.0000000000000071E-2</v>
      </c>
    </row>
    <row r="1624" spans="13:20" x14ac:dyDescent="0.2">
      <c r="M1624" s="20">
        <v>1.0355187992500054E-2</v>
      </c>
      <c r="N1624" s="20">
        <v>7.6648159536282291E-4</v>
      </c>
      <c r="O1624" s="20">
        <v>7.401909032631393E-2</v>
      </c>
      <c r="P1624" s="20"/>
      <c r="Q1624" s="20"/>
      <c r="R1624" s="20"/>
      <c r="S1624" s="20">
        <v>0.76</v>
      </c>
      <c r="T1624" s="20">
        <v>0.24</v>
      </c>
    </row>
    <row r="1625" spans="13:20" x14ac:dyDescent="0.2">
      <c r="M1625" s="20">
        <v>1.8001796391182504E-2</v>
      </c>
      <c r="N1625" s="20">
        <v>1.2676468808093652E-3</v>
      </c>
      <c r="O1625" s="20">
        <v>7.0417799049781155E-2</v>
      </c>
      <c r="P1625" s="20"/>
      <c r="Q1625" s="20">
        <v>0.92</v>
      </c>
      <c r="R1625" s="20">
        <v>7.9999999999999849E-2</v>
      </c>
      <c r="S1625" s="20"/>
      <c r="T1625" s="20"/>
    </row>
    <row r="1626" spans="13:20" x14ac:dyDescent="0.2">
      <c r="M1626" s="20">
        <v>1.107717491882939E-2</v>
      </c>
      <c r="N1626" s="20">
        <v>1.6392982606186833E-3</v>
      </c>
      <c r="O1626" s="20">
        <v>0.14798883944968169</v>
      </c>
      <c r="P1626" s="20">
        <v>0.34</v>
      </c>
      <c r="Q1626" s="20">
        <v>0.22</v>
      </c>
      <c r="R1626" s="20">
        <v>0.20000000000000007</v>
      </c>
      <c r="S1626" s="20">
        <v>0.12</v>
      </c>
      <c r="T1626" s="20">
        <v>0.12</v>
      </c>
    </row>
    <row r="1627" spans="13:20" x14ac:dyDescent="0.2">
      <c r="M1627" s="20">
        <v>1.2898781891490772E-2</v>
      </c>
      <c r="N1627" s="20">
        <v>1.9105399604295293E-3</v>
      </c>
      <c r="O1627" s="20">
        <v>0.14811785922900969</v>
      </c>
      <c r="P1627" s="20">
        <v>0.38</v>
      </c>
      <c r="Q1627" s="20">
        <v>9.9999999999999978E-2</v>
      </c>
      <c r="R1627" s="20"/>
      <c r="S1627" s="20"/>
      <c r="T1627" s="20">
        <v>0.52</v>
      </c>
    </row>
    <row r="1628" spans="13:20" x14ac:dyDescent="0.2">
      <c r="M1628" s="20">
        <v>1.0211542800587918E-2</v>
      </c>
      <c r="N1628" s="20">
        <v>8.2699862629567831E-4</v>
      </c>
      <c r="O1628" s="20">
        <v>8.098664838853388E-2</v>
      </c>
      <c r="P1628" s="20"/>
      <c r="Q1628" s="20"/>
      <c r="R1628" s="20"/>
      <c r="S1628" s="20">
        <v>0.7</v>
      </c>
      <c r="T1628" s="20">
        <v>0.30000000000000016</v>
      </c>
    </row>
    <row r="1629" spans="13:20" x14ac:dyDescent="0.2">
      <c r="M1629" s="20">
        <v>1.0850416461202859E-2</v>
      </c>
      <c r="N1629" s="20">
        <v>6.3025906124373316E-4</v>
      </c>
      <c r="O1629" s="20">
        <v>5.8086163189893243E-2</v>
      </c>
      <c r="P1629" s="20"/>
      <c r="Q1629" s="20"/>
      <c r="R1629" s="20">
        <v>0.17</v>
      </c>
      <c r="S1629" s="20">
        <v>0.83</v>
      </c>
      <c r="T1629" s="20"/>
    </row>
    <row r="1630" spans="13:20" x14ac:dyDescent="0.2">
      <c r="M1630" s="20">
        <v>1.3842810103737418E-2</v>
      </c>
      <c r="N1630" s="20">
        <v>1.851187665424041E-3</v>
      </c>
      <c r="O1630" s="20">
        <v>0.13372918154271574</v>
      </c>
      <c r="P1630" s="20">
        <v>0.30000000000000004</v>
      </c>
      <c r="Q1630" s="20"/>
      <c r="R1630" s="20"/>
      <c r="S1630" s="20"/>
      <c r="T1630" s="20">
        <v>0.7</v>
      </c>
    </row>
    <row r="1631" spans="13:20" x14ac:dyDescent="0.2">
      <c r="M1631" s="20">
        <v>1.3289818453485482E-2</v>
      </c>
      <c r="N1631" s="20">
        <v>2.349633650230179E-3</v>
      </c>
      <c r="O1631" s="20">
        <v>0.17679952953864073</v>
      </c>
      <c r="P1631" s="20">
        <v>0.76999999999999991</v>
      </c>
      <c r="Q1631" s="20"/>
      <c r="R1631" s="20"/>
      <c r="S1631" s="20"/>
      <c r="T1631" s="20">
        <v>0.23</v>
      </c>
    </row>
    <row r="1632" spans="13:20" x14ac:dyDescent="0.2">
      <c r="M1632" s="20">
        <v>1.2982396460022395E-2</v>
      </c>
      <c r="N1632" s="20">
        <v>2.1057132746867503E-3</v>
      </c>
      <c r="O1632" s="20">
        <v>0.16219757894245651</v>
      </c>
      <c r="P1632" s="20">
        <v>0.54</v>
      </c>
      <c r="Q1632" s="20"/>
      <c r="R1632" s="20"/>
      <c r="S1632" s="20"/>
      <c r="T1632" s="20">
        <v>0.46</v>
      </c>
    </row>
    <row r="1633" spans="13:20" x14ac:dyDescent="0.2">
      <c r="M1633" s="20">
        <v>1.3411338526887927E-2</v>
      </c>
      <c r="N1633" s="20">
        <v>1.9901913806778236E-3</v>
      </c>
      <c r="O1633" s="20">
        <v>0.14839617810614189</v>
      </c>
      <c r="P1633" s="20">
        <v>0.52</v>
      </c>
      <c r="Q1633" s="20">
        <v>0.37000000000000011</v>
      </c>
      <c r="R1633" s="20"/>
      <c r="S1633" s="20"/>
      <c r="T1633" s="20">
        <v>0.11</v>
      </c>
    </row>
    <row r="1634" spans="13:20" x14ac:dyDescent="0.2">
      <c r="M1634" s="20">
        <v>1.0211542800587916E-2</v>
      </c>
      <c r="N1634" s="20">
        <v>8.2699862629567809E-4</v>
      </c>
      <c r="O1634" s="20">
        <v>8.098664838853388E-2</v>
      </c>
      <c r="P1634" s="20"/>
      <c r="Q1634" s="20"/>
      <c r="R1634" s="20"/>
      <c r="S1634" s="20">
        <v>0.7</v>
      </c>
      <c r="T1634" s="20">
        <v>0.30000000000000004</v>
      </c>
    </row>
    <row r="1635" spans="13:20" x14ac:dyDescent="0.2">
      <c r="M1635" s="20">
        <v>9.3173916069911981E-3</v>
      </c>
      <c r="N1635" s="20">
        <v>9.5839507343606291E-4</v>
      </c>
      <c r="O1635" s="20">
        <v>0.10286087714902335</v>
      </c>
      <c r="P1635" s="20">
        <v>6.9999999999999951E-2</v>
      </c>
      <c r="Q1635" s="20"/>
      <c r="R1635" s="20">
        <v>0.27</v>
      </c>
      <c r="S1635" s="20">
        <v>0.54</v>
      </c>
      <c r="T1635" s="20">
        <v>0.12</v>
      </c>
    </row>
    <row r="1636" spans="13:20" x14ac:dyDescent="0.2">
      <c r="M1636" s="20">
        <v>1.1731097917938286E-2</v>
      </c>
      <c r="N1636" s="20">
        <v>1.1699284682485239E-3</v>
      </c>
      <c r="O1636" s="20">
        <v>9.9728812804431549E-2</v>
      </c>
      <c r="P1636" s="20"/>
      <c r="Q1636" s="20"/>
      <c r="R1636" s="20"/>
      <c r="S1636" s="20">
        <v>0.36</v>
      </c>
      <c r="T1636" s="20">
        <v>0.64000000000000012</v>
      </c>
    </row>
    <row r="1637" spans="13:20" x14ac:dyDescent="0.2">
      <c r="M1637" s="20">
        <v>1.0607858293898596E-2</v>
      </c>
      <c r="N1637" s="20">
        <v>8.2158401154776837E-4</v>
      </c>
      <c r="O1637" s="20">
        <v>7.7450507801402779E-2</v>
      </c>
      <c r="P1637" s="20">
        <v>8.9999999999999858E-2</v>
      </c>
      <c r="Q1637" s="20"/>
      <c r="R1637" s="20"/>
      <c r="S1637" s="20">
        <v>0.8</v>
      </c>
      <c r="T1637" s="20">
        <v>0.11</v>
      </c>
    </row>
    <row r="1638" spans="13:20" x14ac:dyDescent="0.2">
      <c r="M1638" s="20">
        <v>1.2759741951601719E-2</v>
      </c>
      <c r="N1638" s="20">
        <v>2.1468134635483343E-3</v>
      </c>
      <c r="O1638" s="20">
        <v>0.16824897178103565</v>
      </c>
      <c r="P1638" s="20">
        <v>0.61</v>
      </c>
      <c r="Q1638" s="20">
        <v>0.13</v>
      </c>
      <c r="R1638" s="20"/>
      <c r="S1638" s="20"/>
      <c r="T1638" s="20">
        <v>0.26</v>
      </c>
    </row>
    <row r="1639" spans="13:20" x14ac:dyDescent="0.2">
      <c r="M1639" s="20">
        <v>1.386687517209978E-2</v>
      </c>
      <c r="N1639" s="20">
        <v>1.4294810915823515E-3</v>
      </c>
      <c r="O1639" s="20">
        <v>0.10308602867201649</v>
      </c>
      <c r="P1639" s="20">
        <v>0.01</v>
      </c>
      <c r="Q1639" s="20">
        <v>0.25</v>
      </c>
      <c r="R1639" s="20"/>
      <c r="S1639" s="20">
        <v>0.05</v>
      </c>
      <c r="T1639" s="20">
        <v>0.69</v>
      </c>
    </row>
    <row r="1640" spans="13:20" x14ac:dyDescent="0.2">
      <c r="M1640" s="20">
        <v>1.3407037912920691E-2</v>
      </c>
      <c r="N1640" s="20">
        <v>1.922875343984123E-3</v>
      </c>
      <c r="O1640" s="20">
        <v>0.14342283183453974</v>
      </c>
      <c r="P1640" s="20">
        <v>0.37</v>
      </c>
      <c r="Q1640" s="20">
        <v>1.000000000000012E-2</v>
      </c>
      <c r="R1640" s="20"/>
      <c r="S1640" s="20"/>
      <c r="T1640" s="20">
        <v>0.62</v>
      </c>
    </row>
    <row r="1641" spans="13:20" x14ac:dyDescent="0.2">
      <c r="M1641" s="20">
        <v>1.4148879873072288E-2</v>
      </c>
      <c r="N1641" s="20">
        <v>2.4620121138320657E-3</v>
      </c>
      <c r="O1641" s="20">
        <v>0.17400756356110503</v>
      </c>
      <c r="P1641" s="20">
        <v>0.9</v>
      </c>
      <c r="Q1641" s="20">
        <v>0.10000000000000009</v>
      </c>
      <c r="R1641" s="20"/>
      <c r="S1641" s="20"/>
      <c r="T1641" s="20"/>
    </row>
    <row r="1642" spans="13:20" x14ac:dyDescent="0.2">
      <c r="M1642" s="20">
        <v>1.697797094601055E-2</v>
      </c>
      <c r="N1642" s="20">
        <v>1.2571588552605557E-3</v>
      </c>
      <c r="O1642" s="20">
        <v>7.4046472293908622E-2</v>
      </c>
      <c r="P1642" s="20"/>
      <c r="Q1642" s="20">
        <v>0.84</v>
      </c>
      <c r="R1642" s="20">
        <v>0.16000000000000003</v>
      </c>
      <c r="S1642" s="20"/>
      <c r="T1642" s="20"/>
    </row>
    <row r="1643" spans="13:20" x14ac:dyDescent="0.2">
      <c r="M1643" s="20">
        <v>1.1332645137896341E-2</v>
      </c>
      <c r="N1643" s="20">
        <v>1.8869318659824367E-3</v>
      </c>
      <c r="O1643" s="20">
        <v>0.16650409882442543</v>
      </c>
      <c r="P1643" s="20">
        <v>0.6</v>
      </c>
      <c r="Q1643" s="20"/>
      <c r="R1643" s="20"/>
      <c r="S1643" s="20">
        <v>0.28000000000000003</v>
      </c>
      <c r="T1643" s="20">
        <v>0.12</v>
      </c>
    </row>
    <row r="1644" spans="13:20" x14ac:dyDescent="0.2">
      <c r="M1644" s="20">
        <v>1.1316847661369096E-2</v>
      </c>
      <c r="N1644" s="20">
        <v>6.0510284620854252E-4</v>
      </c>
      <c r="O1644" s="20">
        <v>5.3469204880622921E-2</v>
      </c>
      <c r="P1644" s="20"/>
      <c r="Q1644" s="20"/>
      <c r="R1644" s="20"/>
      <c r="S1644" s="20">
        <v>0.92</v>
      </c>
      <c r="T1644" s="20">
        <v>7.999999999999996E-2</v>
      </c>
    </row>
    <row r="1645" spans="13:20" x14ac:dyDescent="0.2">
      <c r="M1645" s="20">
        <v>1.6852964635850839E-2</v>
      </c>
      <c r="N1645" s="20">
        <v>1.2558478520669546E-3</v>
      </c>
      <c r="O1645" s="20">
        <v>7.4517918906411559E-2</v>
      </c>
      <c r="P1645" s="20"/>
      <c r="Q1645" s="20">
        <v>0.83</v>
      </c>
      <c r="R1645" s="20">
        <v>0.17000000000000015</v>
      </c>
      <c r="S1645" s="20"/>
      <c r="T1645" s="20"/>
    </row>
    <row r="1646" spans="13:20" x14ac:dyDescent="0.2">
      <c r="M1646" s="20">
        <v>1.0314307473461182E-2</v>
      </c>
      <c r="N1646" s="20">
        <v>9.9783782249150254E-4</v>
      </c>
      <c r="O1646" s="20">
        <v>9.67430750982506E-2</v>
      </c>
      <c r="P1646" s="20"/>
      <c r="Q1646" s="20">
        <v>0.15</v>
      </c>
      <c r="R1646" s="20">
        <v>0.19</v>
      </c>
      <c r="S1646" s="20">
        <v>0.42</v>
      </c>
      <c r="T1646" s="20">
        <v>0.24</v>
      </c>
    </row>
    <row r="1647" spans="13:20" x14ac:dyDescent="0.2">
      <c r="M1647" s="20">
        <v>1.0689905421202399E-2</v>
      </c>
      <c r="N1647" s="20">
        <v>9.8005421019401731E-4</v>
      </c>
      <c r="O1647" s="20">
        <v>9.1680344360219879E-2</v>
      </c>
      <c r="P1647" s="20">
        <v>0.03</v>
      </c>
      <c r="Q1647" s="20">
        <v>0.2</v>
      </c>
      <c r="R1647" s="20">
        <v>0.39</v>
      </c>
      <c r="S1647" s="20">
        <v>0.38</v>
      </c>
      <c r="T1647" s="20"/>
    </row>
    <row r="1648" spans="13:20" x14ac:dyDescent="0.2">
      <c r="M1648" s="20">
        <v>1.5761864063279733E-2</v>
      </c>
      <c r="N1648" s="20">
        <v>1.2440488233245435E-3</v>
      </c>
      <c r="O1648" s="20">
        <v>7.8927772649860145E-2</v>
      </c>
      <c r="P1648" s="20"/>
      <c r="Q1648" s="20">
        <v>0.74</v>
      </c>
      <c r="R1648" s="20">
        <v>0.26</v>
      </c>
      <c r="S1648" s="20"/>
      <c r="T1648" s="20"/>
    </row>
    <row r="1649" spans="13:20" x14ac:dyDescent="0.2">
      <c r="M1649" s="20">
        <v>1.3380764778258654E-2</v>
      </c>
      <c r="N1649" s="20">
        <v>1.2586023362285838E-3</v>
      </c>
      <c r="O1649" s="20">
        <v>9.4060568068096331E-2</v>
      </c>
      <c r="P1649" s="20">
        <v>0.03</v>
      </c>
      <c r="Q1649" s="20">
        <v>0.52</v>
      </c>
      <c r="R1649" s="20">
        <v>0.45000000000000007</v>
      </c>
      <c r="S1649" s="20"/>
      <c r="T1649" s="20"/>
    </row>
    <row r="1650" spans="13:20" x14ac:dyDescent="0.2">
      <c r="M1650" s="20">
        <v>1.4541465188934373E-2</v>
      </c>
      <c r="N1650" s="20">
        <v>1.9095360836775832E-3</v>
      </c>
      <c r="O1650" s="20">
        <v>0.13131662173428604</v>
      </c>
      <c r="P1650" s="20">
        <v>0.48</v>
      </c>
      <c r="Q1650" s="20">
        <v>0.52</v>
      </c>
      <c r="R1650" s="20"/>
      <c r="S1650" s="20"/>
      <c r="T1650" s="20"/>
    </row>
    <row r="1651" spans="13:20" x14ac:dyDescent="0.2">
      <c r="M1651" s="20">
        <v>1.6268407243488124E-2</v>
      </c>
      <c r="N1651" s="20">
        <v>1.3360840024254814E-3</v>
      </c>
      <c r="O1651" s="20">
        <v>8.2127523759911142E-2</v>
      </c>
      <c r="P1651" s="20">
        <v>0.06</v>
      </c>
      <c r="Q1651" s="20">
        <v>0.78</v>
      </c>
      <c r="R1651" s="20">
        <v>0.15999999999999981</v>
      </c>
      <c r="S1651" s="20"/>
      <c r="T1651" s="20">
        <v>0</v>
      </c>
    </row>
    <row r="1652" spans="13:20" x14ac:dyDescent="0.2">
      <c r="M1652" s="20">
        <v>1.0768413817846758E-2</v>
      </c>
      <c r="N1652" s="20">
        <v>1.1162323360440611E-3</v>
      </c>
      <c r="O1652" s="20">
        <v>0.10365800896266651</v>
      </c>
      <c r="P1652" s="20"/>
      <c r="Q1652" s="20">
        <v>0.05</v>
      </c>
      <c r="R1652" s="20">
        <v>0.89</v>
      </c>
      <c r="S1652" s="20">
        <v>5.9999999999999942E-2</v>
      </c>
      <c r="T1652" s="20"/>
    </row>
    <row r="1653" spans="13:20" x14ac:dyDescent="0.2">
      <c r="M1653" s="20">
        <v>1.0376704329242765E-2</v>
      </c>
      <c r="N1653" s="20">
        <v>1.5073092842401996E-3</v>
      </c>
      <c r="O1653" s="20">
        <v>0.14525896049600506</v>
      </c>
      <c r="P1653" s="20">
        <v>0.24</v>
      </c>
      <c r="Q1653" s="20">
        <v>0.1</v>
      </c>
      <c r="R1653" s="20">
        <v>0.66000000000000014</v>
      </c>
      <c r="S1653" s="20"/>
      <c r="T1653" s="20"/>
    </row>
    <row r="1654" spans="13:20" x14ac:dyDescent="0.2">
      <c r="M1654" s="20">
        <v>1.2917703666357539E-2</v>
      </c>
      <c r="N1654" s="20">
        <v>2.1349800183697136E-3</v>
      </c>
      <c r="O1654" s="20">
        <v>0.16527550666222421</v>
      </c>
      <c r="P1654" s="20">
        <v>0.56999999999999995</v>
      </c>
      <c r="Q1654" s="20">
        <v>1.0000000000000009E-2</v>
      </c>
      <c r="R1654" s="20"/>
      <c r="S1654" s="20"/>
      <c r="T1654" s="20">
        <v>0.42</v>
      </c>
    </row>
    <row r="1655" spans="13:20" x14ac:dyDescent="0.2">
      <c r="M1655" s="20">
        <v>1.1013139255500079E-2</v>
      </c>
      <c r="N1655" s="20">
        <v>1.7450827368932866E-3</v>
      </c>
      <c r="O1655" s="20">
        <v>0.15845461465692207</v>
      </c>
      <c r="P1655" s="20">
        <v>0.35</v>
      </c>
      <c r="Q1655" s="20">
        <v>0.17</v>
      </c>
      <c r="R1655" s="20">
        <v>0.29999999999999982</v>
      </c>
      <c r="S1655" s="20"/>
      <c r="T1655" s="20">
        <v>0.18</v>
      </c>
    </row>
    <row r="1656" spans="13:20" x14ac:dyDescent="0.2">
      <c r="M1656" s="20">
        <v>1.0476342711946841E-2</v>
      </c>
      <c r="N1656" s="20">
        <v>1.8418993005635458E-3</v>
      </c>
      <c r="O1656" s="20">
        <v>0.17581510563444155</v>
      </c>
      <c r="P1656" s="20">
        <v>0.50000000000000011</v>
      </c>
      <c r="Q1656" s="20"/>
      <c r="R1656" s="20">
        <v>0.26</v>
      </c>
      <c r="S1656" s="20">
        <v>0.12</v>
      </c>
      <c r="T1656" s="20">
        <v>0.12</v>
      </c>
    </row>
    <row r="1657" spans="13:20" x14ac:dyDescent="0.2">
      <c r="M1657" s="20">
        <v>1.0785346482839398E-2</v>
      </c>
      <c r="N1657" s="20">
        <v>1.1096773200760552E-3</v>
      </c>
      <c r="O1657" s="20">
        <v>0.10288749850008681</v>
      </c>
      <c r="P1657" s="20"/>
      <c r="Q1657" s="20"/>
      <c r="R1657" s="20">
        <v>0.94</v>
      </c>
      <c r="S1657" s="20">
        <v>6.0000000000000164E-2</v>
      </c>
      <c r="T1657" s="20"/>
    </row>
    <row r="1658" spans="13:20" x14ac:dyDescent="0.2">
      <c r="M1658" s="20">
        <v>1.0392937603379622E-2</v>
      </c>
      <c r="N1658" s="20">
        <v>1.0660938420003893E-3</v>
      </c>
      <c r="O1658" s="20">
        <v>0.10257868205171482</v>
      </c>
      <c r="P1658" s="20"/>
      <c r="Q1658" s="20"/>
      <c r="R1658" s="20">
        <v>0.87</v>
      </c>
      <c r="S1658" s="20">
        <v>0.12999999999999989</v>
      </c>
      <c r="T1658" s="20"/>
    </row>
    <row r="1659" spans="13:20" x14ac:dyDescent="0.2">
      <c r="M1659" s="20">
        <v>1.3449453196283344E-2</v>
      </c>
      <c r="N1659" s="20">
        <v>1.6274738805672243E-3</v>
      </c>
      <c r="O1659" s="20">
        <v>0.12100669497976056</v>
      </c>
      <c r="P1659" s="20">
        <v>0.19</v>
      </c>
      <c r="Q1659" s="20">
        <v>0.41999999999999993</v>
      </c>
      <c r="R1659" s="20"/>
      <c r="S1659" s="20"/>
      <c r="T1659" s="20">
        <v>0.39</v>
      </c>
    </row>
    <row r="1660" spans="13:20" x14ac:dyDescent="0.2">
      <c r="M1660" s="20">
        <v>9.2984666996335022E-3</v>
      </c>
      <c r="N1660" s="20">
        <v>1.2579662802738299E-3</v>
      </c>
      <c r="O1660" s="20">
        <v>0.13528749641308199</v>
      </c>
      <c r="P1660" s="20">
        <v>0.2</v>
      </c>
      <c r="Q1660" s="20">
        <v>0.03</v>
      </c>
      <c r="R1660" s="20">
        <v>0.38</v>
      </c>
      <c r="S1660" s="20">
        <v>0.33</v>
      </c>
      <c r="T1660" s="20">
        <v>6.0000000000000053E-2</v>
      </c>
    </row>
    <row r="1661" spans="13:20" x14ac:dyDescent="0.2">
      <c r="M1661" s="20">
        <v>1.0977548684537798E-2</v>
      </c>
      <c r="N1661" s="20">
        <v>1.0791529218492411E-3</v>
      </c>
      <c r="O1661" s="20">
        <v>9.8305455330775254E-2</v>
      </c>
      <c r="P1661" s="20"/>
      <c r="Q1661" s="20"/>
      <c r="R1661" s="20"/>
      <c r="S1661" s="20">
        <v>0.45</v>
      </c>
      <c r="T1661" s="20">
        <v>0.55000000000000004</v>
      </c>
    </row>
    <row r="1662" spans="13:20" x14ac:dyDescent="0.2">
      <c r="M1662" s="20">
        <v>1.4227492800594425E-2</v>
      </c>
      <c r="N1662" s="20">
        <v>1.7875562631083637E-3</v>
      </c>
      <c r="O1662" s="20">
        <v>0.12564098876463176</v>
      </c>
      <c r="P1662" s="20">
        <v>0.24</v>
      </c>
      <c r="Q1662" s="20"/>
      <c r="R1662" s="20"/>
      <c r="S1662" s="20"/>
      <c r="T1662" s="20">
        <v>0.76</v>
      </c>
    </row>
    <row r="1663" spans="13:20" x14ac:dyDescent="0.2">
      <c r="M1663" s="20">
        <v>1.2026988114448998E-2</v>
      </c>
      <c r="N1663" s="20">
        <v>1.2001869837149513E-3</v>
      </c>
      <c r="O1663" s="20">
        <v>9.9791150726512234E-2</v>
      </c>
      <c r="P1663" s="20"/>
      <c r="Q1663" s="20"/>
      <c r="R1663" s="20"/>
      <c r="S1663" s="20">
        <v>0.33</v>
      </c>
      <c r="T1663" s="20">
        <v>0.66999999999999993</v>
      </c>
    </row>
    <row r="1664" spans="13:20" x14ac:dyDescent="0.2">
      <c r="M1664" s="20">
        <v>1.0909084634781437E-2</v>
      </c>
      <c r="N1664" s="20">
        <v>1.1221297423833882E-3</v>
      </c>
      <c r="O1664" s="20">
        <v>0.10286195221235168</v>
      </c>
      <c r="P1664" s="20"/>
      <c r="Q1664" s="20"/>
      <c r="R1664" s="20">
        <v>0.96</v>
      </c>
      <c r="S1664" s="20">
        <v>0.04</v>
      </c>
      <c r="T1664" s="20">
        <v>1.1102230246251565E-16</v>
      </c>
    </row>
    <row r="1665" spans="13:20" x14ac:dyDescent="0.2">
      <c r="M1665" s="20">
        <v>1.0609211937929571E-2</v>
      </c>
      <c r="N1665" s="20">
        <v>1.0909986866150555E-3</v>
      </c>
      <c r="O1665" s="20">
        <v>0.10283503553308862</v>
      </c>
      <c r="P1665" s="20"/>
      <c r="Q1665" s="20"/>
      <c r="R1665" s="20">
        <v>0.91</v>
      </c>
      <c r="S1665" s="20">
        <v>8.9999999999999969E-2</v>
      </c>
      <c r="T1665" s="20"/>
    </row>
    <row r="1666" spans="13:20" x14ac:dyDescent="0.2">
      <c r="M1666" s="20">
        <v>9.7813836156165207E-3</v>
      </c>
      <c r="N1666" s="20">
        <v>1.0006488650916411E-3</v>
      </c>
      <c r="O1666" s="20">
        <v>0.10230136189465568</v>
      </c>
      <c r="P1666" s="20">
        <v>0.02</v>
      </c>
      <c r="Q1666" s="20">
        <v>0.04</v>
      </c>
      <c r="R1666" s="20">
        <v>0.65</v>
      </c>
      <c r="S1666" s="20">
        <v>0.29000000000000004</v>
      </c>
      <c r="T1666" s="20"/>
    </row>
    <row r="1667" spans="13:20" x14ac:dyDescent="0.2">
      <c r="M1667" s="20">
        <v>9.5662104058997343E-3</v>
      </c>
      <c r="N1667" s="20">
        <v>8.7930750739039398E-4</v>
      </c>
      <c r="O1667" s="20">
        <v>9.1918060556989395E-2</v>
      </c>
      <c r="P1667" s="20"/>
      <c r="Q1667" s="20"/>
      <c r="R1667" s="20">
        <v>0.56999999999999995</v>
      </c>
      <c r="S1667" s="20">
        <v>0.43000000000000005</v>
      </c>
      <c r="T1667" s="20"/>
    </row>
    <row r="1668" spans="13:20" x14ac:dyDescent="0.2">
      <c r="M1668" s="20">
        <v>1.1868773272744935E-2</v>
      </c>
      <c r="N1668" s="20">
        <v>9.9859614981683323E-4</v>
      </c>
      <c r="O1668" s="20">
        <v>8.4136424790418468E-2</v>
      </c>
      <c r="P1668" s="20"/>
      <c r="Q1668" s="20">
        <v>0.34</v>
      </c>
      <c r="R1668" s="20">
        <v>0.35</v>
      </c>
      <c r="S1668" s="20">
        <v>0.31000000000000005</v>
      </c>
      <c r="T1668" s="20"/>
    </row>
    <row r="1669" spans="13:20" x14ac:dyDescent="0.2">
      <c r="M1669" s="20">
        <v>1.3911471960527933E-2</v>
      </c>
      <c r="N1669" s="20">
        <v>1.8608964877399117E-3</v>
      </c>
      <c r="O1669" s="20">
        <v>0.13376704442347823</v>
      </c>
      <c r="P1669" s="20">
        <v>0.45</v>
      </c>
      <c r="Q1669" s="20">
        <v>0.48</v>
      </c>
      <c r="R1669" s="20">
        <v>7.0000000000000062E-2</v>
      </c>
      <c r="S1669" s="20"/>
      <c r="T1669" s="20"/>
    </row>
    <row r="1670" spans="13:20" x14ac:dyDescent="0.2">
      <c r="M1670" s="20">
        <v>9.5795363962064995E-3</v>
      </c>
      <c r="N1670" s="20">
        <v>8.9798614085139351E-4</v>
      </c>
      <c r="O1670" s="20">
        <v>9.3740041658696191E-2</v>
      </c>
      <c r="P1670" s="20"/>
      <c r="Q1670" s="20"/>
      <c r="R1670" s="20">
        <v>0.6</v>
      </c>
      <c r="S1670" s="20">
        <v>0.4</v>
      </c>
      <c r="T1670" s="20"/>
    </row>
    <row r="1671" spans="13:20" x14ac:dyDescent="0.2">
      <c r="M1671" s="20">
        <v>1.4244000335516104E-2</v>
      </c>
      <c r="N1671" s="20">
        <v>1.9884612308425091E-3</v>
      </c>
      <c r="O1671" s="20">
        <v>0.13959991463103691</v>
      </c>
      <c r="P1671" s="20">
        <v>0.54</v>
      </c>
      <c r="Q1671" s="20">
        <v>0.45999999999999985</v>
      </c>
      <c r="R1671" s="20"/>
      <c r="S1671" s="20"/>
      <c r="T1671" s="20"/>
    </row>
    <row r="1672" spans="13:20" x14ac:dyDescent="0.2">
      <c r="M1672" s="20">
        <v>9.8839769893505937E-3</v>
      </c>
      <c r="N1672" s="20">
        <v>9.9137930815639116E-4</v>
      </c>
      <c r="O1672" s="20">
        <v>0.10030166088251159</v>
      </c>
      <c r="P1672" s="20"/>
      <c r="Q1672" s="20"/>
      <c r="R1672" s="20">
        <v>0.75</v>
      </c>
      <c r="S1672" s="20">
        <v>0.24999999999999989</v>
      </c>
      <c r="T1672" s="20"/>
    </row>
    <row r="1673" spans="13:20" x14ac:dyDescent="0.2">
      <c r="M1673" s="20">
        <v>9.851744412680644E-3</v>
      </c>
      <c r="N1673" s="20">
        <v>9.8515309700272476E-4</v>
      </c>
      <c r="O1673" s="20">
        <v>9.9997833453199181E-2</v>
      </c>
      <c r="P1673" s="20"/>
      <c r="Q1673" s="20"/>
      <c r="R1673" s="20">
        <v>0.74</v>
      </c>
      <c r="S1673" s="20">
        <v>0.26000000000000012</v>
      </c>
      <c r="T1673" s="20"/>
    </row>
    <row r="1674" spans="13:20" x14ac:dyDescent="0.2">
      <c r="M1674" s="20">
        <v>1.3639193202238902E-2</v>
      </c>
      <c r="N1674" s="20">
        <v>1.8204100880604762E-3</v>
      </c>
      <c r="O1674" s="20">
        <v>0.13346904476444046</v>
      </c>
      <c r="P1674" s="20">
        <v>0.29000000000000004</v>
      </c>
      <c r="Q1674" s="20"/>
      <c r="R1674" s="20"/>
      <c r="S1674" s="20">
        <v>0.02</v>
      </c>
      <c r="T1674" s="20">
        <v>0.69</v>
      </c>
    </row>
    <row r="1675" spans="13:20" x14ac:dyDescent="0.2">
      <c r="M1675" s="20">
        <v>1.2392993848140344E-2</v>
      </c>
      <c r="N1675" s="20">
        <v>1.6698437838117066E-3</v>
      </c>
      <c r="O1675" s="20">
        <v>0.13474095156290894</v>
      </c>
      <c r="P1675" s="20">
        <v>0.37</v>
      </c>
      <c r="Q1675" s="20">
        <v>0.33000000000000007</v>
      </c>
      <c r="R1675" s="20"/>
      <c r="S1675" s="20">
        <v>0.17</v>
      </c>
      <c r="T1675" s="20">
        <v>0.13</v>
      </c>
    </row>
    <row r="1676" spans="13:20" x14ac:dyDescent="0.2">
      <c r="M1676" s="20">
        <v>1.0555089034216413E-2</v>
      </c>
      <c r="N1676" s="20">
        <v>1.4239350156140958E-3</v>
      </c>
      <c r="O1676" s="20">
        <v>0.13490506910914046</v>
      </c>
      <c r="P1676" s="20">
        <v>0.22999999999999998</v>
      </c>
      <c r="Q1676" s="20"/>
      <c r="R1676" s="20"/>
      <c r="S1676" s="20">
        <v>0.35</v>
      </c>
      <c r="T1676" s="20">
        <v>0.42</v>
      </c>
    </row>
    <row r="1677" spans="13:20" x14ac:dyDescent="0.2">
      <c r="M1677" s="20">
        <v>1.206492048453863E-2</v>
      </c>
      <c r="N1677" s="20">
        <v>5.2441347163140238E-4</v>
      </c>
      <c r="O1677" s="20">
        <v>4.3465969983262284E-2</v>
      </c>
      <c r="P1677" s="20"/>
      <c r="Q1677" s="20"/>
      <c r="R1677" s="20"/>
      <c r="S1677" s="20">
        <v>1</v>
      </c>
      <c r="T1677" s="20">
        <v>0</v>
      </c>
    </row>
    <row r="1678" spans="13:20" x14ac:dyDescent="0.2">
      <c r="M1678" s="20">
        <v>1.334525241386334E-2</v>
      </c>
      <c r="N1678" s="20">
        <v>1.9572400026168363E-3</v>
      </c>
      <c r="O1678" s="20">
        <v>0.14666189457635229</v>
      </c>
      <c r="P1678" s="20">
        <v>0.4</v>
      </c>
      <c r="Q1678" s="20"/>
      <c r="R1678" s="20"/>
      <c r="S1678" s="20"/>
      <c r="T1678" s="20">
        <v>0.6</v>
      </c>
    </row>
    <row r="1679" spans="13:20" x14ac:dyDescent="0.2">
      <c r="M1679" s="20">
        <v>1.0748688424549627E-2</v>
      </c>
      <c r="N1679" s="20">
        <v>1.5327263979468329E-3</v>
      </c>
      <c r="O1679" s="20">
        <v>0.14259659759474835</v>
      </c>
      <c r="P1679" s="20">
        <v>0.34</v>
      </c>
      <c r="Q1679" s="20">
        <v>0.10999999999999988</v>
      </c>
      <c r="R1679" s="20"/>
      <c r="S1679" s="20">
        <v>0.33</v>
      </c>
      <c r="T1679" s="20">
        <v>0.22</v>
      </c>
    </row>
    <row r="1680" spans="13:20" x14ac:dyDescent="0.2">
      <c r="M1680" s="20">
        <v>1.0415862908379364E-2</v>
      </c>
      <c r="N1680" s="20">
        <v>9.7829120362781562E-4</v>
      </c>
      <c r="O1680" s="20">
        <v>9.3923202737317024E-2</v>
      </c>
      <c r="P1680" s="20"/>
      <c r="Q1680" s="20"/>
      <c r="R1680" s="20"/>
      <c r="S1680" s="20">
        <v>0.55000000000000004</v>
      </c>
      <c r="T1680" s="20">
        <v>0.44999999999999984</v>
      </c>
    </row>
    <row r="1681" spans="13:20" x14ac:dyDescent="0.2">
      <c r="M1681" s="20">
        <v>1.1436722096455498E-2</v>
      </c>
      <c r="N1681" s="20">
        <v>1.0742928820400932E-3</v>
      </c>
      <c r="O1681" s="20">
        <v>9.3933635265391405E-2</v>
      </c>
      <c r="P1681" s="20"/>
      <c r="Q1681" s="20">
        <v>0.3</v>
      </c>
      <c r="R1681" s="20">
        <v>0.52</v>
      </c>
      <c r="S1681" s="20">
        <v>0.17999999999999994</v>
      </c>
      <c r="T1681" s="20"/>
    </row>
    <row r="1682" spans="13:20" x14ac:dyDescent="0.2">
      <c r="M1682" s="20">
        <v>1.3993973667379783E-2</v>
      </c>
      <c r="N1682" s="20">
        <v>2.0805405692015896E-3</v>
      </c>
      <c r="O1682" s="20">
        <v>0.14867403774321578</v>
      </c>
      <c r="P1682" s="20">
        <v>0.61</v>
      </c>
      <c r="Q1682" s="20">
        <v>0.3899999999999999</v>
      </c>
      <c r="R1682" s="20"/>
      <c r="S1682" s="20"/>
      <c r="T1682" s="20"/>
    </row>
    <row r="1683" spans="13:20" x14ac:dyDescent="0.2">
      <c r="M1683" s="20">
        <v>1.697797094601055E-2</v>
      </c>
      <c r="N1683" s="20">
        <v>1.2571588552605557E-3</v>
      </c>
      <c r="O1683" s="20">
        <v>7.4046472293908622E-2</v>
      </c>
      <c r="P1683" s="20"/>
      <c r="Q1683" s="20">
        <v>0.84</v>
      </c>
      <c r="R1683" s="20">
        <v>0.16000000000000003</v>
      </c>
      <c r="S1683" s="20"/>
      <c r="T1683" s="20"/>
    </row>
    <row r="1684" spans="13:20" x14ac:dyDescent="0.2">
      <c r="M1684" s="20">
        <v>1.3063840172900756E-2</v>
      </c>
      <c r="N1684" s="20">
        <v>1.2099627402909121E-3</v>
      </c>
      <c r="O1684" s="20">
        <v>9.2619224077834558E-2</v>
      </c>
      <c r="P1684" s="20"/>
      <c r="Q1684" s="20">
        <v>0.48</v>
      </c>
      <c r="R1684" s="20">
        <v>0.51999999999999991</v>
      </c>
      <c r="S1684" s="20"/>
      <c r="T1684" s="20"/>
    </row>
    <row r="1685" spans="13:20" x14ac:dyDescent="0.2">
      <c r="M1685" s="20">
        <v>1.0477330465954676E-2</v>
      </c>
      <c r="N1685" s="20">
        <v>9.6638049352080829E-4</v>
      </c>
      <c r="O1685" s="20">
        <v>9.2235373949594468E-2</v>
      </c>
      <c r="P1685" s="20">
        <v>0.12</v>
      </c>
      <c r="Q1685" s="20">
        <v>0.1</v>
      </c>
      <c r="R1685" s="20">
        <v>0.19</v>
      </c>
      <c r="S1685" s="20">
        <v>0.59</v>
      </c>
      <c r="T1685" s="20"/>
    </row>
    <row r="1686" spans="13:20" x14ac:dyDescent="0.2">
      <c r="M1686" s="20">
        <v>1.4368989816425544E-2</v>
      </c>
      <c r="N1686" s="20">
        <v>1.7663457956698047E-3</v>
      </c>
      <c r="O1686" s="20">
        <v>0.12292762527054278</v>
      </c>
      <c r="P1686" s="20">
        <v>0.21999999999999997</v>
      </c>
      <c r="Q1686" s="20"/>
      <c r="R1686" s="20"/>
      <c r="S1686" s="20"/>
      <c r="T1686" s="20">
        <v>0.78</v>
      </c>
    </row>
    <row r="1687" spans="13:20" x14ac:dyDescent="0.2">
      <c r="M1687" s="20">
        <v>1.1319308434906555E-2</v>
      </c>
      <c r="N1687" s="20">
        <v>8.6773576334829247E-4</v>
      </c>
      <c r="O1687" s="20">
        <v>7.6659786093677185E-2</v>
      </c>
      <c r="P1687" s="20">
        <v>0.11</v>
      </c>
      <c r="Q1687" s="20">
        <v>9.9999999999999978E-2</v>
      </c>
      <c r="R1687" s="20"/>
      <c r="S1687" s="20">
        <v>0.75</v>
      </c>
      <c r="T1687" s="20">
        <v>0.04</v>
      </c>
    </row>
    <row r="1688" spans="13:20" x14ac:dyDescent="0.2">
      <c r="M1688" s="20">
        <v>1.0430911482542394E-2</v>
      </c>
      <c r="N1688" s="20">
        <v>7.4630925171853806E-4</v>
      </c>
      <c r="O1688" s="20">
        <v>7.1547846318856426E-2</v>
      </c>
      <c r="P1688" s="20"/>
      <c r="Q1688" s="20"/>
      <c r="R1688" s="20">
        <v>0</v>
      </c>
      <c r="S1688" s="20">
        <v>0.78</v>
      </c>
      <c r="T1688" s="20">
        <v>0.22000000000000008</v>
      </c>
    </row>
    <row r="1689" spans="13:20" x14ac:dyDescent="0.2">
      <c r="M1689" s="20">
        <v>1.347933893020231E-2</v>
      </c>
      <c r="N1689" s="20">
        <v>1.4032533082233326E-3</v>
      </c>
      <c r="O1689" s="20">
        <v>0.10410401544835043</v>
      </c>
      <c r="P1689" s="20">
        <v>0.08</v>
      </c>
      <c r="Q1689" s="20">
        <v>0.48</v>
      </c>
      <c r="R1689" s="20">
        <v>0.03</v>
      </c>
      <c r="S1689" s="20">
        <v>7.999999999999996E-2</v>
      </c>
      <c r="T1689" s="20">
        <v>0.33</v>
      </c>
    </row>
    <row r="1690" spans="13:20" x14ac:dyDescent="0.2">
      <c r="M1690" s="20">
        <v>9.8229980169859416E-3</v>
      </c>
      <c r="N1690" s="20">
        <v>7.6723570662439659E-4</v>
      </c>
      <c r="O1690" s="20">
        <v>7.8106063474480139E-2</v>
      </c>
      <c r="P1690" s="20"/>
      <c r="Q1690" s="20"/>
      <c r="R1690" s="20">
        <v>0.39</v>
      </c>
      <c r="S1690" s="20">
        <v>0.60999999999999988</v>
      </c>
      <c r="T1690" s="20"/>
    </row>
    <row r="1691" spans="13:20" x14ac:dyDescent="0.2">
      <c r="M1691" s="20">
        <v>1.6172703269239704E-2</v>
      </c>
      <c r="N1691" s="20">
        <v>1.6056786830184323E-3</v>
      </c>
      <c r="O1691" s="20">
        <v>9.9283258728453574E-2</v>
      </c>
      <c r="P1691" s="20">
        <v>0.25</v>
      </c>
      <c r="Q1691" s="20">
        <v>0.74</v>
      </c>
      <c r="R1691" s="20">
        <v>1.0000000000000009E-2</v>
      </c>
      <c r="S1691" s="20"/>
      <c r="T1691" s="20"/>
    </row>
    <row r="1692" spans="13:20" x14ac:dyDescent="0.2">
      <c r="M1692" s="20">
        <v>1.0122213374407616E-2</v>
      </c>
      <c r="N1692" s="20">
        <v>9.2244572976919368E-4</v>
      </c>
      <c r="O1692" s="20">
        <v>9.1130832323832359E-2</v>
      </c>
      <c r="P1692" s="20">
        <v>8.9999999999999969E-2</v>
      </c>
      <c r="Q1692" s="20"/>
      <c r="R1692" s="20"/>
      <c r="S1692" s="20">
        <v>0.7</v>
      </c>
      <c r="T1692" s="20">
        <v>0.21</v>
      </c>
    </row>
    <row r="1693" spans="13:20" x14ac:dyDescent="0.2">
      <c r="M1693" s="20">
        <v>1.3455136205421844E-2</v>
      </c>
      <c r="N1693" s="20">
        <v>2.3920545851072979E-3</v>
      </c>
      <c r="O1693" s="20">
        <v>0.17778003496860942</v>
      </c>
      <c r="P1693" s="20">
        <v>0.81</v>
      </c>
      <c r="Q1693" s="20"/>
      <c r="R1693" s="20"/>
      <c r="S1693" s="20"/>
      <c r="T1693" s="20">
        <v>0.19</v>
      </c>
    </row>
    <row r="1694" spans="13:20" x14ac:dyDescent="0.2">
      <c r="M1694" s="20">
        <v>1.2578296819483187E-2</v>
      </c>
      <c r="N1694" s="20">
        <v>1.9937935621331991E-3</v>
      </c>
      <c r="O1694" s="20">
        <v>0.15851061481113304</v>
      </c>
      <c r="P1694" s="20">
        <v>0.56000000000000005</v>
      </c>
      <c r="Q1694" s="20">
        <v>0.28000000000000003</v>
      </c>
      <c r="R1694" s="20">
        <v>0.16</v>
      </c>
      <c r="S1694" s="20">
        <v>0</v>
      </c>
      <c r="T1694" s="20"/>
    </row>
    <row r="1695" spans="13:20" x14ac:dyDescent="0.2">
      <c r="M1695" s="20">
        <v>1.282311173578528E-2</v>
      </c>
      <c r="N1695" s="20">
        <v>1.8031668772212001E-3</v>
      </c>
      <c r="O1695" s="20">
        <v>0.14061851088680194</v>
      </c>
      <c r="P1695" s="20">
        <v>0.31</v>
      </c>
      <c r="Q1695" s="20">
        <v>0.22999999999999998</v>
      </c>
      <c r="R1695" s="20"/>
      <c r="S1695" s="20"/>
      <c r="T1695" s="20">
        <v>0.46</v>
      </c>
    </row>
    <row r="1696" spans="13:20" x14ac:dyDescent="0.2">
      <c r="M1696" s="20">
        <v>9.6223646147814996E-3</v>
      </c>
      <c r="N1696" s="20">
        <v>9.2289098546605955E-4</v>
      </c>
      <c r="O1696" s="20">
        <v>9.5911038753234382E-2</v>
      </c>
      <c r="P1696" s="20"/>
      <c r="Q1696" s="20"/>
      <c r="R1696" s="20">
        <v>0.64</v>
      </c>
      <c r="S1696" s="20">
        <v>0.35999999999999988</v>
      </c>
      <c r="T1696" s="20"/>
    </row>
    <row r="1697" spans="13:20" x14ac:dyDescent="0.2">
      <c r="M1697" s="20">
        <v>1.0740332282378575E-2</v>
      </c>
      <c r="N1697" s="20">
        <v>1.1116459328983353E-3</v>
      </c>
      <c r="O1697" s="20">
        <v>0.10350200568023282</v>
      </c>
      <c r="P1697" s="20"/>
      <c r="Q1697" s="20">
        <v>0.11</v>
      </c>
      <c r="R1697" s="20">
        <v>0.81</v>
      </c>
      <c r="S1697" s="20">
        <v>7.999999999999996E-2</v>
      </c>
      <c r="T1697" s="20"/>
    </row>
    <row r="1698" spans="13:20" x14ac:dyDescent="0.2">
      <c r="M1698" s="20">
        <v>1.6746865963179959E-2</v>
      </c>
      <c r="N1698" s="20">
        <v>1.2483106377196866E-3</v>
      </c>
      <c r="O1698" s="20">
        <v>7.4539955145294101E-2</v>
      </c>
      <c r="P1698" s="20"/>
      <c r="Q1698" s="20">
        <v>0.82</v>
      </c>
      <c r="R1698" s="20">
        <v>0.17</v>
      </c>
      <c r="S1698" s="20">
        <v>1.0000000000000009E-2</v>
      </c>
      <c r="T1698" s="20"/>
    </row>
    <row r="1699" spans="13:20" x14ac:dyDescent="0.2">
      <c r="M1699" s="20">
        <v>1.623891119323944E-2</v>
      </c>
      <c r="N1699" s="20">
        <v>1.2492928360989483E-3</v>
      </c>
      <c r="O1699" s="20">
        <v>7.6932056665169279E-2</v>
      </c>
      <c r="P1699" s="20"/>
      <c r="Q1699" s="20">
        <v>0.78</v>
      </c>
      <c r="R1699" s="20">
        <v>0.21999999999999997</v>
      </c>
      <c r="S1699" s="20"/>
      <c r="T1699" s="20"/>
    </row>
    <row r="1700" spans="13:20" x14ac:dyDescent="0.2">
      <c r="M1700" s="20">
        <v>1.4111664700453743E-2</v>
      </c>
      <c r="N1700" s="20">
        <v>2.4488579226379114E-3</v>
      </c>
      <c r="O1700" s="20">
        <v>0.17353430474855114</v>
      </c>
      <c r="P1700" s="20">
        <v>0.89</v>
      </c>
      <c r="Q1700" s="20">
        <v>0.10999999999999999</v>
      </c>
      <c r="R1700" s="20"/>
      <c r="S1700" s="20"/>
      <c r="T1700" s="20"/>
    </row>
    <row r="1701" spans="13:20" x14ac:dyDescent="0.2">
      <c r="M1701" s="20">
        <v>1.0977548684537796E-2</v>
      </c>
      <c r="N1701" s="20">
        <v>1.0791529218492409E-3</v>
      </c>
      <c r="O1701" s="20">
        <v>9.830545533077524E-2</v>
      </c>
      <c r="P1701" s="20"/>
      <c r="Q1701" s="20"/>
      <c r="R1701" s="20"/>
      <c r="S1701" s="20">
        <v>0.45</v>
      </c>
      <c r="T1701" s="20">
        <v>0.54999999999999993</v>
      </c>
    </row>
    <row r="1702" spans="13:20" x14ac:dyDescent="0.2">
      <c r="M1702" s="20">
        <v>1.0087967049080116E-2</v>
      </c>
      <c r="N1702" s="20">
        <v>1.1829050156769493E-3</v>
      </c>
      <c r="O1702" s="20">
        <v>0.11725900867061355</v>
      </c>
      <c r="P1702" s="20">
        <v>0.25</v>
      </c>
      <c r="Q1702" s="20"/>
      <c r="R1702" s="20"/>
      <c r="S1702" s="20">
        <v>0.61</v>
      </c>
      <c r="T1702" s="20">
        <v>0.14000000000000001</v>
      </c>
    </row>
    <row r="1703" spans="13:20" x14ac:dyDescent="0.2">
      <c r="M1703" s="20">
        <v>1.2353993517528685E-2</v>
      </c>
      <c r="N1703" s="20">
        <v>1.8820050166119576E-3</v>
      </c>
      <c r="O1703" s="20">
        <v>0.15233980930471114</v>
      </c>
      <c r="P1703" s="20">
        <v>0.48</v>
      </c>
      <c r="Q1703" s="20">
        <v>0.31</v>
      </c>
      <c r="R1703" s="20">
        <v>0.20999999999999996</v>
      </c>
      <c r="S1703" s="20"/>
      <c r="T1703" s="20"/>
    </row>
    <row r="1704" spans="13:20" x14ac:dyDescent="0.2">
      <c r="M1704" s="20">
        <v>1.0237955221876791E-2</v>
      </c>
      <c r="N1704" s="20">
        <v>9.1777417269496087E-4</v>
      </c>
      <c r="O1704" s="20">
        <v>8.9644284703827529E-2</v>
      </c>
      <c r="P1704" s="20"/>
      <c r="Q1704" s="20"/>
      <c r="R1704" s="20"/>
      <c r="S1704" s="20">
        <v>0.61</v>
      </c>
      <c r="T1704" s="20">
        <v>0.39000000000000012</v>
      </c>
    </row>
    <row r="1705" spans="13:20" x14ac:dyDescent="0.2">
      <c r="M1705" s="20">
        <v>1.3200772375992638E-2</v>
      </c>
      <c r="N1705" s="20">
        <v>2.0161247756825614E-3</v>
      </c>
      <c r="O1705" s="20">
        <v>0.15272778881856586</v>
      </c>
      <c r="P1705" s="20">
        <v>0.56999999999999995</v>
      </c>
      <c r="Q1705" s="20">
        <v>0.34</v>
      </c>
      <c r="R1705" s="20">
        <v>9.000000000000008E-2</v>
      </c>
      <c r="S1705" s="20"/>
      <c r="T1705" s="20"/>
    </row>
    <row r="1706" spans="13:20" x14ac:dyDescent="0.2">
      <c r="M1706" s="20">
        <v>1.05531112465891E-2</v>
      </c>
      <c r="N1706" s="20">
        <v>1.0847724754613891E-3</v>
      </c>
      <c r="O1706" s="20">
        <v>0.10279172180734865</v>
      </c>
      <c r="P1706" s="20"/>
      <c r="Q1706" s="20"/>
      <c r="R1706" s="20">
        <v>0.9</v>
      </c>
      <c r="S1706" s="20">
        <v>9.9999999999999978E-2</v>
      </c>
      <c r="T1706" s="20"/>
    </row>
    <row r="1707" spans="13:20" x14ac:dyDescent="0.2">
      <c r="M1707" s="20">
        <v>1.1103742306070523E-2</v>
      </c>
      <c r="N1707" s="20">
        <v>1.1408083758443876E-3</v>
      </c>
      <c r="O1707" s="20">
        <v>0.10274089080946129</v>
      </c>
      <c r="P1707" s="20"/>
      <c r="Q1707" s="20"/>
      <c r="R1707" s="20">
        <v>0.99</v>
      </c>
      <c r="S1707" s="20">
        <v>1.0000000000000009E-2</v>
      </c>
      <c r="T1707" s="20"/>
    </row>
    <row r="1708" spans="13:20" x14ac:dyDescent="0.2">
      <c r="M1708" s="20">
        <v>1.5904108076560286E-2</v>
      </c>
      <c r="N1708" s="20">
        <v>1.5754515887227729E-3</v>
      </c>
      <c r="O1708" s="20">
        <v>9.905941163998358E-2</v>
      </c>
      <c r="P1708" s="20">
        <v>4.0000000000000036E-2</v>
      </c>
      <c r="Q1708" s="20"/>
      <c r="R1708" s="20"/>
      <c r="S1708" s="20"/>
      <c r="T1708" s="20">
        <v>0.96</v>
      </c>
    </row>
    <row r="1709" spans="13:20" x14ac:dyDescent="0.2">
      <c r="M1709" s="20">
        <v>1.6728668547775244E-2</v>
      </c>
      <c r="N1709" s="20">
        <v>1.2545368488733534E-3</v>
      </c>
      <c r="O1709" s="20">
        <v>7.4993227661277029E-2</v>
      </c>
      <c r="P1709" s="20"/>
      <c r="Q1709" s="20">
        <v>0.82</v>
      </c>
      <c r="R1709" s="20">
        <v>0.18000000000000016</v>
      </c>
      <c r="S1709" s="20"/>
      <c r="T1709" s="20"/>
    </row>
    <row r="1710" spans="13:20" x14ac:dyDescent="0.2">
      <c r="M1710" s="20">
        <v>1.4749960029107695E-2</v>
      </c>
      <c r="N1710" s="20">
        <v>1.7133196270734065E-3</v>
      </c>
      <c r="O1710" s="20">
        <v>0.11615757762680896</v>
      </c>
      <c r="P1710" s="20">
        <v>0.16999999999999993</v>
      </c>
      <c r="Q1710" s="20"/>
      <c r="R1710" s="20"/>
      <c r="S1710" s="20"/>
      <c r="T1710" s="20">
        <v>0.83</v>
      </c>
    </row>
    <row r="1711" spans="13:20" x14ac:dyDescent="0.2">
      <c r="M1711" s="20">
        <v>1.3849894403893379E-2</v>
      </c>
      <c r="N1711" s="20">
        <v>2.3041618195022134E-3</v>
      </c>
      <c r="O1711" s="20">
        <v>0.16636674275686061</v>
      </c>
      <c r="P1711" s="20">
        <v>0.78</v>
      </c>
      <c r="Q1711" s="20">
        <v>0.21999999999999997</v>
      </c>
      <c r="R1711" s="20"/>
      <c r="S1711" s="20"/>
      <c r="T1711" s="20"/>
    </row>
    <row r="1712" spans="13:20" x14ac:dyDescent="0.2">
      <c r="M1712" s="20">
        <v>1.2343833159464669E-2</v>
      </c>
      <c r="N1712" s="20">
        <v>1.4830415916798432E-3</v>
      </c>
      <c r="O1712" s="20">
        <v>0.12014433219576666</v>
      </c>
      <c r="P1712" s="20">
        <v>8.9999999999999969E-2</v>
      </c>
      <c r="Q1712" s="20"/>
      <c r="R1712" s="20">
        <v>0.22</v>
      </c>
      <c r="S1712" s="20">
        <v>0.06</v>
      </c>
      <c r="T1712" s="20">
        <v>0.63</v>
      </c>
    </row>
    <row r="1713" spans="13:20" x14ac:dyDescent="0.2">
      <c r="M1713" s="20">
        <v>1.3822732602834387E-2</v>
      </c>
      <c r="N1713" s="20">
        <v>2.2383908635314419E-3</v>
      </c>
      <c r="O1713" s="20">
        <v>0.16193548177821609</v>
      </c>
      <c r="P1713" s="20">
        <v>0.73</v>
      </c>
      <c r="Q1713" s="20">
        <v>0.27</v>
      </c>
      <c r="R1713" s="20"/>
      <c r="S1713" s="20"/>
      <c r="T1713" s="20"/>
    </row>
    <row r="1714" spans="13:20" x14ac:dyDescent="0.2">
      <c r="M1714" s="20">
        <v>1.0116512217137269E-2</v>
      </c>
      <c r="N1714" s="20">
        <v>1.0755759930749554E-3</v>
      </c>
      <c r="O1714" s="20">
        <v>0.1063188547583564</v>
      </c>
      <c r="P1714" s="20">
        <v>0.08</v>
      </c>
      <c r="Q1714" s="20">
        <v>0.2</v>
      </c>
      <c r="R1714" s="20">
        <v>0.12</v>
      </c>
      <c r="S1714" s="20">
        <v>0.35</v>
      </c>
      <c r="T1714" s="20">
        <v>0.19</v>
      </c>
    </row>
    <row r="1715" spans="13:20" x14ac:dyDescent="0.2">
      <c r="M1715" s="20">
        <v>1.344193340744042E-2</v>
      </c>
      <c r="N1715" s="20">
        <v>1.5856720922365493E-3</v>
      </c>
      <c r="O1715" s="20">
        <v>0.1179645847195496</v>
      </c>
      <c r="P1715" s="20">
        <v>0.11</v>
      </c>
      <c r="Q1715" s="20">
        <v>0.13</v>
      </c>
      <c r="R1715" s="20">
        <v>8.0000000000000071E-2</v>
      </c>
      <c r="S1715" s="20"/>
      <c r="T1715" s="20">
        <v>0.68</v>
      </c>
    </row>
    <row r="1716" spans="13:20" x14ac:dyDescent="0.2">
      <c r="M1716" s="20">
        <v>1.0430911482542393E-2</v>
      </c>
      <c r="N1716" s="20">
        <v>7.4630925171853785E-4</v>
      </c>
      <c r="O1716" s="20">
        <v>7.1547846318856412E-2</v>
      </c>
      <c r="P1716" s="20"/>
      <c r="Q1716" s="20"/>
      <c r="R1716" s="20"/>
      <c r="S1716" s="20">
        <v>0.78</v>
      </c>
      <c r="T1716" s="20">
        <v>0.21999999999999997</v>
      </c>
    </row>
    <row r="1717" spans="13:20" x14ac:dyDescent="0.2">
      <c r="M1717" s="20">
        <v>1.3307788349045261E-2</v>
      </c>
      <c r="N1717" s="20">
        <v>1.4687661461216936E-3</v>
      </c>
      <c r="O1717" s="20">
        <v>0.11036891387193329</v>
      </c>
      <c r="P1717" s="20">
        <v>0.09</v>
      </c>
      <c r="Q1717" s="20">
        <v>0.46</v>
      </c>
      <c r="R1717" s="20">
        <v>0.10999999999999976</v>
      </c>
      <c r="S1717" s="20"/>
      <c r="T1717" s="20">
        <v>0.34</v>
      </c>
    </row>
    <row r="1718" spans="13:20" x14ac:dyDescent="0.2">
      <c r="M1718" s="20">
        <v>1.497910255253441E-2</v>
      </c>
      <c r="N1718" s="20">
        <v>1.8174567453185029E-3</v>
      </c>
      <c r="O1718" s="20">
        <v>0.1213328194359011</v>
      </c>
      <c r="P1718" s="20">
        <v>0.41</v>
      </c>
      <c r="Q1718" s="20">
        <v>0.59</v>
      </c>
      <c r="R1718" s="20"/>
      <c r="S1718" s="20"/>
      <c r="T1718" s="20"/>
    </row>
    <row r="1719" spans="13:20" x14ac:dyDescent="0.2">
      <c r="M1719" s="20">
        <v>1.5734989479162343E-2</v>
      </c>
      <c r="N1719" s="20">
        <v>1.5177369089964059E-3</v>
      </c>
      <c r="O1719" s="20">
        <v>9.6456175646404241E-2</v>
      </c>
      <c r="P1719" s="20">
        <v>0</v>
      </c>
      <c r="Q1719" s="20">
        <v>6.0000000000000053E-2</v>
      </c>
      <c r="R1719" s="20"/>
      <c r="S1719" s="20"/>
      <c r="T1719" s="20">
        <v>0.94</v>
      </c>
    </row>
    <row r="1720" spans="13:20" x14ac:dyDescent="0.2">
      <c r="M1720" s="20">
        <v>1.4912738377618209E-2</v>
      </c>
      <c r="N1720" s="20">
        <v>1.6921091596348481E-3</v>
      </c>
      <c r="O1720" s="20">
        <v>0.11346736707823232</v>
      </c>
      <c r="P1720" s="20">
        <v>0.15000000000000013</v>
      </c>
      <c r="Q1720" s="20"/>
      <c r="R1720" s="20"/>
      <c r="S1720" s="20"/>
      <c r="T1720" s="20">
        <v>0.85</v>
      </c>
    </row>
    <row r="1721" spans="13:20" x14ac:dyDescent="0.2">
      <c r="M1721" s="20">
        <v>1.5167446413524818E-2</v>
      </c>
      <c r="N1721" s="20">
        <v>1.6602934584770091E-3</v>
      </c>
      <c r="O1721" s="20">
        <v>0.10946427059709436</v>
      </c>
      <c r="P1721" s="20">
        <v>0.12</v>
      </c>
      <c r="Q1721" s="20"/>
      <c r="R1721" s="20"/>
      <c r="S1721" s="20"/>
      <c r="T1721" s="20">
        <v>0.88</v>
      </c>
    </row>
    <row r="1722" spans="13:20" x14ac:dyDescent="0.2">
      <c r="M1722" s="20">
        <v>1.457921900807845E-2</v>
      </c>
      <c r="N1722" s="20">
        <v>2.5803998345794547E-3</v>
      </c>
      <c r="O1722" s="20">
        <v>0.17699163673648338</v>
      </c>
      <c r="P1722" s="20">
        <v>0.99</v>
      </c>
      <c r="Q1722" s="20">
        <v>9.9999999999998979E-3</v>
      </c>
      <c r="R1722" s="20"/>
      <c r="S1722" s="20"/>
      <c r="T1722" s="20"/>
    </row>
    <row r="1723" spans="13:20" x14ac:dyDescent="0.2">
      <c r="M1723" s="20">
        <v>1.2620375391897363E-2</v>
      </c>
      <c r="N1723" s="20">
        <v>2.0250579776865097E-3</v>
      </c>
      <c r="O1723" s="20">
        <v>0.16045940907484052</v>
      </c>
      <c r="P1723" s="20">
        <v>0.5</v>
      </c>
      <c r="Q1723" s="20">
        <v>0.14999999999999991</v>
      </c>
      <c r="R1723" s="20"/>
      <c r="S1723" s="20"/>
      <c r="T1723" s="20">
        <v>0.35</v>
      </c>
    </row>
    <row r="1724" spans="13:20" x14ac:dyDescent="0.2">
      <c r="M1724" s="20">
        <v>1.0344331406666659E-2</v>
      </c>
      <c r="N1724" s="20">
        <v>1.622094823532213E-3</v>
      </c>
      <c r="O1724" s="20">
        <v>0.15681002084743864</v>
      </c>
      <c r="P1724" s="20">
        <v>0.28999999999999998</v>
      </c>
      <c r="Q1724" s="20">
        <v>0.1</v>
      </c>
      <c r="R1724" s="20">
        <v>0.49999999999999989</v>
      </c>
      <c r="S1724" s="20"/>
      <c r="T1724" s="20">
        <v>0.11</v>
      </c>
    </row>
    <row r="1725" spans="13:20" x14ac:dyDescent="0.2">
      <c r="M1725" s="20">
        <v>1.3601447740303677E-2</v>
      </c>
      <c r="N1725" s="20">
        <v>1.4110098387014648E-3</v>
      </c>
      <c r="O1725" s="20">
        <v>0.10373968019010021</v>
      </c>
      <c r="P1725" s="20"/>
      <c r="Q1725" s="20">
        <v>0.19</v>
      </c>
      <c r="R1725" s="20">
        <v>0.06</v>
      </c>
      <c r="S1725" s="20">
        <v>0.05</v>
      </c>
      <c r="T1725" s="20">
        <v>0.7</v>
      </c>
    </row>
    <row r="1726" spans="13:20" x14ac:dyDescent="0.2">
      <c r="M1726" s="20">
        <v>1.7484792450961066E-2</v>
      </c>
      <c r="N1726" s="20">
        <v>1.2624028680349607E-3</v>
      </c>
      <c r="O1726" s="20">
        <v>7.2200048789573798E-2</v>
      </c>
      <c r="P1726" s="20"/>
      <c r="Q1726" s="20">
        <v>0.88</v>
      </c>
      <c r="R1726" s="20">
        <v>0.12000000000000011</v>
      </c>
      <c r="S1726" s="20"/>
      <c r="T1726" s="20"/>
    </row>
    <row r="1727" spans="13:20" x14ac:dyDescent="0.2">
      <c r="M1727" s="20">
        <v>1.6605098630716873E-2</v>
      </c>
      <c r="N1727" s="20">
        <v>1.2532258456797519E-3</v>
      </c>
      <c r="O1727" s="20">
        <v>7.5472351808948443E-2</v>
      </c>
      <c r="P1727" s="20"/>
      <c r="Q1727" s="20">
        <v>0.81</v>
      </c>
      <c r="R1727" s="20">
        <v>0.18999999999999995</v>
      </c>
      <c r="S1727" s="20"/>
      <c r="T1727" s="20"/>
    </row>
    <row r="1728" spans="13:20" x14ac:dyDescent="0.2">
      <c r="M1728" s="20">
        <v>1.0701366878899454E-2</v>
      </c>
      <c r="N1728" s="20">
        <v>1.535765358246929E-3</v>
      </c>
      <c r="O1728" s="20">
        <v>0.14351113980356028</v>
      </c>
      <c r="P1728" s="20">
        <v>0.36</v>
      </c>
      <c r="Q1728" s="20">
        <v>0.13</v>
      </c>
      <c r="R1728" s="20">
        <v>5.9999999999999942E-2</v>
      </c>
      <c r="S1728" s="20">
        <v>0.32</v>
      </c>
      <c r="T1728" s="20">
        <v>0.13</v>
      </c>
    </row>
    <row r="1729" spans="13:20" x14ac:dyDescent="0.2">
      <c r="M1729" s="20">
        <v>1.8661079521685268E-2</v>
      </c>
      <c r="N1729" s="20">
        <v>1.2742018967773713E-3</v>
      </c>
      <c r="O1729" s="20">
        <v>6.8281253252078691E-2</v>
      </c>
      <c r="P1729" s="20"/>
      <c r="Q1729" s="20">
        <v>0.97</v>
      </c>
      <c r="R1729" s="20">
        <v>3.0000000000000027E-2</v>
      </c>
      <c r="S1729" s="20"/>
      <c r="T1729" s="20"/>
    </row>
    <row r="1730" spans="13:20" x14ac:dyDescent="0.2">
      <c r="M1730" s="20">
        <v>9.9533208727755271E-3</v>
      </c>
      <c r="N1730" s="20">
        <v>1.0038317304637244E-3</v>
      </c>
      <c r="O1730" s="20">
        <v>0.10085395048495022</v>
      </c>
      <c r="P1730" s="20"/>
      <c r="Q1730" s="20"/>
      <c r="R1730" s="20">
        <v>0.77</v>
      </c>
      <c r="S1730" s="20">
        <v>0.22999999999999987</v>
      </c>
      <c r="T1730" s="20"/>
    </row>
    <row r="1731" spans="13:20" x14ac:dyDescent="0.2">
      <c r="M1731" s="20">
        <v>1.039134687011423E-2</v>
      </c>
      <c r="N1731" s="20">
        <v>7.5639542354068059E-4</v>
      </c>
      <c r="O1731" s="20">
        <v>7.2790893518923178E-2</v>
      </c>
      <c r="P1731" s="20"/>
      <c r="Q1731" s="20"/>
      <c r="R1731" s="20"/>
      <c r="S1731" s="20">
        <v>0.77</v>
      </c>
      <c r="T1731" s="20">
        <v>0.23000000000000009</v>
      </c>
    </row>
    <row r="1732" spans="13:20" x14ac:dyDescent="0.2">
      <c r="M1732" s="20">
        <v>1.1216130983474473E-2</v>
      </c>
      <c r="N1732" s="20">
        <v>1.1286889744151513E-3</v>
      </c>
      <c r="O1732" s="20">
        <v>0.10063086603376238</v>
      </c>
      <c r="P1732" s="20"/>
      <c r="Q1732" s="20">
        <v>0.24</v>
      </c>
      <c r="R1732" s="20">
        <v>0.68</v>
      </c>
      <c r="S1732" s="20">
        <v>8.0000000000000071E-2</v>
      </c>
      <c r="T1732" s="20"/>
    </row>
    <row r="1733" spans="13:20" x14ac:dyDescent="0.2">
      <c r="M1733" s="20">
        <v>1.7613123556929056E-2</v>
      </c>
      <c r="N1733" s="20">
        <v>1.2637138712285616E-3</v>
      </c>
      <c r="O1733" s="20">
        <v>7.1748424811986997E-2</v>
      </c>
      <c r="P1733" s="20"/>
      <c r="Q1733" s="20">
        <v>0.89</v>
      </c>
      <c r="R1733" s="20">
        <v>0.10999999999999988</v>
      </c>
      <c r="S1733" s="20"/>
      <c r="T1733" s="20"/>
    </row>
    <row r="1734" spans="13:20" x14ac:dyDescent="0.2">
      <c r="M1734" s="20">
        <v>1.314004438038416E-2</v>
      </c>
      <c r="N1734" s="20">
        <v>2.0208714049325138E-3</v>
      </c>
      <c r="O1734" s="20">
        <v>0.15379486906066536</v>
      </c>
      <c r="P1734" s="20">
        <v>0.45999999999999996</v>
      </c>
      <c r="Q1734" s="20"/>
      <c r="R1734" s="20"/>
      <c r="S1734" s="20"/>
      <c r="T1734" s="20">
        <v>0.54</v>
      </c>
    </row>
    <row r="1735" spans="13:20" x14ac:dyDescent="0.2">
      <c r="M1735" s="20">
        <v>1.2499584727109892E-2</v>
      </c>
      <c r="N1735" s="20">
        <v>2.125335474074742E-3</v>
      </c>
      <c r="O1735" s="20">
        <v>0.17003248671655302</v>
      </c>
      <c r="P1735" s="20">
        <v>0.66</v>
      </c>
      <c r="Q1735" s="20">
        <v>0.18</v>
      </c>
      <c r="R1735" s="20">
        <v>0.15999999999999992</v>
      </c>
      <c r="S1735" s="20"/>
      <c r="T1735" s="20"/>
    </row>
    <row r="1736" spans="13:20" x14ac:dyDescent="0.2">
      <c r="M1736" s="20">
        <v>9.573297719846819E-3</v>
      </c>
      <c r="N1736" s="20">
        <v>8.9175992969772679E-4</v>
      </c>
      <c r="O1736" s="20">
        <v>9.3150757011241855E-2</v>
      </c>
      <c r="P1736" s="20"/>
      <c r="Q1736" s="20"/>
      <c r="R1736" s="20">
        <v>0.59</v>
      </c>
      <c r="S1736" s="20">
        <v>0.40999999999999992</v>
      </c>
      <c r="T1736" s="20"/>
    </row>
    <row r="1737" spans="13:20" x14ac:dyDescent="0.2">
      <c r="M1737" s="20">
        <v>9.1638620706115878E-3</v>
      </c>
      <c r="N1737" s="20">
        <v>1.185857262319367E-3</v>
      </c>
      <c r="O1737" s="20">
        <v>0.12940583928280622</v>
      </c>
      <c r="P1737" s="20">
        <v>0.1100000000000001</v>
      </c>
      <c r="Q1737" s="20"/>
      <c r="R1737" s="20">
        <v>0.47</v>
      </c>
      <c r="S1737" s="20">
        <v>0.28000000000000003</v>
      </c>
      <c r="T1737" s="20">
        <v>0.14000000000000001</v>
      </c>
    </row>
    <row r="1738" spans="13:20" x14ac:dyDescent="0.2">
      <c r="M1738" s="20">
        <v>1.7423690015184391E-2</v>
      </c>
      <c r="N1738" s="20">
        <v>1.2424132313803597E-3</v>
      </c>
      <c r="O1738" s="20">
        <v>7.1305976535258719E-2</v>
      </c>
      <c r="P1738" s="20"/>
      <c r="Q1738" s="20">
        <v>0.87</v>
      </c>
      <c r="R1738" s="20">
        <v>0.1</v>
      </c>
      <c r="S1738" s="20">
        <v>3.0000000000000027E-2</v>
      </c>
      <c r="T1738" s="20"/>
    </row>
    <row r="1739" spans="13:20" x14ac:dyDescent="0.2">
      <c r="M1739" s="20">
        <v>9.3185419224888367E-3</v>
      </c>
      <c r="N1739" s="20">
        <v>9.0396098158453564E-4</v>
      </c>
      <c r="O1739" s="20">
        <v>9.7006697947343873E-2</v>
      </c>
      <c r="P1739" s="20"/>
      <c r="Q1739" s="20"/>
      <c r="R1739" s="20">
        <v>0.48</v>
      </c>
      <c r="S1739" s="20">
        <v>0.44</v>
      </c>
      <c r="T1739" s="20">
        <v>8.0000000000000182E-2</v>
      </c>
    </row>
    <row r="1740" spans="13:20" x14ac:dyDescent="0.2">
      <c r="M1740" s="20">
        <v>1.4541465188934373E-2</v>
      </c>
      <c r="N1740" s="20">
        <v>1.9095360836775832E-3</v>
      </c>
      <c r="O1740" s="20">
        <v>0.13131662173428604</v>
      </c>
      <c r="P1740" s="20">
        <v>0.48</v>
      </c>
      <c r="Q1740" s="20">
        <v>0.52</v>
      </c>
      <c r="R1740" s="20"/>
      <c r="S1740" s="20"/>
      <c r="T1740" s="20"/>
    </row>
    <row r="1741" spans="13:20" x14ac:dyDescent="0.2">
      <c r="M1741" s="20">
        <v>9.6934705756580048E-3</v>
      </c>
      <c r="N1741" s="20">
        <v>9.477958300807257E-4</v>
      </c>
      <c r="O1741" s="20">
        <v>9.7776727404610506E-2</v>
      </c>
      <c r="P1741" s="20"/>
      <c r="Q1741" s="20"/>
      <c r="R1741" s="20">
        <v>0.68</v>
      </c>
      <c r="S1741" s="20">
        <v>0.31999999999999995</v>
      </c>
      <c r="T1741" s="20"/>
    </row>
    <row r="1742" spans="13:20" x14ac:dyDescent="0.2">
      <c r="M1742" s="20">
        <v>9.6730729121530818E-3</v>
      </c>
      <c r="N1742" s="20">
        <v>9.4156961892705908E-4</v>
      </c>
      <c r="O1742" s="20">
        <v>9.7339245499130603E-2</v>
      </c>
      <c r="P1742" s="20"/>
      <c r="Q1742" s="20"/>
      <c r="R1742" s="20">
        <v>0.67</v>
      </c>
      <c r="S1742" s="20">
        <v>0.32999999999999985</v>
      </c>
      <c r="T1742" s="20"/>
    </row>
    <row r="1743" spans="13:20" x14ac:dyDescent="0.2">
      <c r="M1743" s="20">
        <v>1.1671651481763246E-2</v>
      </c>
      <c r="N1743" s="20">
        <v>5.6475815891997229E-4</v>
      </c>
      <c r="O1743" s="20">
        <v>4.8387167814460286E-2</v>
      </c>
      <c r="P1743" s="20"/>
      <c r="Q1743" s="20"/>
      <c r="R1743" s="20"/>
      <c r="S1743" s="20">
        <v>0.96</v>
      </c>
      <c r="T1743" s="20">
        <v>3.9999999999999925E-2</v>
      </c>
    </row>
    <row r="1744" spans="13:20" x14ac:dyDescent="0.2">
      <c r="M1744" s="20">
        <v>1.5269985189170514E-2</v>
      </c>
      <c r="N1744" s="20">
        <v>1.7648399805418858E-3</v>
      </c>
      <c r="O1744" s="20">
        <v>0.11557574933297982</v>
      </c>
      <c r="P1744" s="20">
        <v>0.37</v>
      </c>
      <c r="Q1744" s="20">
        <v>0.63000000000000012</v>
      </c>
      <c r="R1744" s="20"/>
      <c r="S1744" s="20"/>
      <c r="T1744" s="20"/>
    </row>
    <row r="1745" spans="13:20" x14ac:dyDescent="0.2">
      <c r="M1745" s="20">
        <v>1.0283168771642428E-2</v>
      </c>
      <c r="N1745" s="20">
        <v>1.0195637687869386E-3</v>
      </c>
      <c r="O1745" s="20">
        <v>9.91487926949675E-2</v>
      </c>
      <c r="P1745" s="20"/>
      <c r="Q1745" s="20">
        <v>0.12</v>
      </c>
      <c r="R1745" s="20">
        <v>0.65</v>
      </c>
      <c r="S1745" s="20">
        <v>0.22999999999999998</v>
      </c>
      <c r="T1745" s="20"/>
    </row>
    <row r="1746" spans="13:20" x14ac:dyDescent="0.2">
      <c r="M1746" s="20">
        <v>1.4419436350020146E-2</v>
      </c>
      <c r="N1746" s="20">
        <v>1.228316785001329E-3</v>
      </c>
      <c r="O1746" s="20">
        <v>8.5184798849617521E-2</v>
      </c>
      <c r="P1746" s="20"/>
      <c r="Q1746" s="20">
        <v>0.62</v>
      </c>
      <c r="R1746" s="20">
        <v>0.37999999999999989</v>
      </c>
      <c r="S1746" s="20"/>
      <c r="T1746" s="20"/>
    </row>
    <row r="1747" spans="13:20" x14ac:dyDescent="0.2">
      <c r="M1747" s="20">
        <v>1.1401739475669198E-2</v>
      </c>
      <c r="N1747" s="20">
        <v>5.9501667438639999E-4</v>
      </c>
      <c r="O1747" s="20">
        <v>5.2186482216695008E-2</v>
      </c>
      <c r="P1747" s="20"/>
      <c r="Q1747" s="20"/>
      <c r="R1747" s="20"/>
      <c r="S1747" s="20">
        <v>0.93</v>
      </c>
      <c r="T1747" s="20">
        <v>6.9999999999999951E-2</v>
      </c>
    </row>
    <row r="1748" spans="13:20" x14ac:dyDescent="0.2">
      <c r="M1748" s="20">
        <v>1.3112988436391915E-2</v>
      </c>
      <c r="N1748" s="20">
        <v>2.0314766386517933E-3</v>
      </c>
      <c r="O1748" s="20">
        <v>0.1549209509720853</v>
      </c>
      <c r="P1748" s="20">
        <v>0.47000000000000008</v>
      </c>
      <c r="Q1748" s="20"/>
      <c r="R1748" s="20"/>
      <c r="S1748" s="20"/>
      <c r="T1748" s="20">
        <v>0.53</v>
      </c>
    </row>
    <row r="1749" spans="13:20" x14ac:dyDescent="0.2">
      <c r="M1749" s="20">
        <v>1.1258881127697516E-2</v>
      </c>
      <c r="N1749" s="20">
        <v>1.5723327071835527E-3</v>
      </c>
      <c r="O1749" s="20">
        <v>0.13965266080618979</v>
      </c>
      <c r="P1749" s="20">
        <v>0.33</v>
      </c>
      <c r="Q1749" s="20">
        <v>0.18999999999999995</v>
      </c>
      <c r="R1749" s="20"/>
      <c r="S1749" s="20">
        <v>0.26</v>
      </c>
      <c r="T1749" s="20">
        <v>0.22</v>
      </c>
    </row>
    <row r="1750" spans="13:20" x14ac:dyDescent="0.2">
      <c r="M1750" s="20">
        <v>9.6097611956754737E-3</v>
      </c>
      <c r="N1750" s="20">
        <v>8.2949781816106191E-4</v>
      </c>
      <c r="O1750" s="20">
        <v>8.6318255081546405E-2</v>
      </c>
      <c r="P1750" s="20"/>
      <c r="Q1750" s="20"/>
      <c r="R1750" s="20">
        <v>0.49</v>
      </c>
      <c r="S1750" s="20">
        <v>0.51000000000000012</v>
      </c>
      <c r="T1750" s="20"/>
    </row>
    <row r="1751" spans="13:20" x14ac:dyDescent="0.2">
      <c r="M1751" s="20">
        <v>1.0981662283534352E-2</v>
      </c>
      <c r="N1751" s="20">
        <v>9.8548611788082103E-4</v>
      </c>
      <c r="O1751" s="20">
        <v>8.973924825191866E-2</v>
      </c>
      <c r="P1751" s="20"/>
      <c r="Q1751" s="20">
        <v>0.24</v>
      </c>
      <c r="R1751" s="20">
        <v>0.45</v>
      </c>
      <c r="S1751" s="20">
        <v>0.30999999999999994</v>
      </c>
      <c r="T1751" s="20"/>
    </row>
    <row r="1752" spans="13:20" x14ac:dyDescent="0.2">
      <c r="M1752" s="20">
        <v>1.3703341961693198E-2</v>
      </c>
      <c r="N1752" s="20">
        <v>1.9819062148745035E-3</v>
      </c>
      <c r="O1752" s="20">
        <v>0.14462940649184655</v>
      </c>
      <c r="P1752" s="20">
        <v>0.54</v>
      </c>
      <c r="Q1752" s="20">
        <v>0.41</v>
      </c>
      <c r="R1752" s="20">
        <v>5.0000000000000044E-2</v>
      </c>
      <c r="S1752" s="20"/>
      <c r="T1752" s="20"/>
    </row>
    <row r="1753" spans="13:20" x14ac:dyDescent="0.2">
      <c r="M1753" s="20">
        <v>9.4537584062651028E-3</v>
      </c>
      <c r="N1753" s="20">
        <v>1.2848271691126788E-3</v>
      </c>
      <c r="O1753" s="20">
        <v>0.13590649495138468</v>
      </c>
      <c r="P1753" s="20">
        <v>0.22000000000000008</v>
      </c>
      <c r="Q1753" s="20"/>
      <c r="R1753" s="20">
        <v>0.15</v>
      </c>
      <c r="S1753" s="20">
        <v>0.42</v>
      </c>
      <c r="T1753" s="20">
        <v>0.21</v>
      </c>
    </row>
    <row r="1754" spans="13:20" x14ac:dyDescent="0.2">
      <c r="M1754" s="20">
        <v>1.0867634966813016E-2</v>
      </c>
      <c r="N1754" s="20">
        <v>7.3142288737798058E-4</v>
      </c>
      <c r="O1754" s="20">
        <v>6.7302857485695783E-2</v>
      </c>
      <c r="P1754" s="20">
        <v>0.05</v>
      </c>
      <c r="Q1754" s="20">
        <v>0.03</v>
      </c>
      <c r="R1754" s="20">
        <v>0.13</v>
      </c>
      <c r="S1754" s="20">
        <v>0.78999999999999992</v>
      </c>
      <c r="T1754" s="20"/>
    </row>
    <row r="1755" spans="13:20" x14ac:dyDescent="0.2">
      <c r="M1755" s="20">
        <v>1.3902640725373946E-2</v>
      </c>
      <c r="N1755" s="20">
        <v>1.8405824317047612E-3</v>
      </c>
      <c r="O1755" s="20">
        <v>0.13239085063497921</v>
      </c>
      <c r="P1755" s="20">
        <v>0.29000000000000004</v>
      </c>
      <c r="Q1755" s="20"/>
      <c r="R1755" s="20"/>
      <c r="S1755" s="20"/>
      <c r="T1755" s="20">
        <v>0.71</v>
      </c>
    </row>
    <row r="1756" spans="13:20" x14ac:dyDescent="0.2">
      <c r="M1756" s="20">
        <v>1.0192156839305607E-2</v>
      </c>
      <c r="N1756" s="20">
        <v>8.4717096993996294E-4</v>
      </c>
      <c r="O1756" s="20">
        <v>8.3119891431898421E-2</v>
      </c>
      <c r="P1756" s="20"/>
      <c r="Q1756" s="20"/>
      <c r="R1756" s="20"/>
      <c r="S1756" s="20">
        <v>0.68</v>
      </c>
      <c r="T1756" s="20">
        <v>0.31999999999999984</v>
      </c>
    </row>
    <row r="1757" spans="13:20" x14ac:dyDescent="0.2">
      <c r="M1757" s="20">
        <v>1.8308472326935072E-2</v>
      </c>
      <c r="N1757" s="20">
        <v>1.3281296647475898E-3</v>
      </c>
      <c r="O1757" s="20">
        <v>7.2541806931300926E-2</v>
      </c>
      <c r="P1757" s="20">
        <v>0.04</v>
      </c>
      <c r="Q1757" s="20">
        <v>0.94</v>
      </c>
      <c r="R1757" s="20">
        <v>2.0000000000000018E-2</v>
      </c>
      <c r="S1757" s="20"/>
      <c r="T1757" s="20"/>
    </row>
    <row r="1758" spans="13:20" x14ac:dyDescent="0.2">
      <c r="M1758" s="20">
        <v>1.0430911482542393E-2</v>
      </c>
      <c r="N1758" s="20">
        <v>7.4630925171853785E-4</v>
      </c>
      <c r="O1758" s="20">
        <v>7.1547846318856412E-2</v>
      </c>
      <c r="P1758" s="20"/>
      <c r="Q1758" s="20"/>
      <c r="R1758" s="20"/>
      <c r="S1758" s="20">
        <v>0.78</v>
      </c>
      <c r="T1758" s="20">
        <v>0.21999999999999997</v>
      </c>
    </row>
    <row r="1759" spans="13:20" x14ac:dyDescent="0.2">
      <c r="M1759" s="20">
        <v>1.4523169030091784E-2</v>
      </c>
      <c r="N1759" s="20">
        <v>2.5672456433853004E-3</v>
      </c>
      <c r="O1759" s="20">
        <v>0.1767689708813556</v>
      </c>
      <c r="P1759" s="20">
        <v>0.98</v>
      </c>
      <c r="Q1759" s="20">
        <v>2.0000000000000018E-2</v>
      </c>
      <c r="R1759" s="20"/>
      <c r="S1759" s="20"/>
      <c r="T1759" s="20"/>
    </row>
    <row r="1760" spans="13:20" x14ac:dyDescent="0.2">
      <c r="M1760" s="20">
        <v>1.446912698500487E-2</v>
      </c>
      <c r="N1760" s="20">
        <v>2.5540914521911462E-3</v>
      </c>
      <c r="O1760" s="20">
        <v>0.17652007994940452</v>
      </c>
      <c r="P1760" s="20">
        <v>0.97</v>
      </c>
      <c r="Q1760" s="20">
        <v>3.0000000000000027E-2</v>
      </c>
      <c r="R1760" s="20"/>
      <c r="S1760" s="20"/>
      <c r="T1760" s="20"/>
    </row>
    <row r="1761" spans="13:20" x14ac:dyDescent="0.2">
      <c r="M1761" s="20">
        <v>1.3261192710867578E-2</v>
      </c>
      <c r="N1761" s="20">
        <v>1.6474561365464426E-3</v>
      </c>
      <c r="O1761" s="20">
        <v>0.12423136986738369</v>
      </c>
      <c r="P1761" s="20">
        <v>0.18</v>
      </c>
      <c r="Q1761" s="20">
        <v>0.30000000000000004</v>
      </c>
      <c r="R1761" s="20"/>
      <c r="S1761" s="20"/>
      <c r="T1761" s="20">
        <v>0.52</v>
      </c>
    </row>
    <row r="1762" spans="13:20" x14ac:dyDescent="0.2">
      <c r="M1762" s="20">
        <v>1.3853733404099839E-2</v>
      </c>
      <c r="N1762" s="20">
        <v>2.17261990756067E-3</v>
      </c>
      <c r="O1762" s="20">
        <v>0.1568255894773975</v>
      </c>
      <c r="P1762" s="20">
        <v>0.68</v>
      </c>
      <c r="Q1762" s="20">
        <v>0.31999999999999984</v>
      </c>
      <c r="R1762" s="20"/>
      <c r="S1762" s="20"/>
      <c r="T1762" s="20"/>
    </row>
    <row r="1763" spans="13:20" x14ac:dyDescent="0.2">
      <c r="M1763" s="20">
        <v>1.4961254683134249E-2</v>
      </c>
      <c r="N1763" s="20">
        <v>1.2348718009693349E-3</v>
      </c>
      <c r="O1763" s="20">
        <v>8.2537984087751676E-2</v>
      </c>
      <c r="P1763" s="20"/>
      <c r="Q1763" s="20">
        <v>0.67</v>
      </c>
      <c r="R1763" s="20">
        <v>0.32999999999999996</v>
      </c>
      <c r="S1763" s="20"/>
      <c r="T1763" s="20"/>
    </row>
    <row r="1764" spans="13:20" x14ac:dyDescent="0.2">
      <c r="M1764" s="20">
        <v>1.350132252723896E-2</v>
      </c>
      <c r="N1764" s="20">
        <v>2.4026598188265774E-3</v>
      </c>
      <c r="O1764" s="20">
        <v>0.17795736780446536</v>
      </c>
      <c r="P1764" s="20">
        <v>0.82000000000000006</v>
      </c>
      <c r="Q1764" s="20"/>
      <c r="R1764" s="20"/>
      <c r="S1764" s="20"/>
      <c r="T1764" s="20">
        <v>0.18</v>
      </c>
    </row>
    <row r="1765" spans="13:20" x14ac:dyDescent="0.2">
      <c r="M1765" s="20">
        <v>1.1871384886332407E-2</v>
      </c>
      <c r="N1765" s="20">
        <v>1.6517407706386558E-3</v>
      </c>
      <c r="O1765" s="20">
        <v>0.13913631698861978</v>
      </c>
      <c r="P1765" s="20">
        <v>0.21</v>
      </c>
      <c r="Q1765" s="20">
        <v>0.09</v>
      </c>
      <c r="R1765" s="20">
        <v>0.20999999999999996</v>
      </c>
      <c r="S1765" s="20"/>
      <c r="T1765" s="20">
        <v>0.49</v>
      </c>
    </row>
    <row r="1766" spans="13:20" x14ac:dyDescent="0.2">
      <c r="M1766" s="20">
        <v>1.3117729138183799E-2</v>
      </c>
      <c r="N1766" s="20">
        <v>1.7063990277321505E-3</v>
      </c>
      <c r="O1766" s="20">
        <v>0.13008341685948305</v>
      </c>
      <c r="P1766" s="20">
        <v>0.25</v>
      </c>
      <c r="Q1766" s="20">
        <v>0.35999999999999988</v>
      </c>
      <c r="R1766" s="20"/>
      <c r="S1766" s="20"/>
      <c r="T1766" s="20">
        <v>0.39</v>
      </c>
    </row>
    <row r="1767" spans="13:20" x14ac:dyDescent="0.2">
      <c r="M1767" s="20">
        <v>9.6089874853925138E-3</v>
      </c>
      <c r="N1767" s="20">
        <v>9.1666477431239315E-4</v>
      </c>
      <c r="O1767" s="20">
        <v>9.5396604034077237E-2</v>
      </c>
      <c r="P1767" s="20"/>
      <c r="Q1767" s="20"/>
      <c r="R1767" s="20">
        <v>0.63</v>
      </c>
      <c r="S1767" s="20">
        <v>0.37000000000000011</v>
      </c>
      <c r="T1767" s="20"/>
    </row>
    <row r="1768" spans="13:20" x14ac:dyDescent="0.2">
      <c r="M1768" s="20">
        <v>1.0740332282378575E-2</v>
      </c>
      <c r="N1768" s="20">
        <v>1.1116459328983353E-3</v>
      </c>
      <c r="O1768" s="20">
        <v>0.10350200568023282</v>
      </c>
      <c r="P1768" s="20"/>
      <c r="Q1768" s="20">
        <v>0.11</v>
      </c>
      <c r="R1768" s="20">
        <v>0.81</v>
      </c>
      <c r="S1768" s="20">
        <v>7.999999999999996E-2</v>
      </c>
      <c r="T1768" s="20"/>
    </row>
    <row r="1769" spans="13:20" x14ac:dyDescent="0.2">
      <c r="M1769" s="20">
        <v>1.6193429348153428E-2</v>
      </c>
      <c r="N1769" s="20">
        <v>1.1519666592131471E-3</v>
      </c>
      <c r="O1769" s="20">
        <v>7.1137906273355769E-2</v>
      </c>
      <c r="P1769" s="20"/>
      <c r="Q1769" s="20">
        <v>0.75</v>
      </c>
      <c r="R1769" s="20">
        <v>0.1</v>
      </c>
      <c r="S1769" s="20">
        <v>0.15000000000000002</v>
      </c>
      <c r="T1769" s="20"/>
    </row>
    <row r="1770" spans="13:20" x14ac:dyDescent="0.2">
      <c r="M1770" s="20">
        <v>1.5413130945862857E-2</v>
      </c>
      <c r="N1770" s="20">
        <v>1.2401158137437399E-3</v>
      </c>
      <c r="O1770" s="20">
        <v>8.0458397330141915E-2</v>
      </c>
      <c r="P1770" s="20"/>
      <c r="Q1770" s="20">
        <v>0.71</v>
      </c>
      <c r="R1770" s="20">
        <v>0.29000000000000004</v>
      </c>
      <c r="S1770" s="20"/>
      <c r="T1770" s="20"/>
    </row>
    <row r="1771" spans="13:20" x14ac:dyDescent="0.2">
      <c r="M1771" s="20">
        <v>1.4749960029107697E-2</v>
      </c>
      <c r="N1771" s="20">
        <v>1.7133196270734071E-3</v>
      </c>
      <c r="O1771" s="20">
        <v>0.11615757762680899</v>
      </c>
      <c r="P1771" s="20">
        <v>0.17000000000000015</v>
      </c>
      <c r="Q1771" s="20"/>
      <c r="R1771" s="20"/>
      <c r="S1771" s="20"/>
      <c r="T1771" s="20">
        <v>0.83</v>
      </c>
    </row>
    <row r="1772" spans="13:20" x14ac:dyDescent="0.2">
      <c r="M1772" s="20">
        <v>1.0977548684537796E-2</v>
      </c>
      <c r="N1772" s="20">
        <v>1.0791529218492409E-3</v>
      </c>
      <c r="O1772" s="20">
        <v>9.830545533077524E-2</v>
      </c>
      <c r="P1772" s="20"/>
      <c r="Q1772" s="20"/>
      <c r="R1772" s="20"/>
      <c r="S1772" s="20">
        <v>0.45</v>
      </c>
      <c r="T1772" s="20">
        <v>0.54999999999999993</v>
      </c>
    </row>
    <row r="1773" spans="13:20" x14ac:dyDescent="0.2">
      <c r="M1773" s="20">
        <v>1.0086589952797122E-2</v>
      </c>
      <c r="N1773" s="20">
        <v>1.2035964212183713E-3</v>
      </c>
      <c r="O1773" s="20">
        <v>0.11932639542708889</v>
      </c>
      <c r="P1773" s="20">
        <v>0.26</v>
      </c>
      <c r="Q1773" s="20"/>
      <c r="R1773" s="20"/>
      <c r="S1773" s="20">
        <v>0.6</v>
      </c>
      <c r="T1773" s="20">
        <v>0.14000000000000001</v>
      </c>
    </row>
    <row r="1774" spans="13:20" x14ac:dyDescent="0.2">
      <c r="M1774" s="20">
        <v>1.2154408942960866E-2</v>
      </c>
      <c r="N1774" s="20">
        <v>1.6826107131645315E-3</v>
      </c>
      <c r="O1774" s="20">
        <v>0.13843624326454826</v>
      </c>
      <c r="P1774" s="20">
        <v>0.24</v>
      </c>
      <c r="Q1774" s="20">
        <v>0.23</v>
      </c>
      <c r="R1774" s="20">
        <v>0.12000000000000011</v>
      </c>
      <c r="S1774" s="20"/>
      <c r="T1774" s="20">
        <v>0.41</v>
      </c>
    </row>
    <row r="1775" spans="13:20" x14ac:dyDescent="0.2">
      <c r="M1775" s="20">
        <v>1.0237955221876788E-2</v>
      </c>
      <c r="N1775" s="20">
        <v>9.1777417269496065E-4</v>
      </c>
      <c r="O1775" s="20">
        <v>8.9644284703827543E-2</v>
      </c>
      <c r="P1775" s="20"/>
      <c r="Q1775" s="20"/>
      <c r="R1775" s="20"/>
      <c r="S1775" s="20">
        <v>0.61</v>
      </c>
      <c r="T1775" s="20">
        <v>0.3899999999999999</v>
      </c>
    </row>
    <row r="1776" spans="13:20" x14ac:dyDescent="0.2">
      <c r="M1776" s="20">
        <v>1.0768264667655209E-2</v>
      </c>
      <c r="N1776" s="20">
        <v>6.7908655209380359E-4</v>
      </c>
      <c r="O1776" s="20">
        <v>6.3063694388343333E-2</v>
      </c>
      <c r="P1776" s="20"/>
      <c r="Q1776" s="20">
        <v>0.04</v>
      </c>
      <c r="R1776" s="20">
        <v>0.2</v>
      </c>
      <c r="S1776" s="20">
        <v>0.7599999999999999</v>
      </c>
      <c r="T1776" s="20"/>
    </row>
    <row r="1777" spans="13:20" x14ac:dyDescent="0.2">
      <c r="M1777" s="20">
        <v>9.5690768826218534E-3</v>
      </c>
      <c r="N1777" s="20">
        <v>8.6062887392939435E-4</v>
      </c>
      <c r="O1777" s="20">
        <v>8.9938547310907252E-2</v>
      </c>
      <c r="P1777" s="20"/>
      <c r="Q1777" s="20"/>
      <c r="R1777" s="20">
        <v>0.54</v>
      </c>
      <c r="S1777" s="20">
        <v>0.45999999999999996</v>
      </c>
      <c r="T1777" s="20"/>
    </row>
    <row r="1778" spans="13:20" x14ac:dyDescent="0.2">
      <c r="M1778" s="20">
        <v>1.0502583005742475E-2</v>
      </c>
      <c r="N1778" s="20">
        <v>9.9846354727210112E-4</v>
      </c>
      <c r="O1778" s="20">
        <v>9.5068379533508399E-2</v>
      </c>
      <c r="P1778" s="20"/>
      <c r="Q1778" s="20"/>
      <c r="R1778" s="20"/>
      <c r="S1778" s="20">
        <v>0.53</v>
      </c>
      <c r="T1778" s="20">
        <v>0.47000000000000008</v>
      </c>
    </row>
    <row r="1779" spans="13:20" x14ac:dyDescent="0.2">
      <c r="M1779" s="20">
        <v>1.0199118291272595E-2</v>
      </c>
      <c r="N1779" s="20">
        <v>1.0411889973857232E-3</v>
      </c>
      <c r="O1779" s="20">
        <v>0.10208617722148304</v>
      </c>
      <c r="P1779" s="20"/>
      <c r="Q1779" s="20"/>
      <c r="R1779" s="20">
        <v>0.83</v>
      </c>
      <c r="S1779" s="20">
        <v>0.16999999999999993</v>
      </c>
      <c r="T1779" s="20"/>
    </row>
    <row r="1780" spans="13:20" x14ac:dyDescent="0.2">
      <c r="M1780" s="20">
        <v>1.1484025901896058E-2</v>
      </c>
      <c r="N1780" s="20">
        <v>1.1784986636444832E-3</v>
      </c>
      <c r="O1780" s="20">
        <v>0.10262069014054631</v>
      </c>
      <c r="P1780" s="20"/>
      <c r="Q1780" s="20">
        <v>0.24</v>
      </c>
      <c r="R1780" s="20">
        <v>0.76</v>
      </c>
      <c r="S1780" s="20"/>
      <c r="T1780" s="20"/>
    </row>
    <row r="1781" spans="13:20" x14ac:dyDescent="0.2">
      <c r="M1781" s="20">
        <v>1.906302168500059E-2</v>
      </c>
      <c r="N1781" s="20">
        <v>1.2781349063581749E-3</v>
      </c>
      <c r="O1781" s="20">
        <v>6.7047865101252727E-2</v>
      </c>
      <c r="P1781" s="20"/>
      <c r="Q1781" s="20">
        <v>1</v>
      </c>
      <c r="R1781" s="20">
        <v>0</v>
      </c>
      <c r="S1781" s="20"/>
      <c r="T1781" s="20"/>
    </row>
    <row r="1782" spans="13:20" x14ac:dyDescent="0.2">
      <c r="M1782" s="20">
        <v>1.1553487955234259E-2</v>
      </c>
      <c r="N1782" s="20">
        <v>1.9513064954133693E-3</v>
      </c>
      <c r="O1782" s="20">
        <v>0.16889328166299233</v>
      </c>
      <c r="P1782" s="20">
        <v>0.56000000000000005</v>
      </c>
      <c r="Q1782" s="20">
        <v>0.05</v>
      </c>
      <c r="R1782" s="20">
        <v>2.9999999999999805E-2</v>
      </c>
      <c r="S1782" s="20">
        <v>0.15</v>
      </c>
      <c r="T1782" s="20">
        <v>0.21</v>
      </c>
    </row>
    <row r="1783" spans="13:20" x14ac:dyDescent="0.2">
      <c r="M1783" s="20">
        <v>1.0883770663921452E-2</v>
      </c>
      <c r="N1783" s="20">
        <v>9.690191598234082E-4</v>
      </c>
      <c r="O1783" s="20">
        <v>8.9033404850729192E-2</v>
      </c>
      <c r="P1783" s="20">
        <v>0.20999999999999996</v>
      </c>
      <c r="Q1783" s="20"/>
      <c r="R1783" s="20"/>
      <c r="S1783" s="20">
        <v>0.78</v>
      </c>
      <c r="T1783" s="20">
        <v>0.01</v>
      </c>
    </row>
    <row r="1784" spans="13:20" x14ac:dyDescent="0.2">
      <c r="M1784" s="20">
        <v>6.7596346968057741E-3</v>
      </c>
      <c r="N1784" s="20">
        <v>6.3298045061864591E-4</v>
      </c>
      <c r="O1784" s="20">
        <v>9.3641221605918618E-2</v>
      </c>
      <c r="P1784" s="20">
        <v>0.02</v>
      </c>
      <c r="Q1784" s="20">
        <v>0.13</v>
      </c>
      <c r="R1784" s="20">
        <v>0.06</v>
      </c>
      <c r="S1784" s="20">
        <v>0.28000000000000003</v>
      </c>
      <c r="T1784" s="20">
        <v>0.13</v>
      </c>
    </row>
    <row r="1785" spans="13:20" x14ac:dyDescent="0.2">
      <c r="M1785" s="20">
        <v>1.3420329923904859E-2</v>
      </c>
      <c r="N1785" s="20">
        <v>1.5712068978487939E-3</v>
      </c>
      <c r="O1785" s="20">
        <v>0.11707662231537942</v>
      </c>
      <c r="P1785" s="20">
        <v>0.1</v>
      </c>
      <c r="Q1785" s="20">
        <v>0.13</v>
      </c>
      <c r="R1785" s="20">
        <v>9.000000000000008E-2</v>
      </c>
      <c r="S1785" s="20"/>
      <c r="T1785" s="20">
        <v>0.68</v>
      </c>
    </row>
    <row r="1786" spans="13:20" x14ac:dyDescent="0.2">
      <c r="M1786" s="20">
        <v>1.039134687011423E-2</v>
      </c>
      <c r="N1786" s="20">
        <v>7.5639542354068038E-4</v>
      </c>
      <c r="O1786" s="20">
        <v>7.2790893518923164E-2</v>
      </c>
      <c r="P1786" s="20">
        <v>0</v>
      </c>
      <c r="Q1786" s="20"/>
      <c r="R1786" s="20"/>
      <c r="S1786" s="20">
        <v>0.77</v>
      </c>
      <c r="T1786" s="20">
        <v>0.23</v>
      </c>
    </row>
    <row r="1787" spans="13:20" x14ac:dyDescent="0.2">
      <c r="M1787" s="20">
        <v>1.4148879873072288E-2</v>
      </c>
      <c r="N1787" s="20">
        <v>2.4620121138320657E-3</v>
      </c>
      <c r="O1787" s="20">
        <v>0.17400756356110503</v>
      </c>
      <c r="P1787" s="20">
        <v>0.9</v>
      </c>
      <c r="Q1787" s="20">
        <v>9.9999999999999978E-2</v>
      </c>
      <c r="R1787" s="20"/>
      <c r="S1787" s="20"/>
      <c r="T1787" s="20"/>
    </row>
    <row r="1788" spans="13:20" x14ac:dyDescent="0.2">
      <c r="M1788" s="20">
        <v>1.3709273138729028E-2</v>
      </c>
      <c r="N1788" s="20">
        <v>1.2191397626461207E-3</v>
      </c>
      <c r="O1788" s="20">
        <v>8.8928110944264532E-2</v>
      </c>
      <c r="P1788" s="20"/>
      <c r="Q1788" s="20">
        <v>0.55000000000000004</v>
      </c>
      <c r="R1788" s="20">
        <v>0.44999999999999996</v>
      </c>
      <c r="S1788" s="20"/>
      <c r="T1788" s="20"/>
    </row>
    <row r="1789" spans="13:20" x14ac:dyDescent="0.2">
      <c r="M1789" s="20">
        <v>1.4996259129818388E-2</v>
      </c>
      <c r="N1789" s="20">
        <v>1.6815039259155684E-3</v>
      </c>
      <c r="O1789" s="20">
        <v>0.11212822553673306</v>
      </c>
      <c r="P1789" s="20">
        <v>0.14000000000000001</v>
      </c>
      <c r="Q1789" s="20"/>
      <c r="R1789" s="20"/>
      <c r="S1789" s="20"/>
      <c r="T1789" s="20">
        <v>0.86</v>
      </c>
    </row>
    <row r="1790" spans="13:20" x14ac:dyDescent="0.2">
      <c r="M1790" s="20">
        <v>1.4912738377618209E-2</v>
      </c>
      <c r="N1790" s="20">
        <v>1.6921091596348481E-3</v>
      </c>
      <c r="O1790" s="20">
        <v>0.11346736707823232</v>
      </c>
      <c r="P1790" s="20">
        <v>0.15000000000000013</v>
      </c>
      <c r="Q1790" s="20"/>
      <c r="R1790" s="20"/>
      <c r="S1790" s="20">
        <v>0</v>
      </c>
      <c r="T1790" s="20">
        <v>0.85</v>
      </c>
    </row>
    <row r="1791" spans="13:20" x14ac:dyDescent="0.2">
      <c r="M1791" s="20">
        <v>1.3077945144471975E-2</v>
      </c>
      <c r="N1791" s="20">
        <v>2.2753970141952224E-3</v>
      </c>
      <c r="O1791" s="20">
        <v>0.17398734962250767</v>
      </c>
      <c r="P1791" s="20">
        <v>0.7</v>
      </c>
      <c r="Q1791" s="20"/>
      <c r="R1791" s="20"/>
      <c r="S1791" s="20"/>
      <c r="T1791" s="20">
        <v>0.3</v>
      </c>
    </row>
    <row r="1792" spans="13:20" x14ac:dyDescent="0.2">
      <c r="M1792" s="20">
        <v>1.3876782910384536E-2</v>
      </c>
      <c r="N1792" s="20">
        <v>2.4768964548615336E-3</v>
      </c>
      <c r="O1792" s="20">
        <v>0.17849212392073785</v>
      </c>
      <c r="P1792" s="20">
        <v>0.8899999999999999</v>
      </c>
      <c r="Q1792" s="20"/>
      <c r="R1792" s="20"/>
      <c r="S1792" s="20"/>
      <c r="T1792" s="20">
        <v>0.11</v>
      </c>
    </row>
    <row r="1793" spans="13:20" x14ac:dyDescent="0.2">
      <c r="M1793" s="20">
        <v>1.660509863071687E-2</v>
      </c>
      <c r="N1793" s="20">
        <v>1.2532258456797517E-3</v>
      </c>
      <c r="O1793" s="20">
        <v>7.5472351808948443E-2</v>
      </c>
      <c r="P1793" s="20"/>
      <c r="Q1793" s="20">
        <v>0.81</v>
      </c>
      <c r="R1793" s="20">
        <v>0.18999999999999984</v>
      </c>
      <c r="S1793" s="20"/>
      <c r="T1793" s="20"/>
    </row>
    <row r="1794" spans="13:20" x14ac:dyDescent="0.2">
      <c r="M1794" s="20">
        <v>1.0530410879417352E-2</v>
      </c>
      <c r="N1794" s="20">
        <v>1.2290847303782866E-3</v>
      </c>
      <c r="O1794" s="20">
        <v>0.1167176423078272</v>
      </c>
      <c r="P1794" s="20"/>
      <c r="Q1794" s="20"/>
      <c r="R1794" s="20">
        <v>0.5</v>
      </c>
      <c r="S1794" s="20">
        <v>0.11</v>
      </c>
      <c r="T1794" s="20">
        <v>0.39</v>
      </c>
    </row>
    <row r="1795" spans="13:20" x14ac:dyDescent="0.2">
      <c r="M1795" s="20">
        <v>1.5933010011191032E-2</v>
      </c>
      <c r="N1795" s="20">
        <v>1.6596064509886508E-3</v>
      </c>
      <c r="O1795" s="20">
        <v>0.10416151435434835</v>
      </c>
      <c r="P1795" s="20">
        <v>0.28999999999999998</v>
      </c>
      <c r="Q1795" s="20">
        <v>0.71000000000000008</v>
      </c>
      <c r="R1795" s="20"/>
      <c r="S1795" s="20"/>
      <c r="T1795" s="20"/>
    </row>
    <row r="1796" spans="13:20" x14ac:dyDescent="0.2">
      <c r="M1796" s="20">
        <v>1.3695046519854162E-2</v>
      </c>
      <c r="N1796" s="20">
        <v>1.4148697993699407E-3</v>
      </c>
      <c r="O1796" s="20">
        <v>0.10331252232832924</v>
      </c>
      <c r="P1796" s="20"/>
      <c r="Q1796" s="20">
        <v>0.19</v>
      </c>
      <c r="R1796" s="20">
        <v>0.05</v>
      </c>
      <c r="S1796" s="20">
        <v>0.05</v>
      </c>
      <c r="T1796" s="20">
        <v>0.71</v>
      </c>
    </row>
    <row r="1797" spans="13:20" x14ac:dyDescent="0.2">
      <c r="M1797" s="20">
        <v>1.6605098630716873E-2</v>
      </c>
      <c r="N1797" s="20">
        <v>1.2532258456797519E-3</v>
      </c>
      <c r="O1797" s="20">
        <v>7.5472351808948443E-2</v>
      </c>
      <c r="P1797" s="20"/>
      <c r="Q1797" s="20">
        <v>0.81</v>
      </c>
      <c r="R1797" s="20">
        <v>0.18999999999999995</v>
      </c>
      <c r="S1797" s="20"/>
      <c r="T1797" s="20"/>
    </row>
    <row r="1798" spans="13:20" x14ac:dyDescent="0.2">
      <c r="M1798" s="20">
        <v>1.5761864063279733E-2</v>
      </c>
      <c r="N1798" s="20">
        <v>1.2440488233245435E-3</v>
      </c>
      <c r="O1798" s="20">
        <v>7.8927772649860145E-2</v>
      </c>
      <c r="P1798" s="20"/>
      <c r="Q1798" s="20">
        <v>0.74</v>
      </c>
      <c r="R1798" s="20">
        <v>0.26</v>
      </c>
      <c r="S1798" s="20"/>
      <c r="T1798" s="20"/>
    </row>
    <row r="1799" spans="13:20" x14ac:dyDescent="0.2">
      <c r="M1799" s="20">
        <v>1.0675494975338448E-2</v>
      </c>
      <c r="N1799" s="20">
        <v>1.5319053975784531E-3</v>
      </c>
      <c r="O1799" s="20">
        <v>0.14349736486386072</v>
      </c>
      <c r="P1799" s="20">
        <v>0.36</v>
      </c>
      <c r="Q1799" s="20">
        <v>0.13</v>
      </c>
      <c r="R1799" s="20">
        <v>6.9999999999999951E-2</v>
      </c>
      <c r="S1799" s="20">
        <v>0.32</v>
      </c>
      <c r="T1799" s="20">
        <v>0.12</v>
      </c>
    </row>
    <row r="1800" spans="13:20" x14ac:dyDescent="0.2">
      <c r="M1800" s="20">
        <v>1.8661079521685268E-2</v>
      </c>
      <c r="N1800" s="20">
        <v>1.2742018967773713E-3</v>
      </c>
      <c r="O1800" s="20">
        <v>6.8281253252078691E-2</v>
      </c>
      <c r="P1800" s="20"/>
      <c r="Q1800" s="20">
        <v>0.97</v>
      </c>
      <c r="R1800" s="20">
        <v>3.0000000000000027E-2</v>
      </c>
      <c r="S1800" s="20"/>
      <c r="T1800" s="20"/>
    </row>
    <row r="1801" spans="13:20" x14ac:dyDescent="0.2">
      <c r="M1801" s="20">
        <v>1.5298716201155593E-2</v>
      </c>
      <c r="N1801" s="20">
        <v>1.2388048105501385E-3</v>
      </c>
      <c r="O1801" s="20">
        <v>8.0974429112984331E-2</v>
      </c>
      <c r="P1801" s="20"/>
      <c r="Q1801" s="20">
        <v>0.7</v>
      </c>
      <c r="R1801" s="20">
        <v>0.29999999999999993</v>
      </c>
      <c r="S1801" s="20"/>
      <c r="T1801" s="20"/>
    </row>
    <row r="1802" spans="13:20" x14ac:dyDescent="0.2">
      <c r="M1802" s="20">
        <v>1.0226624994773982E-2</v>
      </c>
      <c r="N1802" s="20">
        <v>8.1691245447353578E-4</v>
      </c>
      <c r="O1802" s="20">
        <v>7.9880943604658916E-2</v>
      </c>
      <c r="P1802" s="20"/>
      <c r="Q1802" s="20"/>
      <c r="R1802" s="20"/>
      <c r="S1802" s="20">
        <v>0.71</v>
      </c>
      <c r="T1802" s="20">
        <v>0.29000000000000015</v>
      </c>
    </row>
    <row r="1803" spans="13:20" x14ac:dyDescent="0.2">
      <c r="M1803" s="20">
        <v>1.1216130983474473E-2</v>
      </c>
      <c r="N1803" s="20">
        <v>1.1286889744151513E-3</v>
      </c>
      <c r="O1803" s="20">
        <v>0.10063086603376238</v>
      </c>
      <c r="P1803" s="20"/>
      <c r="Q1803" s="20">
        <v>0.24</v>
      </c>
      <c r="R1803" s="20">
        <v>0.68</v>
      </c>
      <c r="S1803" s="20">
        <v>8.0000000000000071E-2</v>
      </c>
      <c r="T1803" s="20"/>
    </row>
    <row r="1804" spans="13:20" x14ac:dyDescent="0.2">
      <c r="M1804" s="20">
        <v>1.7613123556929056E-2</v>
      </c>
      <c r="N1804" s="20">
        <v>1.2637138712285616E-3</v>
      </c>
      <c r="O1804" s="20">
        <v>7.1748424811986997E-2</v>
      </c>
      <c r="P1804" s="20"/>
      <c r="Q1804" s="20">
        <v>0.89</v>
      </c>
      <c r="R1804" s="20">
        <v>0.10999999999999988</v>
      </c>
      <c r="S1804" s="20"/>
      <c r="T1804" s="20"/>
    </row>
    <row r="1805" spans="13:20" x14ac:dyDescent="0.2">
      <c r="M1805" s="20">
        <v>1.314004438038416E-2</v>
      </c>
      <c r="N1805" s="20">
        <v>2.0208714049325138E-3</v>
      </c>
      <c r="O1805" s="20">
        <v>0.15379486906066536</v>
      </c>
      <c r="P1805" s="20">
        <v>0.45999999999999996</v>
      </c>
      <c r="Q1805" s="20"/>
      <c r="R1805" s="20"/>
      <c r="S1805" s="20"/>
      <c r="T1805" s="20">
        <v>0.54</v>
      </c>
    </row>
    <row r="1806" spans="13:20" x14ac:dyDescent="0.2">
      <c r="M1806" s="20">
        <v>1.361267785531301E-2</v>
      </c>
      <c r="N1806" s="20">
        <v>1.5732195005114856E-3</v>
      </c>
      <c r="O1806" s="20">
        <v>0.11557017048614431</v>
      </c>
      <c r="P1806" s="20">
        <v>0.11</v>
      </c>
      <c r="Q1806" s="20">
        <v>0.29999999999999993</v>
      </c>
      <c r="R1806" s="20"/>
      <c r="S1806" s="20"/>
      <c r="T1806" s="20">
        <v>0.59</v>
      </c>
    </row>
    <row r="1807" spans="13:20" x14ac:dyDescent="0.2">
      <c r="M1807" s="20">
        <v>9.4228058477785707E-3</v>
      </c>
      <c r="N1807" s="20">
        <v>8.8852113891063156E-4</v>
      </c>
      <c r="O1807" s="20">
        <v>9.42947518249143E-2</v>
      </c>
      <c r="P1807" s="20"/>
      <c r="Q1807" s="20"/>
      <c r="R1807" s="20">
        <v>0.52</v>
      </c>
      <c r="S1807" s="20">
        <v>0.44</v>
      </c>
      <c r="T1807" s="20">
        <v>4.0000000000000036E-2</v>
      </c>
    </row>
    <row r="1808" spans="13:20" x14ac:dyDescent="0.2">
      <c r="M1808" s="20">
        <v>1.432288996885827E-2</v>
      </c>
      <c r="N1808" s="20">
        <v>1.0512878173991368E-3</v>
      </c>
      <c r="O1808" s="20">
        <v>7.3399140793856066E-2</v>
      </c>
      <c r="P1808" s="20"/>
      <c r="Q1808" s="20">
        <v>0.56999999999999995</v>
      </c>
      <c r="R1808" s="20">
        <v>0.14000000000000001</v>
      </c>
      <c r="S1808" s="20">
        <v>0.28000000000000003</v>
      </c>
      <c r="T1808" s="20">
        <v>1.000000000000012E-2</v>
      </c>
    </row>
    <row r="1809" spans="13:20" x14ac:dyDescent="0.2">
      <c r="M1809" s="20">
        <v>1.2820046932267709E-2</v>
      </c>
      <c r="N1809" s="20">
        <v>1.7504631046704143E-3</v>
      </c>
      <c r="O1809" s="20">
        <v>0.13654108396940001</v>
      </c>
      <c r="P1809" s="20">
        <v>0.38</v>
      </c>
      <c r="Q1809" s="20">
        <v>0.41</v>
      </c>
      <c r="R1809" s="20">
        <v>0.20999999999999996</v>
      </c>
      <c r="S1809" s="20"/>
      <c r="T1809" s="20"/>
    </row>
    <row r="1810" spans="13:20" x14ac:dyDescent="0.2">
      <c r="M1810" s="20">
        <v>1.3517835691214475E-2</v>
      </c>
      <c r="N1810" s="20">
        <v>1.2165177562589182E-3</v>
      </c>
      <c r="O1810" s="20">
        <v>8.9993530328938559E-2</v>
      </c>
      <c r="P1810" s="20"/>
      <c r="Q1810" s="20">
        <v>0.53</v>
      </c>
      <c r="R1810" s="20">
        <v>0.46999999999999986</v>
      </c>
      <c r="S1810" s="20"/>
      <c r="T1810" s="20"/>
    </row>
    <row r="1811" spans="13:20" x14ac:dyDescent="0.2">
      <c r="M1811" s="20">
        <v>1.4979102552534412E-2</v>
      </c>
      <c r="N1811" s="20">
        <v>1.8174567453185029E-3</v>
      </c>
      <c r="O1811" s="20">
        <v>0.12133281943590109</v>
      </c>
      <c r="P1811" s="20">
        <v>0.41</v>
      </c>
      <c r="Q1811" s="20">
        <v>0.59000000000000008</v>
      </c>
      <c r="R1811" s="20"/>
      <c r="S1811" s="20"/>
      <c r="T1811" s="20"/>
    </row>
    <row r="1812" spans="13:20" x14ac:dyDescent="0.2">
      <c r="M1812" s="20">
        <v>9.6934705756580048E-3</v>
      </c>
      <c r="N1812" s="20">
        <v>9.477958300807257E-4</v>
      </c>
      <c r="O1812" s="20">
        <v>9.7776727404610506E-2</v>
      </c>
      <c r="P1812" s="20"/>
      <c r="Q1812" s="20"/>
      <c r="R1812" s="20">
        <v>0.68</v>
      </c>
      <c r="S1812" s="20">
        <v>0.31999999999999995</v>
      </c>
      <c r="T1812" s="20"/>
    </row>
    <row r="1813" spans="13:20" x14ac:dyDescent="0.2">
      <c r="M1813" s="20">
        <v>9.6730729121530818E-3</v>
      </c>
      <c r="N1813" s="20">
        <v>9.4156961892705908E-4</v>
      </c>
      <c r="O1813" s="20">
        <v>9.7339245499130603E-2</v>
      </c>
      <c r="P1813" s="20"/>
      <c r="Q1813" s="20"/>
      <c r="R1813" s="20">
        <v>0.67</v>
      </c>
      <c r="S1813" s="20">
        <v>0.32999999999999985</v>
      </c>
      <c r="T1813" s="20"/>
    </row>
    <row r="1814" spans="13:20" x14ac:dyDescent="0.2">
      <c r="M1814" s="20">
        <v>1.1671651481763246E-2</v>
      </c>
      <c r="N1814" s="20">
        <v>5.6475815891997229E-4</v>
      </c>
      <c r="O1814" s="20">
        <v>4.8387167814460286E-2</v>
      </c>
      <c r="P1814" s="20"/>
      <c r="Q1814" s="20"/>
      <c r="R1814" s="20"/>
      <c r="S1814" s="20">
        <v>0.96</v>
      </c>
      <c r="T1814" s="20">
        <v>3.9999999999999925E-2</v>
      </c>
    </row>
    <row r="1815" spans="13:20" x14ac:dyDescent="0.2">
      <c r="M1815" s="20">
        <v>1.5269985189170512E-2</v>
      </c>
      <c r="N1815" s="20">
        <v>1.7648399805418854E-3</v>
      </c>
      <c r="O1815" s="20">
        <v>0.1155757493329798</v>
      </c>
      <c r="P1815" s="20">
        <v>0.37</v>
      </c>
      <c r="Q1815" s="20">
        <v>0.63</v>
      </c>
      <c r="R1815" s="20">
        <v>0</v>
      </c>
      <c r="S1815" s="20"/>
      <c r="T1815" s="20"/>
    </row>
    <row r="1816" spans="13:20" x14ac:dyDescent="0.2">
      <c r="M1816" s="20">
        <v>1.0624193770682274E-2</v>
      </c>
      <c r="N1816" s="20">
        <v>1.1953360537042389E-3</v>
      </c>
      <c r="O1816" s="20">
        <v>0.11251075418097121</v>
      </c>
      <c r="P1816" s="20"/>
      <c r="Q1816" s="20"/>
      <c r="R1816" s="20">
        <v>0.3</v>
      </c>
      <c r="S1816" s="20">
        <v>0.22</v>
      </c>
      <c r="T1816" s="20">
        <v>0.48</v>
      </c>
    </row>
    <row r="1817" spans="13:20" x14ac:dyDescent="0.2">
      <c r="M1817" s="20">
        <v>9.955561542518308E-3</v>
      </c>
      <c r="N1817" s="20">
        <v>7.4233086200973055E-4</v>
      </c>
      <c r="O1817" s="20">
        <v>7.4564439066483273E-2</v>
      </c>
      <c r="P1817" s="20"/>
      <c r="Q1817" s="20"/>
      <c r="R1817" s="20">
        <v>0.35</v>
      </c>
      <c r="S1817" s="20">
        <v>0.65</v>
      </c>
      <c r="T1817" s="20"/>
    </row>
    <row r="1818" spans="13:20" x14ac:dyDescent="0.2">
      <c r="M1818" s="20">
        <v>1.0211542800587916E-2</v>
      </c>
      <c r="N1818" s="20">
        <v>8.2699862629567809E-4</v>
      </c>
      <c r="O1818" s="20">
        <v>8.098664838853388E-2</v>
      </c>
      <c r="P1818" s="20"/>
      <c r="Q1818" s="20"/>
      <c r="R1818" s="20"/>
      <c r="S1818" s="20">
        <v>0.7</v>
      </c>
      <c r="T1818" s="20">
        <v>0.30000000000000004</v>
      </c>
    </row>
    <row r="1819" spans="13:20" x14ac:dyDescent="0.2">
      <c r="M1819" s="20">
        <v>1.5255066422544934E-2</v>
      </c>
      <c r="N1819" s="20">
        <v>1.6496882247577299E-3</v>
      </c>
      <c r="O1819" s="20">
        <v>0.10814035016718858</v>
      </c>
      <c r="P1819" s="20">
        <v>0.1100000000000001</v>
      </c>
      <c r="Q1819" s="20"/>
      <c r="R1819" s="20"/>
      <c r="S1819" s="20"/>
      <c r="T1819" s="20">
        <v>0.89</v>
      </c>
    </row>
    <row r="1820" spans="13:20" x14ac:dyDescent="0.2">
      <c r="M1820" s="20">
        <v>1.3476815384015758E-2</v>
      </c>
      <c r="N1820" s="20">
        <v>2.1805300859804194E-3</v>
      </c>
      <c r="O1820" s="20">
        <v>0.16179861664994294</v>
      </c>
      <c r="P1820" s="20">
        <v>0.69</v>
      </c>
      <c r="Q1820" s="20">
        <v>0.27</v>
      </c>
      <c r="R1820" s="20">
        <v>4.0000000000000036E-2</v>
      </c>
      <c r="S1820" s="20"/>
      <c r="T1820" s="20"/>
    </row>
    <row r="1821" spans="13:20" x14ac:dyDescent="0.2">
      <c r="M1821" s="20">
        <v>9.7409704201740031E-3</v>
      </c>
      <c r="N1821" s="20">
        <v>7.8591434008539623E-4</v>
      </c>
      <c r="O1821" s="20">
        <v>8.0681318819912543E-2</v>
      </c>
      <c r="P1821" s="20"/>
      <c r="Q1821" s="20"/>
      <c r="R1821" s="20">
        <v>0.42</v>
      </c>
      <c r="S1821" s="20">
        <v>0.58000000000000007</v>
      </c>
      <c r="T1821" s="20"/>
    </row>
    <row r="1822" spans="13:20" x14ac:dyDescent="0.2">
      <c r="M1822" s="20">
        <v>1.0981662283534352E-2</v>
      </c>
      <c r="N1822" s="20">
        <v>9.8548611788082103E-4</v>
      </c>
      <c r="O1822" s="20">
        <v>8.973924825191866E-2</v>
      </c>
      <c r="P1822" s="20"/>
      <c r="Q1822" s="20">
        <v>0.24</v>
      </c>
      <c r="R1822" s="20">
        <v>0.45</v>
      </c>
      <c r="S1822" s="20">
        <v>0.30999999999999994</v>
      </c>
      <c r="T1822" s="20"/>
    </row>
    <row r="1823" spans="13:20" x14ac:dyDescent="0.2">
      <c r="M1823" s="20">
        <v>1.3703341961693198E-2</v>
      </c>
      <c r="N1823" s="20">
        <v>1.9819062148745035E-3</v>
      </c>
      <c r="O1823" s="20">
        <v>0.14462940649184655</v>
      </c>
      <c r="P1823" s="20">
        <v>0.54</v>
      </c>
      <c r="Q1823" s="20">
        <v>0.41</v>
      </c>
      <c r="R1823" s="20">
        <v>5.0000000000000044E-2</v>
      </c>
      <c r="S1823" s="20"/>
      <c r="T1823" s="20"/>
    </row>
    <row r="1824" spans="13:20" x14ac:dyDescent="0.2">
      <c r="M1824" s="20">
        <v>9.4537584062651028E-3</v>
      </c>
      <c r="N1824" s="20">
        <v>1.2848271691126788E-3</v>
      </c>
      <c r="O1824" s="20">
        <v>0.13590649495138468</v>
      </c>
      <c r="P1824" s="20">
        <v>0.22000000000000008</v>
      </c>
      <c r="Q1824" s="20"/>
      <c r="R1824" s="20">
        <v>0.15</v>
      </c>
      <c r="S1824" s="20">
        <v>0.42</v>
      </c>
      <c r="T1824" s="20">
        <v>0.21</v>
      </c>
    </row>
    <row r="1825" spans="13:20" x14ac:dyDescent="0.2">
      <c r="M1825" s="20">
        <v>1.4637253852239254E-2</v>
      </c>
      <c r="N1825" s="20">
        <v>2.593554025773609E-3</v>
      </c>
      <c r="O1825" s="20">
        <v>0.17718856637693953</v>
      </c>
      <c r="P1825" s="20">
        <v>1</v>
      </c>
      <c r="Q1825" s="20">
        <v>0</v>
      </c>
      <c r="R1825" s="20"/>
      <c r="S1825" s="20"/>
      <c r="T1825" s="20"/>
    </row>
    <row r="1826" spans="13:20" x14ac:dyDescent="0.2">
      <c r="M1826" s="20">
        <v>1.3061675215031328E-2</v>
      </c>
      <c r="N1826" s="20">
        <v>1.7593739952304845E-3</v>
      </c>
      <c r="O1826" s="20">
        <v>0.13469742328348536</v>
      </c>
      <c r="P1826" s="20">
        <v>0.28000000000000014</v>
      </c>
      <c r="Q1826" s="20"/>
      <c r="R1826" s="20"/>
      <c r="S1826" s="20">
        <v>7.0000000000000007E-2</v>
      </c>
      <c r="T1826" s="20">
        <v>0.65</v>
      </c>
    </row>
    <row r="1827" spans="13:20" x14ac:dyDescent="0.2">
      <c r="M1827" s="20">
        <v>1.1126261192309094E-2</v>
      </c>
      <c r="N1827" s="20">
        <v>1.0993252654935262E-3</v>
      </c>
      <c r="O1827" s="20">
        <v>9.8804553164132336E-2</v>
      </c>
      <c r="P1827" s="20"/>
      <c r="Q1827" s="20"/>
      <c r="R1827" s="20"/>
      <c r="S1827" s="20">
        <v>0.43</v>
      </c>
      <c r="T1827" s="20">
        <v>0.56999999999999995</v>
      </c>
    </row>
    <row r="1828" spans="13:20" x14ac:dyDescent="0.2">
      <c r="M1828" s="20">
        <v>1.4523169030091784E-2</v>
      </c>
      <c r="N1828" s="20">
        <v>2.5672456433853004E-3</v>
      </c>
      <c r="O1828" s="20">
        <v>0.1767689708813556</v>
      </c>
      <c r="P1828" s="20">
        <v>0.98</v>
      </c>
      <c r="Q1828" s="20">
        <v>1.9999999999999907E-2</v>
      </c>
      <c r="R1828" s="20"/>
      <c r="S1828" s="20"/>
      <c r="T1828" s="20"/>
    </row>
    <row r="1829" spans="13:20" x14ac:dyDescent="0.2">
      <c r="M1829" s="20">
        <v>1.0785346482839398E-2</v>
      </c>
      <c r="N1829" s="20">
        <v>1.109677320076055E-3</v>
      </c>
      <c r="O1829" s="20">
        <v>0.1028874985000868</v>
      </c>
      <c r="P1829" s="20"/>
      <c r="Q1829" s="20"/>
      <c r="R1829" s="20">
        <v>0.94</v>
      </c>
      <c r="S1829" s="20">
        <v>6.0000000000000053E-2</v>
      </c>
      <c r="T1829" s="20"/>
    </row>
    <row r="1830" spans="13:20" x14ac:dyDescent="0.2">
      <c r="M1830" s="20">
        <v>1.3905988543486665E-2</v>
      </c>
      <c r="N1830" s="20">
        <v>1.2217617690333232E-3</v>
      </c>
      <c r="O1830" s="20">
        <v>8.785867795105988E-2</v>
      </c>
      <c r="P1830" s="20"/>
      <c r="Q1830" s="20">
        <v>0.56999999999999995</v>
      </c>
      <c r="R1830" s="20">
        <v>0.43000000000000005</v>
      </c>
      <c r="S1830" s="20"/>
      <c r="T1830" s="20"/>
    </row>
    <row r="1831" spans="13:20" x14ac:dyDescent="0.2">
      <c r="M1831" s="20">
        <v>1.8528130402520309E-2</v>
      </c>
      <c r="N1831" s="20">
        <v>1.27289089358377E-3</v>
      </c>
      <c r="O1831" s="20">
        <v>6.8700449852761386E-2</v>
      </c>
      <c r="P1831" s="20"/>
      <c r="Q1831" s="20">
        <v>0.96</v>
      </c>
      <c r="R1831" s="20">
        <v>3.9999999999999925E-2</v>
      </c>
      <c r="S1831" s="20"/>
      <c r="T1831" s="20"/>
    </row>
    <row r="1832" spans="13:20" x14ac:dyDescent="0.2">
      <c r="M1832" s="20">
        <v>9.7928345651080318E-3</v>
      </c>
      <c r="N1832" s="20">
        <v>8.8586252335840008E-4</v>
      </c>
      <c r="O1832" s="20">
        <v>9.0460276589858585E-2</v>
      </c>
      <c r="P1832" s="20"/>
      <c r="Q1832" s="20">
        <v>0.05</v>
      </c>
      <c r="R1832" s="20">
        <v>0.52</v>
      </c>
      <c r="S1832" s="20">
        <v>0.43000000000000005</v>
      </c>
      <c r="T1832" s="20"/>
    </row>
    <row r="1833" spans="13:20" x14ac:dyDescent="0.2">
      <c r="M1833" s="20">
        <v>1.2975315664322718E-2</v>
      </c>
      <c r="N1833" s="20">
        <v>2.2053469509142622E-3</v>
      </c>
      <c r="O1833" s="20">
        <v>0.1699648014713156</v>
      </c>
      <c r="P1833" s="20">
        <v>0.67</v>
      </c>
      <c r="Q1833" s="20">
        <v>0.14999999999999991</v>
      </c>
      <c r="R1833" s="20"/>
      <c r="S1833" s="20"/>
      <c r="T1833" s="20">
        <v>0.18</v>
      </c>
    </row>
    <row r="1834" spans="13:20" x14ac:dyDescent="0.2">
      <c r="M1834" s="20">
        <v>1.009784628961722E-2</v>
      </c>
      <c r="N1834" s="20">
        <v>1.1415222045941052E-3</v>
      </c>
      <c r="O1834" s="20">
        <v>0.11304610625414631</v>
      </c>
      <c r="P1834" s="20">
        <v>0.22999999999999998</v>
      </c>
      <c r="Q1834" s="20"/>
      <c r="R1834" s="20"/>
      <c r="S1834" s="20">
        <v>0.63</v>
      </c>
      <c r="T1834" s="20">
        <v>0.14000000000000001</v>
      </c>
    </row>
    <row r="1835" spans="13:20" x14ac:dyDescent="0.2">
      <c r="M1835" s="20">
        <v>1.3817706763828257E-2</v>
      </c>
      <c r="N1835" s="20">
        <v>2.4662912211422545E-3</v>
      </c>
      <c r="O1835" s="20">
        <v>0.17848773774809487</v>
      </c>
      <c r="P1835" s="20">
        <v>0.88</v>
      </c>
      <c r="Q1835" s="20"/>
      <c r="R1835" s="20"/>
      <c r="S1835" s="20"/>
      <c r="T1835" s="20">
        <v>0.12</v>
      </c>
    </row>
    <row r="1836" spans="13:20" x14ac:dyDescent="0.2">
      <c r="M1836" s="20">
        <v>1.1871384886332407E-2</v>
      </c>
      <c r="N1836" s="20">
        <v>1.6517407706386558E-3</v>
      </c>
      <c r="O1836" s="20">
        <v>0.13913631698861978</v>
      </c>
      <c r="P1836" s="20">
        <v>0.21</v>
      </c>
      <c r="Q1836" s="20">
        <v>0.09</v>
      </c>
      <c r="R1836" s="20">
        <v>0.20999999999999996</v>
      </c>
      <c r="S1836" s="20"/>
      <c r="T1836" s="20">
        <v>0.49</v>
      </c>
    </row>
    <row r="1837" spans="13:20" x14ac:dyDescent="0.2">
      <c r="M1837" s="20">
        <v>1.3167485848265475E-2</v>
      </c>
      <c r="N1837" s="20">
        <v>1.693244836537996E-3</v>
      </c>
      <c r="O1837" s="20">
        <v>0.12859287308526279</v>
      </c>
      <c r="P1837" s="20">
        <v>0.24</v>
      </c>
      <c r="Q1837" s="20">
        <v>0.36999999999999988</v>
      </c>
      <c r="R1837" s="20"/>
      <c r="S1837" s="20"/>
      <c r="T1837" s="20">
        <v>0.39</v>
      </c>
    </row>
    <row r="1838" spans="13:20" x14ac:dyDescent="0.2">
      <c r="M1838" s="20">
        <v>9.5662104058997343E-3</v>
      </c>
      <c r="N1838" s="20">
        <v>8.7930750739039388E-4</v>
      </c>
      <c r="O1838" s="20">
        <v>9.1918060556989395E-2</v>
      </c>
      <c r="P1838" s="20"/>
      <c r="Q1838" s="20"/>
      <c r="R1838" s="20">
        <v>0.56999999999999995</v>
      </c>
      <c r="S1838" s="20">
        <v>0.42999999999999994</v>
      </c>
      <c r="T1838" s="20"/>
    </row>
    <row r="1839" spans="13:20" x14ac:dyDescent="0.2">
      <c r="M1839" s="20">
        <v>1.0052365874674207E-2</v>
      </c>
      <c r="N1839" s="20">
        <v>1.0153019543917955E-3</v>
      </c>
      <c r="O1839" s="20">
        <v>0.10100129333232222</v>
      </c>
      <c r="P1839" s="20"/>
      <c r="Q1839" s="20">
        <v>0.04</v>
      </c>
      <c r="R1839" s="20">
        <v>0.74</v>
      </c>
      <c r="S1839" s="20">
        <v>0.21999999999999997</v>
      </c>
      <c r="T1839" s="20"/>
    </row>
    <row r="1840" spans="13:20" x14ac:dyDescent="0.2">
      <c r="M1840" s="20">
        <v>1.1882796521238392E-2</v>
      </c>
      <c r="N1840" s="20">
        <v>2.150377012527592E-3</v>
      </c>
      <c r="O1840" s="20">
        <v>0.18096556721173962</v>
      </c>
      <c r="P1840" s="20">
        <v>0.69</v>
      </c>
      <c r="Q1840" s="20">
        <v>0.04</v>
      </c>
      <c r="R1840" s="20">
        <v>0.27000000000000013</v>
      </c>
      <c r="S1840" s="20"/>
      <c r="T1840" s="20"/>
    </row>
    <row r="1841" spans="13:20" x14ac:dyDescent="0.2">
      <c r="M1841" s="20">
        <v>1.5413130945862857E-2</v>
      </c>
      <c r="N1841" s="20">
        <v>1.2401158137437399E-3</v>
      </c>
      <c r="O1841" s="20">
        <v>8.0458397330141915E-2</v>
      </c>
      <c r="P1841" s="20"/>
      <c r="Q1841" s="20">
        <v>0.71</v>
      </c>
      <c r="R1841" s="20">
        <v>0.29000000000000004</v>
      </c>
      <c r="S1841" s="20"/>
      <c r="T1841" s="20"/>
    </row>
    <row r="1842" spans="13:20" x14ac:dyDescent="0.2">
      <c r="M1842" s="20">
        <v>1.4749960029107697E-2</v>
      </c>
      <c r="N1842" s="20">
        <v>1.7133196270734071E-3</v>
      </c>
      <c r="O1842" s="20">
        <v>0.11615757762680899</v>
      </c>
      <c r="P1842" s="20">
        <v>0.17000000000000015</v>
      </c>
      <c r="Q1842" s="20"/>
      <c r="R1842" s="20"/>
      <c r="S1842" s="20"/>
      <c r="T1842" s="20">
        <v>0.83</v>
      </c>
    </row>
    <row r="1843" spans="13:20" x14ac:dyDescent="0.2">
      <c r="M1843" s="20">
        <v>9.5608274947831615E-3</v>
      </c>
      <c r="N1843" s="20">
        <v>8.1144035458144274E-4</v>
      </c>
      <c r="O1843" s="20">
        <v>8.4871351880807688E-2</v>
      </c>
      <c r="P1843" s="20"/>
      <c r="Q1843" s="20"/>
      <c r="R1843" s="20">
        <v>0.38</v>
      </c>
      <c r="S1843" s="20">
        <v>0.56999999999999995</v>
      </c>
      <c r="T1843" s="20">
        <v>5.0000000000000044E-2</v>
      </c>
    </row>
    <row r="1844" spans="13:20" x14ac:dyDescent="0.2">
      <c r="M1844" s="20">
        <v>1.2496229554702792E-2</v>
      </c>
      <c r="N1844" s="20">
        <v>2.0858729004922792E-3</v>
      </c>
      <c r="O1844" s="20">
        <v>0.16692018111233309</v>
      </c>
      <c r="P1844" s="20">
        <v>0.63</v>
      </c>
      <c r="Q1844" s="20">
        <v>0.21</v>
      </c>
      <c r="R1844" s="20">
        <v>0.16000000000000003</v>
      </c>
      <c r="S1844" s="20"/>
      <c r="T1844" s="20"/>
    </row>
    <row r="1845" spans="13:20" x14ac:dyDescent="0.2">
      <c r="M1845" s="20">
        <v>1.4319271568267724E-2</v>
      </c>
      <c r="N1845" s="20">
        <v>2.5146288786086829E-3</v>
      </c>
      <c r="O1845" s="20">
        <v>0.17561150835222902</v>
      </c>
      <c r="P1845" s="20">
        <v>0.94</v>
      </c>
      <c r="Q1845" s="20">
        <v>6.0000000000000053E-2</v>
      </c>
      <c r="R1845" s="20"/>
      <c r="S1845" s="20"/>
      <c r="T1845" s="20"/>
    </row>
    <row r="1846" spans="13:20" x14ac:dyDescent="0.2">
      <c r="M1846" s="20">
        <v>1.0457552217227443E-2</v>
      </c>
      <c r="N1846" s="20">
        <v>9.8837737544995815E-4</v>
      </c>
      <c r="O1846" s="20">
        <v>9.4513262273913046E-2</v>
      </c>
      <c r="P1846" s="20"/>
      <c r="Q1846" s="20"/>
      <c r="R1846" s="20"/>
      <c r="S1846" s="20">
        <v>0.54</v>
      </c>
      <c r="T1846" s="20">
        <v>0.45999999999999985</v>
      </c>
    </row>
    <row r="1847" spans="13:20" x14ac:dyDescent="0.2">
      <c r="M1847" s="20">
        <v>1.2336677564730397E-2</v>
      </c>
      <c r="N1847" s="20">
        <v>1.7476359104080699E-3</v>
      </c>
      <c r="O1847" s="20">
        <v>0.14166179680373792</v>
      </c>
      <c r="P1847" s="20">
        <v>0.27</v>
      </c>
      <c r="Q1847" s="20">
        <v>0.13</v>
      </c>
      <c r="R1847" s="20">
        <v>9.9999999999999978E-2</v>
      </c>
      <c r="S1847" s="20"/>
      <c r="T1847" s="20">
        <v>0.5</v>
      </c>
    </row>
    <row r="1848" spans="13:20" x14ac:dyDescent="0.2">
      <c r="M1848" s="20">
        <v>9.6232476208579377E-3</v>
      </c>
      <c r="N1848" s="20">
        <v>8.2327160700739529E-4</v>
      </c>
      <c r="O1848" s="20">
        <v>8.5550288160827617E-2</v>
      </c>
      <c r="P1848" s="20"/>
      <c r="Q1848" s="20"/>
      <c r="R1848" s="20">
        <v>0.48</v>
      </c>
      <c r="S1848" s="20">
        <v>0.52000000000000013</v>
      </c>
      <c r="T1848" s="20"/>
    </row>
    <row r="1849" spans="13:20" x14ac:dyDescent="0.2">
      <c r="M1849" s="20">
        <v>9.638502077334056E-3</v>
      </c>
      <c r="N1849" s="20">
        <v>8.1704539585372878E-4</v>
      </c>
      <c r="O1849" s="20">
        <v>8.4768918375304023E-2</v>
      </c>
      <c r="P1849" s="20"/>
      <c r="Q1849" s="20"/>
      <c r="R1849" s="20">
        <v>0.47</v>
      </c>
      <c r="S1849" s="20">
        <v>0.53000000000000014</v>
      </c>
      <c r="T1849" s="20"/>
    </row>
    <row r="1850" spans="13:20" x14ac:dyDescent="0.2">
      <c r="M1850" s="20">
        <v>1.0154326017134094E-2</v>
      </c>
      <c r="N1850" s="20">
        <v>1.0349627862320568E-3</v>
      </c>
      <c r="O1850" s="20">
        <v>0.10192333636774049</v>
      </c>
      <c r="P1850" s="20"/>
      <c r="Q1850" s="20"/>
      <c r="R1850" s="20">
        <v>0.82</v>
      </c>
      <c r="S1850" s="20">
        <v>0.18000000000000016</v>
      </c>
      <c r="T1850" s="20"/>
    </row>
    <row r="1851" spans="13:20" x14ac:dyDescent="0.2">
      <c r="M1851" s="20">
        <v>1.1403870520971056E-2</v>
      </c>
      <c r="N1851" s="20">
        <v>1.1709614492972154E-3</v>
      </c>
      <c r="O1851" s="20">
        <v>0.10268105439674059</v>
      </c>
      <c r="P1851" s="20"/>
      <c r="Q1851" s="20">
        <v>0.23</v>
      </c>
      <c r="R1851" s="20">
        <v>0.76</v>
      </c>
      <c r="S1851" s="20">
        <v>1.000000000000012E-2</v>
      </c>
      <c r="T1851" s="20"/>
    </row>
    <row r="1852" spans="13:20" x14ac:dyDescent="0.2">
      <c r="M1852" s="20">
        <v>1.2294357665936088E-2</v>
      </c>
      <c r="N1852" s="20">
        <v>2.0855703289975394E-3</v>
      </c>
      <c r="O1852" s="20">
        <v>0.16963638000999579</v>
      </c>
      <c r="P1852" s="20">
        <v>0.69</v>
      </c>
      <c r="Q1852" s="20">
        <v>7.0000000000000173E-2</v>
      </c>
      <c r="R1852" s="20"/>
      <c r="S1852" s="20">
        <v>0.16</v>
      </c>
      <c r="T1852" s="20">
        <v>0.08</v>
      </c>
    </row>
    <row r="1853" spans="13:20" x14ac:dyDescent="0.2">
      <c r="M1853" s="20">
        <v>1.299360268841895E-2</v>
      </c>
      <c r="N1853" s="20">
        <v>2.060743382334757E-3</v>
      </c>
      <c r="O1853" s="20">
        <v>0.15859676732854652</v>
      </c>
      <c r="P1853" s="20">
        <v>0.5</v>
      </c>
      <c r="Q1853" s="20">
        <v>1.0000000000000009E-2</v>
      </c>
      <c r="R1853" s="20"/>
      <c r="S1853" s="20"/>
      <c r="T1853" s="20">
        <v>0.49</v>
      </c>
    </row>
    <row r="1854" spans="13:20" x14ac:dyDescent="0.2">
      <c r="M1854" s="20">
        <v>1.3882356534975659E-2</v>
      </c>
      <c r="N1854" s="20">
        <v>2.146311525172361E-3</v>
      </c>
      <c r="O1854" s="20">
        <v>0.15460714611131579</v>
      </c>
      <c r="P1854" s="20">
        <v>0.66</v>
      </c>
      <c r="Q1854" s="20">
        <v>0.33999999999999986</v>
      </c>
      <c r="R1854" s="20"/>
      <c r="S1854" s="20"/>
      <c r="T1854" s="20"/>
    </row>
    <row r="1855" spans="13:20" x14ac:dyDescent="0.2">
      <c r="M1855" s="20">
        <v>6.6040016551829981E-3</v>
      </c>
      <c r="N1855" s="20">
        <v>6.0617979821020885E-4</v>
      </c>
      <c r="O1855" s="20">
        <v>9.1789770787604613E-2</v>
      </c>
      <c r="P1855" s="20">
        <v>0.02</v>
      </c>
      <c r="Q1855" s="20">
        <v>0.13</v>
      </c>
      <c r="R1855" s="20">
        <v>0.05</v>
      </c>
      <c r="S1855" s="20">
        <v>0.28000000000000003</v>
      </c>
      <c r="T1855" s="20">
        <v>0.12</v>
      </c>
    </row>
    <row r="1856" spans="13:20" x14ac:dyDescent="0.2">
      <c r="M1856" s="20">
        <v>1.2412062784855063E-2</v>
      </c>
      <c r="N1856" s="20">
        <v>1.4308513542203216E-3</v>
      </c>
      <c r="O1856" s="20">
        <v>0.11527909413785888</v>
      </c>
      <c r="P1856" s="20">
        <v>0.04</v>
      </c>
      <c r="Q1856" s="20">
        <v>7.0000000000000007E-2</v>
      </c>
      <c r="R1856" s="20">
        <v>0.25</v>
      </c>
      <c r="S1856" s="20">
        <v>3.0000000000000027E-2</v>
      </c>
      <c r="T1856" s="20">
        <v>0.61</v>
      </c>
    </row>
    <row r="1857" spans="13:20" x14ac:dyDescent="0.2">
      <c r="M1857" s="20">
        <v>1.2348515866267099E-2</v>
      </c>
      <c r="N1857" s="20">
        <v>2.0569425117167679E-3</v>
      </c>
      <c r="O1857" s="20">
        <v>0.1665740671991032</v>
      </c>
      <c r="P1857" s="20">
        <v>0.61</v>
      </c>
      <c r="Q1857" s="20">
        <v>0.21</v>
      </c>
      <c r="R1857" s="20">
        <v>0.18000000000000005</v>
      </c>
      <c r="S1857" s="20"/>
      <c r="T1857" s="20"/>
    </row>
    <row r="1858" spans="13:20" x14ac:dyDescent="0.2">
      <c r="M1858" s="20">
        <v>9.3687438560835501E-3</v>
      </c>
      <c r="N1858" s="20">
        <v>9.7911397832022972E-4</v>
      </c>
      <c r="O1858" s="20">
        <v>0.10450856522077361</v>
      </c>
      <c r="P1858" s="20"/>
      <c r="Q1858" s="20">
        <v>0.01</v>
      </c>
      <c r="R1858" s="20">
        <v>0.54</v>
      </c>
      <c r="S1858" s="20">
        <v>0.34</v>
      </c>
      <c r="T1858" s="20">
        <v>0.10999999999999988</v>
      </c>
    </row>
    <row r="1859" spans="13:20" x14ac:dyDescent="0.2">
      <c r="M1859" s="20">
        <v>1.4996259129818388E-2</v>
      </c>
      <c r="N1859" s="20">
        <v>1.6815039259155684E-3</v>
      </c>
      <c r="O1859" s="20">
        <v>0.11212822553673306</v>
      </c>
      <c r="P1859" s="20">
        <v>0.14000000000000001</v>
      </c>
      <c r="Q1859" s="20"/>
      <c r="R1859" s="20"/>
      <c r="S1859" s="20"/>
      <c r="T1859" s="20">
        <v>0.86</v>
      </c>
    </row>
    <row r="1860" spans="13:20" x14ac:dyDescent="0.2">
      <c r="M1860" s="20">
        <v>1.1489209647230651E-2</v>
      </c>
      <c r="N1860" s="20">
        <v>5.8493050256425757E-4</v>
      </c>
      <c r="O1860" s="20">
        <v>5.0911291596567619E-2</v>
      </c>
      <c r="P1860" s="20"/>
      <c r="Q1860" s="20"/>
      <c r="R1860" s="20"/>
      <c r="S1860" s="20">
        <v>0.94</v>
      </c>
      <c r="T1860" s="20">
        <v>6.0000000000000053E-2</v>
      </c>
    </row>
    <row r="1861" spans="13:20" x14ac:dyDescent="0.2">
      <c r="M1861" s="20">
        <v>1.8001796391182507E-2</v>
      </c>
      <c r="N1861" s="20">
        <v>1.2676468808093654E-3</v>
      </c>
      <c r="O1861" s="20">
        <v>7.0417799049781155E-2</v>
      </c>
      <c r="P1861" s="20"/>
      <c r="Q1861" s="20">
        <v>0.92</v>
      </c>
      <c r="R1861" s="20">
        <v>8.0000000000000071E-2</v>
      </c>
      <c r="S1861" s="20"/>
      <c r="T1861" s="20"/>
    </row>
    <row r="1862" spans="13:20" x14ac:dyDescent="0.2">
      <c r="M1862" s="20">
        <v>1.3822732602834386E-2</v>
      </c>
      <c r="N1862" s="20">
        <v>2.2383908635314415E-3</v>
      </c>
      <c r="O1862" s="20">
        <v>0.16193548177821612</v>
      </c>
      <c r="P1862" s="20">
        <v>0.73</v>
      </c>
      <c r="Q1862" s="20">
        <v>0.26999999999999991</v>
      </c>
      <c r="R1862" s="20"/>
      <c r="S1862" s="20"/>
      <c r="T1862" s="20"/>
    </row>
    <row r="1863" spans="13:20" x14ac:dyDescent="0.2">
      <c r="M1863" s="20">
        <v>1.6001662566933018E-2</v>
      </c>
      <c r="N1863" s="20">
        <v>1.5648463550034933E-3</v>
      </c>
      <c r="O1863" s="20">
        <v>9.7792735502197373E-2</v>
      </c>
      <c r="P1863" s="20">
        <v>3.0000000000000027E-2</v>
      </c>
      <c r="Q1863" s="20"/>
      <c r="R1863" s="20"/>
      <c r="S1863" s="20"/>
      <c r="T1863" s="20">
        <v>0.97</v>
      </c>
    </row>
    <row r="1864" spans="13:20" x14ac:dyDescent="0.2">
      <c r="M1864" s="20">
        <v>1.0293138345401874E-2</v>
      </c>
      <c r="N1864" s="20">
        <v>1.0536414196930565E-3</v>
      </c>
      <c r="O1864" s="20">
        <v>0.10236347597171241</v>
      </c>
      <c r="P1864" s="20"/>
      <c r="Q1864" s="20"/>
      <c r="R1864" s="20">
        <v>0.85</v>
      </c>
      <c r="S1864" s="20">
        <v>0.15000000000000002</v>
      </c>
      <c r="T1864" s="20"/>
    </row>
    <row r="1865" spans="13:20" x14ac:dyDescent="0.2">
      <c r="M1865" s="20">
        <v>1.0177233858724235E-2</v>
      </c>
      <c r="N1865" s="20">
        <v>1.484641715783384E-3</v>
      </c>
      <c r="O1865" s="20">
        <v>0.14587870696424096</v>
      </c>
      <c r="P1865" s="20">
        <v>0.22</v>
      </c>
      <c r="Q1865" s="20">
        <v>0.03</v>
      </c>
      <c r="R1865" s="20">
        <v>0.71000000000000008</v>
      </c>
      <c r="S1865" s="20"/>
      <c r="T1865" s="20">
        <v>0.04</v>
      </c>
    </row>
    <row r="1866" spans="13:20" x14ac:dyDescent="0.2">
      <c r="M1866" s="20">
        <v>1.1152376924825272E-2</v>
      </c>
      <c r="N1866" s="20">
        <v>1.1627666253212685E-3</v>
      </c>
      <c r="O1866" s="20">
        <v>0.10426177604640868</v>
      </c>
      <c r="P1866" s="20"/>
      <c r="Q1866" s="20">
        <v>0.12</v>
      </c>
      <c r="R1866" s="20">
        <v>0.87999999999999989</v>
      </c>
      <c r="S1866" s="20"/>
      <c r="T1866" s="20"/>
    </row>
    <row r="1867" spans="13:20" x14ac:dyDescent="0.2">
      <c r="M1867" s="20">
        <v>1.1963198236748265E-2</v>
      </c>
      <c r="N1867" s="20">
        <v>5.3449964345354492E-4</v>
      </c>
      <c r="O1867" s="20">
        <v>4.467865807085615E-2</v>
      </c>
      <c r="P1867" s="20"/>
      <c r="Q1867" s="20"/>
      <c r="R1867" s="20"/>
      <c r="S1867" s="20">
        <v>0.99</v>
      </c>
      <c r="T1867" s="20">
        <v>1.0000000000000009E-2</v>
      </c>
    </row>
    <row r="1868" spans="13:20" x14ac:dyDescent="0.2">
      <c r="M1868" s="20">
        <v>1.0031491481697635E-2</v>
      </c>
      <c r="N1868" s="20">
        <v>7.2987843970239753E-4</v>
      </c>
      <c r="O1868" s="20">
        <v>7.2758715992936263E-2</v>
      </c>
      <c r="P1868" s="20"/>
      <c r="Q1868" s="20"/>
      <c r="R1868" s="20">
        <v>0.33</v>
      </c>
      <c r="S1868" s="20">
        <v>0.66999999999999993</v>
      </c>
      <c r="T1868" s="20"/>
    </row>
    <row r="1869" spans="13:20" x14ac:dyDescent="0.2">
      <c r="M1869" s="20">
        <v>1.0914319076660338E-2</v>
      </c>
      <c r="N1869" s="20">
        <v>1.7697552331732247E-3</v>
      </c>
      <c r="O1869" s="20">
        <v>0.16214985293564924</v>
      </c>
      <c r="P1869" s="20">
        <v>0.48</v>
      </c>
      <c r="Q1869" s="20"/>
      <c r="R1869" s="20"/>
      <c r="S1869" s="20">
        <v>0.27</v>
      </c>
      <c r="T1869" s="20">
        <v>0.25</v>
      </c>
    </row>
    <row r="1870" spans="13:20" x14ac:dyDescent="0.2">
      <c r="M1870" s="20">
        <v>1.4934040216122451E-2</v>
      </c>
      <c r="N1870" s="20">
        <v>1.4844909731634073E-3</v>
      </c>
      <c r="O1870" s="20">
        <v>9.9403172328462366E-2</v>
      </c>
      <c r="P1870" s="20"/>
      <c r="Q1870" s="20">
        <v>0.06</v>
      </c>
      <c r="R1870" s="20">
        <v>0.06</v>
      </c>
      <c r="S1870" s="20">
        <v>0.01</v>
      </c>
      <c r="T1870" s="20">
        <v>0.87</v>
      </c>
    </row>
    <row r="1871" spans="13:20" x14ac:dyDescent="0.2">
      <c r="M1871" s="20">
        <v>1.4800485635640624E-2</v>
      </c>
      <c r="N1871" s="20">
        <v>1.591257647888819E-3</v>
      </c>
      <c r="O1871" s="20">
        <v>0.10751388076462554</v>
      </c>
      <c r="P1871" s="20">
        <v>0.25</v>
      </c>
      <c r="Q1871" s="20">
        <v>0.63</v>
      </c>
      <c r="R1871" s="20">
        <v>0.12000000000000011</v>
      </c>
      <c r="S1871" s="20"/>
      <c r="T1871" s="20"/>
    </row>
    <row r="1872" spans="13:20" x14ac:dyDescent="0.2">
      <c r="M1872" s="20">
        <v>1.0283284436038655E-2</v>
      </c>
      <c r="N1872" s="20">
        <v>9.3794651633924582E-4</v>
      </c>
      <c r="O1872" s="20">
        <v>9.1210791860636617E-2</v>
      </c>
      <c r="P1872" s="20"/>
      <c r="Q1872" s="20"/>
      <c r="R1872" s="20"/>
      <c r="S1872" s="20">
        <v>0.59</v>
      </c>
      <c r="T1872" s="20">
        <v>0.41000000000000003</v>
      </c>
    </row>
    <row r="1873" spans="13:20" x14ac:dyDescent="0.2">
      <c r="M1873" s="20">
        <v>1.4013216223519354E-2</v>
      </c>
      <c r="N1873" s="20">
        <v>2.4093953490554481E-3</v>
      </c>
      <c r="O1873" s="20">
        <v>0.17193735618034586</v>
      </c>
      <c r="P1873" s="20">
        <v>0.86</v>
      </c>
      <c r="Q1873" s="20">
        <v>0.1399999999999999</v>
      </c>
      <c r="R1873" s="20"/>
      <c r="S1873" s="20"/>
      <c r="T1873" s="20"/>
    </row>
    <row r="1874" spans="13:20" x14ac:dyDescent="0.2">
      <c r="M1874" s="20">
        <v>1.0237955221876789E-2</v>
      </c>
      <c r="N1874" s="20">
        <v>9.1777417269496087E-4</v>
      </c>
      <c r="O1874" s="20">
        <v>8.9644284703827556E-2</v>
      </c>
      <c r="P1874" s="20"/>
      <c r="Q1874" s="20"/>
      <c r="R1874" s="20"/>
      <c r="S1874" s="20">
        <v>0.61</v>
      </c>
      <c r="T1874" s="20">
        <v>0.39</v>
      </c>
    </row>
    <row r="1875" spans="13:20" x14ac:dyDescent="0.2">
      <c r="M1875" s="20">
        <v>1.2738613894634708E-2</v>
      </c>
      <c r="N1875" s="20">
        <v>1.9652037443050482E-3</v>
      </c>
      <c r="O1875" s="20">
        <v>0.15427139566046189</v>
      </c>
      <c r="P1875" s="20">
        <v>0.47</v>
      </c>
      <c r="Q1875" s="20">
        <v>0.26</v>
      </c>
      <c r="R1875" s="20"/>
      <c r="S1875" s="20"/>
      <c r="T1875" s="20">
        <v>0.27</v>
      </c>
    </row>
    <row r="1876" spans="13:20" x14ac:dyDescent="0.2">
      <c r="M1876" s="20">
        <v>9.7939735866188482E-3</v>
      </c>
      <c r="N1876" s="20">
        <v>7.734619177780631E-4</v>
      </c>
      <c r="O1876" s="20">
        <v>7.8973249308617308E-2</v>
      </c>
      <c r="P1876" s="20"/>
      <c r="Q1876" s="20"/>
      <c r="R1876" s="20">
        <v>0.4</v>
      </c>
      <c r="S1876" s="20">
        <v>0.6</v>
      </c>
      <c r="T1876" s="20"/>
    </row>
    <row r="1877" spans="13:20" x14ac:dyDescent="0.2">
      <c r="M1877" s="20">
        <v>1.3411338526887924E-2</v>
      </c>
      <c r="N1877" s="20">
        <v>1.9901913806778236E-3</v>
      </c>
      <c r="O1877" s="20">
        <v>0.14839617810614192</v>
      </c>
      <c r="P1877" s="20">
        <v>0.52</v>
      </c>
      <c r="Q1877" s="20">
        <v>0.36999999999999988</v>
      </c>
      <c r="R1877" s="20"/>
      <c r="S1877" s="20"/>
      <c r="T1877" s="20">
        <v>0.11</v>
      </c>
    </row>
    <row r="1878" spans="13:20" x14ac:dyDescent="0.2">
      <c r="M1878" s="20">
        <v>9.4066846312104175E-3</v>
      </c>
      <c r="N1878" s="20">
        <v>8.5888379332558443E-4</v>
      </c>
      <c r="O1878" s="20">
        <v>9.130568600927641E-2</v>
      </c>
      <c r="P1878" s="20"/>
      <c r="Q1878" s="20"/>
      <c r="R1878" s="20">
        <v>0.44</v>
      </c>
      <c r="S1878" s="20">
        <v>0.5</v>
      </c>
      <c r="T1878" s="20">
        <v>6.0000000000000053E-2</v>
      </c>
    </row>
    <row r="1879" spans="13:20" x14ac:dyDescent="0.2">
      <c r="M1879" s="20">
        <v>1.0447296111951864E-2</v>
      </c>
      <c r="N1879" s="20">
        <v>1.0752708643555981E-3</v>
      </c>
      <c r="O1879" s="20">
        <v>0.10292336436462943</v>
      </c>
      <c r="P1879" s="20"/>
      <c r="Q1879" s="20">
        <v>7.0000000000000007E-2</v>
      </c>
      <c r="R1879" s="20">
        <v>0.8</v>
      </c>
      <c r="S1879" s="20">
        <v>0.12999999999999989</v>
      </c>
      <c r="T1879" s="20"/>
    </row>
    <row r="1880" spans="13:20" x14ac:dyDescent="0.2">
      <c r="M1880" s="20">
        <v>9.490354605163941E-3</v>
      </c>
      <c r="N1880" s="20">
        <v>8.8921535770433962E-4</v>
      </c>
      <c r="O1880" s="20">
        <v>9.3696747350251297E-2</v>
      </c>
      <c r="P1880" s="20"/>
      <c r="Q1880" s="20">
        <v>0.03</v>
      </c>
      <c r="R1880" s="20">
        <v>0.42</v>
      </c>
      <c r="S1880" s="20">
        <v>0.47</v>
      </c>
      <c r="T1880" s="20">
        <v>8.0000000000000071E-2</v>
      </c>
    </row>
    <row r="1881" spans="13:20" x14ac:dyDescent="0.2">
      <c r="M1881" s="20">
        <v>1.0779296469785584E-2</v>
      </c>
      <c r="N1881" s="20">
        <v>1.2010740363567183E-3</v>
      </c>
      <c r="O1881" s="20">
        <v>0.1114241583134237</v>
      </c>
      <c r="P1881" s="20"/>
      <c r="Q1881" s="20"/>
      <c r="R1881" s="20">
        <v>0.86</v>
      </c>
      <c r="S1881" s="20">
        <v>0</v>
      </c>
      <c r="T1881" s="20">
        <v>0.1399999999999999</v>
      </c>
    </row>
    <row r="1882" spans="13:20" x14ac:dyDescent="0.2">
      <c r="M1882" s="20">
        <v>1.4314377025050458E-2</v>
      </c>
      <c r="N1882" s="20">
        <v>1.2270057818077281E-3</v>
      </c>
      <c r="O1882" s="20">
        <v>8.571841999553613E-2</v>
      </c>
      <c r="P1882" s="20"/>
      <c r="Q1882" s="20">
        <v>0.61</v>
      </c>
      <c r="R1882" s="20">
        <v>0.39000000000000012</v>
      </c>
      <c r="S1882" s="20"/>
      <c r="T1882" s="20"/>
    </row>
    <row r="1883" spans="13:20" x14ac:dyDescent="0.2">
      <c r="M1883" s="20">
        <v>9.5795363962064995E-3</v>
      </c>
      <c r="N1883" s="20">
        <v>8.9798614085139341E-4</v>
      </c>
      <c r="O1883" s="20">
        <v>9.3740041658696163E-2</v>
      </c>
      <c r="P1883" s="20"/>
      <c r="Q1883" s="20"/>
      <c r="R1883" s="20">
        <v>0.6</v>
      </c>
      <c r="S1883" s="20">
        <v>0.39999999999999991</v>
      </c>
      <c r="T1883" s="20"/>
    </row>
    <row r="1884" spans="13:20" x14ac:dyDescent="0.2">
      <c r="M1884" s="20">
        <v>1.049835125197526E-2</v>
      </c>
      <c r="N1884" s="20">
        <v>1.0785462643077225E-3</v>
      </c>
      <c r="O1884" s="20">
        <v>0.10273482363288183</v>
      </c>
      <c r="P1884" s="20"/>
      <c r="Q1884" s="20"/>
      <c r="R1884" s="20">
        <v>0.89</v>
      </c>
      <c r="S1884" s="20">
        <v>0.1100000000000001</v>
      </c>
      <c r="T1884" s="20"/>
    </row>
    <row r="1885" spans="13:20" x14ac:dyDescent="0.2">
      <c r="M1885" s="20">
        <v>1.4291358939396825E-2</v>
      </c>
      <c r="N1885" s="20">
        <v>1.6701827950537452E-3</v>
      </c>
      <c r="O1885" s="20">
        <v>0.1168666186425121</v>
      </c>
      <c r="P1885" s="20">
        <v>0.31</v>
      </c>
      <c r="Q1885" s="20">
        <v>0.56999999999999995</v>
      </c>
      <c r="R1885" s="20">
        <v>0.12000000000000011</v>
      </c>
      <c r="S1885" s="20"/>
      <c r="T1885" s="20"/>
    </row>
    <row r="1886" spans="13:20" x14ac:dyDescent="0.2">
      <c r="M1886" s="20">
        <v>1.0624193770682274E-2</v>
      </c>
      <c r="N1886" s="20">
        <v>1.1953360537042389E-3</v>
      </c>
      <c r="O1886" s="20">
        <v>0.11251075418097121</v>
      </c>
      <c r="P1886" s="20"/>
      <c r="Q1886" s="20"/>
      <c r="R1886" s="20">
        <v>0.3</v>
      </c>
      <c r="S1886" s="20">
        <v>0.22</v>
      </c>
      <c r="T1886" s="20">
        <v>0.48</v>
      </c>
    </row>
    <row r="1887" spans="13:20" x14ac:dyDescent="0.2">
      <c r="M1887" s="20">
        <v>1.1668151988341317E-2</v>
      </c>
      <c r="N1887" s="20">
        <v>1.1837426764188879E-3</v>
      </c>
      <c r="O1887" s="20">
        <v>0.10145074195139642</v>
      </c>
      <c r="P1887" s="20"/>
      <c r="Q1887" s="20">
        <v>0.28000000000000003</v>
      </c>
      <c r="R1887" s="20">
        <v>0.71999999999999986</v>
      </c>
      <c r="S1887" s="20"/>
      <c r="T1887" s="20"/>
    </row>
    <row r="1888" spans="13:20" x14ac:dyDescent="0.2">
      <c r="M1888" s="20">
        <v>9.608987485392512E-3</v>
      </c>
      <c r="N1888" s="20">
        <v>9.1666477431239304E-4</v>
      </c>
      <c r="O1888" s="20">
        <v>9.5396604034077237E-2</v>
      </c>
      <c r="P1888" s="20"/>
      <c r="Q1888" s="20"/>
      <c r="R1888" s="20">
        <v>0.63</v>
      </c>
      <c r="S1888" s="20">
        <v>0.36999999999999988</v>
      </c>
      <c r="T1888" s="20"/>
    </row>
    <row r="1889" spans="13:20" x14ac:dyDescent="0.2">
      <c r="M1889" s="20">
        <v>1.0622417067170096E-2</v>
      </c>
      <c r="N1889" s="20">
        <v>7.0596456442996772E-4</v>
      </c>
      <c r="O1889" s="20">
        <v>6.6459880078691233E-2</v>
      </c>
      <c r="P1889" s="20"/>
      <c r="Q1889" s="20"/>
      <c r="R1889" s="20"/>
      <c r="S1889" s="20">
        <v>0.82</v>
      </c>
      <c r="T1889" s="20">
        <v>0.17999999999999994</v>
      </c>
    </row>
    <row r="1890" spans="13:20" x14ac:dyDescent="0.2">
      <c r="M1890" s="20">
        <v>1.2364586391395911E-2</v>
      </c>
      <c r="N1890" s="20">
        <v>2.0389656471425897E-3</v>
      </c>
      <c r="O1890" s="20">
        <v>0.16490366783004043</v>
      </c>
      <c r="P1890" s="20">
        <v>0.62</v>
      </c>
      <c r="Q1890" s="20">
        <v>0.2</v>
      </c>
      <c r="R1890" s="20">
        <v>0.13</v>
      </c>
      <c r="S1890" s="20">
        <v>4.9999999999999933E-2</v>
      </c>
      <c r="T1890" s="20"/>
    </row>
    <row r="1891" spans="13:20" x14ac:dyDescent="0.2">
      <c r="M1891" s="20">
        <v>1.0752730874939699E-2</v>
      </c>
      <c r="N1891" s="20">
        <v>1.2227647186452825E-3</v>
      </c>
      <c r="O1891" s="20">
        <v>0.1137166672231197</v>
      </c>
      <c r="P1891" s="20">
        <v>0.2</v>
      </c>
      <c r="Q1891" s="20">
        <v>0.15000000000000002</v>
      </c>
      <c r="R1891" s="20"/>
      <c r="S1891" s="20">
        <v>0.48</v>
      </c>
      <c r="T1891" s="20">
        <v>0.17</v>
      </c>
    </row>
    <row r="1892" spans="13:20" x14ac:dyDescent="0.2">
      <c r="M1892" s="20">
        <v>1.0591420989987827E-2</v>
      </c>
      <c r="N1892" s="20">
        <v>1.3112291826625944E-3</v>
      </c>
      <c r="O1892" s="20">
        <v>0.12380106351188495</v>
      </c>
      <c r="P1892" s="20">
        <v>4.0000000000000036E-2</v>
      </c>
      <c r="Q1892" s="20"/>
      <c r="R1892" s="20">
        <v>0.57999999999999996</v>
      </c>
      <c r="S1892" s="20">
        <v>0.04</v>
      </c>
      <c r="T1892" s="20">
        <v>0.34</v>
      </c>
    </row>
    <row r="1893" spans="13:20" x14ac:dyDescent="0.2">
      <c r="M1893" s="20">
        <v>1.0125954606534251E-2</v>
      </c>
      <c r="N1893" s="20">
        <v>1.5906948102641233E-3</v>
      </c>
      <c r="O1893" s="20">
        <v>0.15709084941361007</v>
      </c>
      <c r="P1893" s="20">
        <v>0.42000000000000015</v>
      </c>
      <c r="Q1893" s="20"/>
      <c r="R1893" s="20">
        <v>0.09</v>
      </c>
      <c r="S1893" s="20">
        <v>0.35</v>
      </c>
      <c r="T1893" s="20">
        <v>0.14000000000000001</v>
      </c>
    </row>
    <row r="1894" spans="13:20" x14ac:dyDescent="0.2">
      <c r="M1894" s="20">
        <v>1.561852098904238E-2</v>
      </c>
      <c r="N1894" s="20">
        <v>1.6072672898806114E-3</v>
      </c>
      <c r="O1894" s="20">
        <v>0.1029077779521016</v>
      </c>
      <c r="P1894" s="20">
        <v>6.9999999999999951E-2</v>
      </c>
      <c r="Q1894" s="20"/>
      <c r="R1894" s="20"/>
      <c r="S1894" s="20"/>
      <c r="T1894" s="20">
        <v>0.93</v>
      </c>
    </row>
    <row r="1895" spans="13:20" x14ac:dyDescent="0.2">
      <c r="M1895" s="20">
        <v>1.3130109418637157E-2</v>
      </c>
      <c r="N1895" s="20">
        <v>1.7800654007719063E-3</v>
      </c>
      <c r="O1895" s="20">
        <v>0.13557125413176249</v>
      </c>
      <c r="P1895" s="20">
        <v>0.29000000000000004</v>
      </c>
      <c r="Q1895" s="20"/>
      <c r="R1895" s="20"/>
      <c r="S1895" s="20">
        <v>0.06</v>
      </c>
      <c r="T1895" s="20">
        <v>0.65</v>
      </c>
    </row>
    <row r="1896" spans="13:20" x14ac:dyDescent="0.2">
      <c r="M1896" s="20">
        <v>1.1432677532255608E-2</v>
      </c>
      <c r="N1896" s="20">
        <v>1.2123494031256424E-3</v>
      </c>
      <c r="O1896" s="20">
        <v>0.10604247340180617</v>
      </c>
      <c r="P1896" s="20">
        <v>4.0000000000000147E-2</v>
      </c>
      <c r="Q1896" s="20"/>
      <c r="R1896" s="20"/>
      <c r="S1896" s="20">
        <v>0.36</v>
      </c>
      <c r="T1896" s="20">
        <v>0.6</v>
      </c>
    </row>
    <row r="1897" spans="13:20" x14ac:dyDescent="0.2">
      <c r="M1897" s="20">
        <v>1.457921900807845E-2</v>
      </c>
      <c r="N1897" s="20">
        <v>2.5803998345794547E-3</v>
      </c>
      <c r="O1897" s="20">
        <v>0.17699163673648338</v>
      </c>
      <c r="P1897" s="20">
        <v>0.99</v>
      </c>
      <c r="Q1897" s="20">
        <v>9.9999999999998979E-3</v>
      </c>
      <c r="R1897" s="20"/>
      <c r="S1897" s="20"/>
      <c r="T1897" s="20"/>
    </row>
    <row r="1898" spans="13:20" x14ac:dyDescent="0.2">
      <c r="M1898" s="20">
        <v>1.0910271995469836E-2</v>
      </c>
      <c r="N1898" s="20">
        <v>1.3284879121405796E-3</v>
      </c>
      <c r="O1898" s="20">
        <v>0.12176487558625435</v>
      </c>
      <c r="P1898" s="20">
        <v>0.1399999999999999</v>
      </c>
      <c r="Q1898" s="20"/>
      <c r="R1898" s="20"/>
      <c r="S1898" s="20">
        <v>0.35</v>
      </c>
      <c r="T1898" s="20">
        <v>0.51</v>
      </c>
    </row>
    <row r="1899" spans="13:20" x14ac:dyDescent="0.2">
      <c r="M1899" s="20">
        <v>1.4912738377618209E-2</v>
      </c>
      <c r="N1899" s="20">
        <v>1.6921091596348481E-3</v>
      </c>
      <c r="O1899" s="20">
        <v>0.11346736707823232</v>
      </c>
      <c r="P1899" s="20">
        <v>0.15000000000000013</v>
      </c>
      <c r="Q1899" s="20"/>
      <c r="R1899" s="20"/>
      <c r="S1899" s="20"/>
      <c r="T1899" s="20">
        <v>0.85</v>
      </c>
    </row>
    <row r="1900" spans="13:20" x14ac:dyDescent="0.2">
      <c r="M1900" s="20">
        <v>1.4273481573858953E-2</v>
      </c>
      <c r="N1900" s="20">
        <v>2.501474687414529E-3</v>
      </c>
      <c r="O1900" s="20">
        <v>0.17525329573380566</v>
      </c>
      <c r="P1900" s="20">
        <v>0.93</v>
      </c>
      <c r="Q1900" s="20">
        <v>7.0000000000000062E-2</v>
      </c>
      <c r="R1900" s="20"/>
      <c r="S1900" s="20"/>
      <c r="T1900" s="20"/>
    </row>
    <row r="1901" spans="13:20" x14ac:dyDescent="0.2">
      <c r="M1901" s="20">
        <v>1.3495614118070109E-2</v>
      </c>
      <c r="N1901" s="20">
        <v>1.5846435418703261E-3</v>
      </c>
      <c r="O1901" s="20">
        <v>0.11741915025182509</v>
      </c>
      <c r="P1901" s="20">
        <v>0.14000000000000001</v>
      </c>
      <c r="Q1901" s="20">
        <v>0.38</v>
      </c>
      <c r="R1901" s="20"/>
      <c r="S1901" s="20"/>
      <c r="T1901" s="20">
        <v>0.48</v>
      </c>
    </row>
    <row r="1902" spans="13:20" x14ac:dyDescent="0.2">
      <c r="M1902" s="20">
        <v>1.3942508844043463E-2</v>
      </c>
      <c r="N1902" s="20">
        <v>2.1068489515898982E-3</v>
      </c>
      <c r="O1902" s="20">
        <v>0.151109744677694</v>
      </c>
      <c r="P1902" s="20">
        <v>0.63</v>
      </c>
      <c r="Q1902" s="20">
        <v>0.37</v>
      </c>
      <c r="R1902" s="20"/>
      <c r="S1902" s="20"/>
      <c r="T1902" s="20"/>
    </row>
    <row r="1903" spans="13:20" x14ac:dyDescent="0.2">
      <c r="M1903" s="20">
        <v>1.4161652659714676E-2</v>
      </c>
      <c r="N1903" s="20">
        <v>2.0147696132308181E-3</v>
      </c>
      <c r="O1903" s="20">
        <v>0.14226938491170502</v>
      </c>
      <c r="P1903" s="20">
        <v>0.56000000000000005</v>
      </c>
      <c r="Q1903" s="20">
        <v>0.43999999999999995</v>
      </c>
      <c r="R1903" s="20"/>
      <c r="S1903" s="20"/>
      <c r="T1903" s="20"/>
    </row>
    <row r="1904" spans="13:20" x14ac:dyDescent="0.2">
      <c r="M1904" s="20">
        <v>1.3919925430335359E-2</v>
      </c>
      <c r="N1904" s="20">
        <v>2.4667006249620349E-3</v>
      </c>
      <c r="O1904" s="20">
        <v>0.17720645396464649</v>
      </c>
      <c r="P1904" s="20">
        <v>0.89</v>
      </c>
      <c r="Q1904" s="20">
        <v>4.0000000000000036E-2</v>
      </c>
      <c r="R1904" s="20"/>
      <c r="S1904" s="20"/>
      <c r="T1904" s="20">
        <v>7.0000000000000007E-2</v>
      </c>
    </row>
    <row r="1905" spans="13:20" x14ac:dyDescent="0.2">
      <c r="M1905" s="20">
        <v>1.441711545283081E-2</v>
      </c>
      <c r="N1905" s="20">
        <v>2.5409372609969914E-3</v>
      </c>
      <c r="O1905" s="20">
        <v>0.17624449698764649</v>
      </c>
      <c r="P1905" s="20">
        <v>0.96</v>
      </c>
      <c r="Q1905" s="20">
        <v>4.0000000000000036E-2</v>
      </c>
      <c r="R1905" s="20"/>
      <c r="S1905" s="20"/>
      <c r="T1905" s="20"/>
    </row>
    <row r="1906" spans="13:20" x14ac:dyDescent="0.2">
      <c r="M1906" s="20">
        <v>1.2418371488511375E-2</v>
      </c>
      <c r="N1906" s="20">
        <v>1.1994747147421026E-3</v>
      </c>
      <c r="O1906" s="20">
        <v>9.6588728711471908E-2</v>
      </c>
      <c r="P1906" s="20"/>
      <c r="Q1906" s="20">
        <v>0.4</v>
      </c>
      <c r="R1906" s="20">
        <v>0.60000000000000009</v>
      </c>
      <c r="S1906" s="20"/>
      <c r="T1906" s="20"/>
    </row>
    <row r="1907" spans="13:20" x14ac:dyDescent="0.2">
      <c r="M1907" s="20">
        <v>1.1654999524262253E-2</v>
      </c>
      <c r="N1907" s="20">
        <v>1.6176485278233518E-3</v>
      </c>
      <c r="O1907" s="20">
        <v>0.13879438814698253</v>
      </c>
      <c r="P1907" s="20">
        <v>0.27</v>
      </c>
      <c r="Q1907" s="20"/>
      <c r="R1907" s="20"/>
      <c r="S1907" s="20">
        <v>0.2</v>
      </c>
      <c r="T1907" s="20">
        <v>0.53</v>
      </c>
    </row>
    <row r="1908" spans="13:20" x14ac:dyDescent="0.2">
      <c r="M1908" s="20">
        <v>1.34825240825391E-2</v>
      </c>
      <c r="N1908" s="20">
        <v>2.1673758947862655E-3</v>
      </c>
      <c r="O1908" s="20">
        <v>0.16075446122089135</v>
      </c>
      <c r="P1908" s="20">
        <v>0.68</v>
      </c>
      <c r="Q1908" s="20">
        <v>0.28000000000000003</v>
      </c>
      <c r="R1908" s="20">
        <v>3.9999999999999813E-2</v>
      </c>
      <c r="S1908" s="20"/>
      <c r="T1908" s="20"/>
    </row>
    <row r="1909" spans="13:20" x14ac:dyDescent="0.2">
      <c r="M1909" s="20">
        <v>1.167389593188722E-2</v>
      </c>
      <c r="N1909" s="20">
        <v>1.0059082270631758E-3</v>
      </c>
      <c r="O1909" s="20">
        <v>8.6167311489863452E-2</v>
      </c>
      <c r="P1909" s="20">
        <v>0.06</v>
      </c>
      <c r="Q1909" s="20">
        <v>0.2599999999999999</v>
      </c>
      <c r="R1909" s="20"/>
      <c r="S1909" s="20">
        <v>0.52</v>
      </c>
      <c r="T1909" s="20">
        <v>0.16</v>
      </c>
    </row>
    <row r="1910" spans="13:20" x14ac:dyDescent="0.2">
      <c r="M1910" s="20">
        <v>1.4850768084664567E-2</v>
      </c>
      <c r="N1910" s="20">
        <v>1.2335607977757338E-3</v>
      </c>
      <c r="O1910" s="20">
        <v>8.3063770893409397E-2</v>
      </c>
      <c r="P1910" s="20"/>
      <c r="Q1910" s="20">
        <v>0.66</v>
      </c>
      <c r="R1910" s="20">
        <v>0.33999999999999997</v>
      </c>
      <c r="S1910" s="20"/>
      <c r="T1910" s="20"/>
    </row>
    <row r="1911" spans="13:20" x14ac:dyDescent="0.2">
      <c r="M1911" s="20">
        <v>1.4368989816425544E-2</v>
      </c>
      <c r="N1911" s="20">
        <v>1.7663457956698047E-3</v>
      </c>
      <c r="O1911" s="20">
        <v>0.12292762527054278</v>
      </c>
      <c r="P1911" s="20">
        <v>0.21999999999999997</v>
      </c>
      <c r="Q1911" s="20"/>
      <c r="R1911" s="20"/>
      <c r="S1911" s="20"/>
      <c r="T1911" s="20">
        <v>0.78</v>
      </c>
    </row>
    <row r="1912" spans="13:20" x14ac:dyDescent="0.2">
      <c r="M1912" s="20">
        <v>9.3442471555363806E-3</v>
      </c>
      <c r="N1912" s="20">
        <v>8.6722488454391673E-4</v>
      </c>
      <c r="O1912" s="20">
        <v>9.280842748579203E-2</v>
      </c>
      <c r="P1912" s="20"/>
      <c r="Q1912" s="20"/>
      <c r="R1912" s="20">
        <v>0.34</v>
      </c>
      <c r="S1912" s="20">
        <v>0.53</v>
      </c>
      <c r="T1912" s="20">
        <v>0.12999999999999989</v>
      </c>
    </row>
    <row r="1913" spans="13:20" x14ac:dyDescent="0.2">
      <c r="M1913" s="20">
        <v>1.184514800516435E-2</v>
      </c>
      <c r="N1913" s="20">
        <v>2.0214571069732505E-3</v>
      </c>
      <c r="O1913" s="20">
        <v>0.17065697331024637</v>
      </c>
      <c r="P1913" s="20">
        <v>0.59</v>
      </c>
      <c r="Q1913" s="20">
        <v>0.16</v>
      </c>
      <c r="R1913" s="20">
        <v>0.25</v>
      </c>
      <c r="S1913" s="20"/>
      <c r="T1913" s="20"/>
    </row>
    <row r="1914" spans="13:20" x14ac:dyDescent="0.2">
      <c r="M1914" s="20">
        <v>1.8528130402520309E-2</v>
      </c>
      <c r="N1914" s="20">
        <v>1.2728908935837702E-3</v>
      </c>
      <c r="O1914" s="20">
        <v>6.8700449852761386E-2</v>
      </c>
      <c r="P1914" s="20"/>
      <c r="Q1914" s="20">
        <v>0.96</v>
      </c>
      <c r="R1914" s="20">
        <v>4.0000000000000036E-2</v>
      </c>
      <c r="S1914" s="20"/>
      <c r="T1914" s="20"/>
    </row>
    <row r="1915" spans="13:20" x14ac:dyDescent="0.2">
      <c r="M1915" s="20">
        <v>9.5980502546850286E-3</v>
      </c>
      <c r="N1915" s="20">
        <v>8.3572402931472831E-4</v>
      </c>
      <c r="O1915" s="20">
        <v>8.7072270631922577E-2</v>
      </c>
      <c r="P1915" s="20"/>
      <c r="Q1915" s="20"/>
      <c r="R1915" s="20">
        <v>0.5</v>
      </c>
      <c r="S1915" s="20">
        <v>0.49999999999999989</v>
      </c>
      <c r="T1915" s="20"/>
    </row>
    <row r="1916" spans="13:20" x14ac:dyDescent="0.2">
      <c r="M1916" s="20">
        <v>1.1700517778063657E-2</v>
      </c>
      <c r="N1916" s="20">
        <v>1.6690912774087389E-3</v>
      </c>
      <c r="O1916" s="20">
        <v>0.14265106118106852</v>
      </c>
      <c r="P1916" s="20">
        <v>0.23</v>
      </c>
      <c r="Q1916" s="20">
        <v>0.09</v>
      </c>
      <c r="R1916" s="20">
        <v>0.21999999999999997</v>
      </c>
      <c r="S1916" s="20"/>
      <c r="T1916" s="20">
        <v>0.46</v>
      </c>
    </row>
    <row r="1917" spans="13:20" x14ac:dyDescent="0.2">
      <c r="M1917" s="20">
        <v>9.6947853400666199E-3</v>
      </c>
      <c r="N1917" s="20">
        <v>7.9836676239272925E-4</v>
      </c>
      <c r="O1917" s="20">
        <v>8.2350122709085483E-2</v>
      </c>
      <c r="P1917" s="20"/>
      <c r="Q1917" s="20"/>
      <c r="R1917" s="20">
        <v>0.44</v>
      </c>
      <c r="S1917" s="20">
        <v>0.55999999999999994</v>
      </c>
      <c r="T1917" s="20"/>
    </row>
    <row r="1918" spans="13:20" x14ac:dyDescent="0.2">
      <c r="M1918" s="20">
        <v>9.7170192067497843E-3</v>
      </c>
      <c r="N1918" s="20">
        <v>7.9214055123906263E-4</v>
      </c>
      <c r="O1918" s="20">
        <v>8.152094118418679E-2</v>
      </c>
      <c r="P1918" s="20"/>
      <c r="Q1918" s="20"/>
      <c r="R1918" s="20">
        <v>0.43</v>
      </c>
      <c r="S1918" s="20">
        <v>0.56999999999999995</v>
      </c>
      <c r="T1918" s="20"/>
    </row>
    <row r="1919" spans="13:20" x14ac:dyDescent="0.2">
      <c r="M1919" s="20">
        <v>9.9903983160641897E-3</v>
      </c>
      <c r="N1919" s="20">
        <v>1.0100579416173908E-3</v>
      </c>
      <c r="O1919" s="20">
        <v>0.10110286994195768</v>
      </c>
      <c r="P1919" s="20"/>
      <c r="Q1919" s="20"/>
      <c r="R1919" s="20">
        <v>0.78</v>
      </c>
      <c r="S1919" s="20">
        <v>0.21999999999999997</v>
      </c>
      <c r="T1919" s="20"/>
    </row>
    <row r="1920" spans="13:20" x14ac:dyDescent="0.2">
      <c r="M1920" s="20">
        <v>1.5740839928933402E-2</v>
      </c>
      <c r="N1920" s="20">
        <v>1.5162655103046967E-3</v>
      </c>
      <c r="O1920" s="20">
        <v>9.6326848957890315E-2</v>
      </c>
      <c r="P1920" s="20">
        <v>0.19</v>
      </c>
      <c r="Q1920" s="20">
        <v>0.72</v>
      </c>
      <c r="R1920" s="20">
        <v>9.0000000000000191E-2</v>
      </c>
      <c r="S1920" s="20"/>
      <c r="T1920" s="20"/>
    </row>
    <row r="1921" spans="13:20" x14ac:dyDescent="0.2">
      <c r="M1921" s="20">
        <v>1.1983299741503275E-2</v>
      </c>
      <c r="N1921" s="20">
        <v>2.0411075629680826E-3</v>
      </c>
      <c r="O1921" s="20">
        <v>0.17032934225110444</v>
      </c>
      <c r="P1921" s="20">
        <v>0.65</v>
      </c>
      <c r="Q1921" s="20">
        <v>0.1</v>
      </c>
      <c r="R1921" s="20">
        <v>8.9999999999999858E-2</v>
      </c>
      <c r="S1921" s="20">
        <v>0.12</v>
      </c>
      <c r="T1921" s="20">
        <v>0.04</v>
      </c>
    </row>
    <row r="1922" spans="13:20" x14ac:dyDescent="0.2">
      <c r="M1922" s="20">
        <v>1.0909084634781437E-2</v>
      </c>
      <c r="N1922" s="20">
        <v>1.1221297423833882E-3</v>
      </c>
      <c r="O1922" s="20">
        <v>0.10286195221235168</v>
      </c>
      <c r="P1922" s="20"/>
      <c r="Q1922" s="20"/>
      <c r="R1922" s="20">
        <v>0.96</v>
      </c>
      <c r="S1922" s="20">
        <v>4.0000000000000147E-2</v>
      </c>
      <c r="T1922" s="20"/>
    </row>
    <row r="1923" spans="13:20" x14ac:dyDescent="0.2">
      <c r="M1923" s="20">
        <v>1.3429607498338993E-2</v>
      </c>
      <c r="N1923" s="20">
        <v>1.9360295351782773E-3</v>
      </c>
      <c r="O1923" s="20">
        <v>0.14416128955501717</v>
      </c>
      <c r="P1923" s="20">
        <v>0.38</v>
      </c>
      <c r="Q1923" s="20"/>
      <c r="R1923" s="20"/>
      <c r="S1923" s="20"/>
      <c r="T1923" s="20">
        <v>0.62</v>
      </c>
    </row>
    <row r="1924" spans="13:20" x14ac:dyDescent="0.2">
      <c r="M1924" s="20">
        <v>1.5133029800759949E-2</v>
      </c>
      <c r="N1924" s="20">
        <v>1.4523412792685141E-3</v>
      </c>
      <c r="O1924" s="20">
        <v>9.5971612981002707E-2</v>
      </c>
      <c r="P1924" s="20"/>
      <c r="Q1924" s="20"/>
      <c r="R1924" s="20"/>
      <c r="S1924" s="20">
        <v>0.08</v>
      </c>
      <c r="T1924" s="20">
        <v>0.91999999999999993</v>
      </c>
    </row>
    <row r="1925" spans="13:20" x14ac:dyDescent="0.2">
      <c r="M1925" s="20">
        <v>1.0918575402345719E-2</v>
      </c>
      <c r="N1925" s="20">
        <v>1.2464233015976179E-3</v>
      </c>
      <c r="O1925" s="20">
        <v>0.11415622053860978</v>
      </c>
      <c r="P1925" s="20">
        <v>0.09</v>
      </c>
      <c r="Q1925" s="20">
        <v>0.24</v>
      </c>
      <c r="R1925" s="20">
        <v>0.56999999999999995</v>
      </c>
      <c r="S1925" s="20">
        <v>0.1000000000000002</v>
      </c>
      <c r="T1925" s="20"/>
    </row>
    <row r="1926" spans="13:20" x14ac:dyDescent="0.2">
      <c r="M1926" s="20">
        <v>1.4637253852239254E-2</v>
      </c>
      <c r="N1926" s="20">
        <v>2.593554025773609E-3</v>
      </c>
      <c r="O1926" s="20">
        <v>0.17718856637693953</v>
      </c>
      <c r="P1926" s="20">
        <v>1</v>
      </c>
      <c r="Q1926" s="20">
        <v>0</v>
      </c>
      <c r="R1926" s="20"/>
      <c r="S1926" s="20"/>
      <c r="T1926" s="20"/>
    </row>
    <row r="1927" spans="13:20" x14ac:dyDescent="0.2">
      <c r="M1927" s="20">
        <v>9.9787302056700486E-3</v>
      </c>
      <c r="N1927" s="20">
        <v>1.1432930553699097E-3</v>
      </c>
      <c r="O1927" s="20">
        <v>0.11457299995146429</v>
      </c>
      <c r="P1927" s="20"/>
      <c r="Q1927" s="20"/>
      <c r="R1927" s="20">
        <v>0.67</v>
      </c>
      <c r="S1927" s="20">
        <v>0.13</v>
      </c>
      <c r="T1927" s="20">
        <v>0.19999999999999996</v>
      </c>
    </row>
    <row r="1928" spans="13:20" x14ac:dyDescent="0.2">
      <c r="M1928" s="20">
        <v>1.499625912981839E-2</v>
      </c>
      <c r="N1928" s="20">
        <v>1.6815039259155686E-3</v>
      </c>
      <c r="O1928" s="20">
        <v>0.11212822553673306</v>
      </c>
      <c r="P1928" s="20">
        <v>0.14000000000000012</v>
      </c>
      <c r="Q1928" s="20"/>
      <c r="R1928" s="20"/>
      <c r="S1928" s="20"/>
      <c r="T1928" s="20">
        <v>0.86</v>
      </c>
    </row>
    <row r="1929" spans="13:20" x14ac:dyDescent="0.2">
      <c r="M1929" s="20">
        <v>1.3241074744009689E-2</v>
      </c>
      <c r="N1929" s="20">
        <v>1.2125847466781144E-3</v>
      </c>
      <c r="O1929" s="20">
        <v>9.1577516940359566E-2</v>
      </c>
      <c r="P1929" s="20"/>
      <c r="Q1929" s="20">
        <v>0.5</v>
      </c>
      <c r="R1929" s="20">
        <v>0.49999999999999989</v>
      </c>
      <c r="S1929" s="20"/>
      <c r="T1929" s="20"/>
    </row>
    <row r="1930" spans="13:20" x14ac:dyDescent="0.2">
      <c r="M1930" s="20">
        <v>1.4670749734442233E-2</v>
      </c>
      <c r="N1930" s="20">
        <v>1.7239248607926862E-3</v>
      </c>
      <c r="O1930" s="20">
        <v>0.11750761835609952</v>
      </c>
      <c r="P1930" s="20">
        <v>0.17999999999999994</v>
      </c>
      <c r="Q1930" s="20"/>
      <c r="R1930" s="20"/>
      <c r="S1930" s="20"/>
      <c r="T1930" s="20">
        <v>0.82</v>
      </c>
    </row>
    <row r="1931" spans="13:20" x14ac:dyDescent="0.2">
      <c r="M1931" s="20">
        <v>1.1078226110210934E-2</v>
      </c>
      <c r="N1931" s="20">
        <v>6.3536136167497022E-4</v>
      </c>
      <c r="O1931" s="20">
        <v>5.7352265187054642E-2</v>
      </c>
      <c r="P1931" s="20"/>
      <c r="Q1931" s="20"/>
      <c r="R1931" s="20"/>
      <c r="S1931" s="20">
        <v>0.89</v>
      </c>
      <c r="T1931" s="20">
        <v>0.1100000000000001</v>
      </c>
    </row>
    <row r="1932" spans="13:20" x14ac:dyDescent="0.2">
      <c r="M1932" s="20">
        <v>1.4076638263943288E-2</v>
      </c>
      <c r="N1932" s="20">
        <v>2.4357037314437571E-3</v>
      </c>
      <c r="O1932" s="20">
        <v>0.17303163481033032</v>
      </c>
      <c r="P1932" s="20">
        <v>0.88</v>
      </c>
      <c r="Q1932" s="20">
        <v>0.12000000000000011</v>
      </c>
      <c r="R1932" s="20"/>
      <c r="S1932" s="20"/>
      <c r="T1932" s="20"/>
    </row>
    <row r="1933" spans="13:20" x14ac:dyDescent="0.2">
      <c r="M1933" s="20">
        <v>1.383205566507556E-2</v>
      </c>
      <c r="N1933" s="20">
        <v>2.2778534371139052E-3</v>
      </c>
      <c r="O1933" s="20">
        <v>0.16467931392621837</v>
      </c>
      <c r="P1933" s="20">
        <v>0.76</v>
      </c>
      <c r="Q1933" s="20">
        <v>0.2400000000000001</v>
      </c>
      <c r="R1933" s="20"/>
      <c r="S1933" s="20"/>
      <c r="T1933" s="20"/>
    </row>
    <row r="1934" spans="13:20" x14ac:dyDescent="0.2">
      <c r="M1934" s="20">
        <v>1.1401739475669198E-2</v>
      </c>
      <c r="N1934" s="20">
        <v>5.9501667438640021E-4</v>
      </c>
      <c r="O1934" s="20">
        <v>5.2186482216695022E-2</v>
      </c>
      <c r="P1934" s="20"/>
      <c r="Q1934" s="20"/>
      <c r="R1934" s="20"/>
      <c r="S1934" s="20">
        <v>0.93</v>
      </c>
      <c r="T1934" s="20">
        <v>7.0000000000000062E-2</v>
      </c>
    </row>
    <row r="1935" spans="13:20" x14ac:dyDescent="0.2">
      <c r="M1935" s="20">
        <v>1.6482271217304095E-2</v>
      </c>
      <c r="N1935" s="20">
        <v>1.2519148424861507E-3</v>
      </c>
      <c r="O1935" s="20">
        <v>7.5955238570022704E-2</v>
      </c>
      <c r="P1935" s="20"/>
      <c r="Q1935" s="20">
        <v>0.8</v>
      </c>
      <c r="R1935" s="20">
        <v>0.20000000000000007</v>
      </c>
      <c r="S1935" s="20"/>
      <c r="T1935" s="20"/>
    </row>
    <row r="1936" spans="13:20" x14ac:dyDescent="0.2">
      <c r="M1936" s="20">
        <v>1.3549413122192863E-2</v>
      </c>
      <c r="N1936" s="20">
        <v>2.4132650525458569E-3</v>
      </c>
      <c r="O1936" s="20">
        <v>0.17810845612147738</v>
      </c>
      <c r="P1936" s="20">
        <v>0.83000000000000007</v>
      </c>
      <c r="Q1936" s="20"/>
      <c r="R1936" s="20"/>
      <c r="S1936" s="20">
        <v>0</v>
      </c>
      <c r="T1936" s="20">
        <v>0.17</v>
      </c>
    </row>
    <row r="1937" spans="13:20" x14ac:dyDescent="0.2">
      <c r="M1937" s="20">
        <v>1.3913296519489133E-2</v>
      </c>
      <c r="N1937" s="20">
        <v>2.356778584278831E-3</v>
      </c>
      <c r="O1937" s="20">
        <v>0.16939037998489859</v>
      </c>
      <c r="P1937" s="20">
        <v>0.82</v>
      </c>
      <c r="Q1937" s="20">
        <v>0.18000000000000016</v>
      </c>
      <c r="R1937" s="20"/>
      <c r="S1937" s="20"/>
      <c r="T1937" s="20"/>
    </row>
    <row r="1938" spans="13:20" x14ac:dyDescent="0.2">
      <c r="M1938" s="20">
        <v>1.5998964363932871E-2</v>
      </c>
      <c r="N1938" s="20">
        <v>1.2611360240995016E-3</v>
      </c>
      <c r="O1938" s="20">
        <v>7.8826103703470513E-2</v>
      </c>
      <c r="P1938" s="20">
        <v>0.01</v>
      </c>
      <c r="Q1938" s="20">
        <v>0.76</v>
      </c>
      <c r="R1938" s="20">
        <v>0.22999999999999998</v>
      </c>
      <c r="S1938" s="20"/>
      <c r="T1938" s="20"/>
    </row>
    <row r="1939" spans="13:20" x14ac:dyDescent="0.2">
      <c r="M1939" s="20">
        <v>1.012522828928868E-2</v>
      </c>
      <c r="N1939" s="20">
        <v>7.1505976690987381E-4</v>
      </c>
      <c r="O1939" s="20">
        <v>7.0621594543831101E-2</v>
      </c>
      <c r="P1939" s="20"/>
      <c r="Q1939" s="20"/>
      <c r="R1939" s="20">
        <v>0.28999999999999998</v>
      </c>
      <c r="S1939" s="20">
        <v>0.7</v>
      </c>
      <c r="T1939" s="20">
        <v>1.0000000000000009E-2</v>
      </c>
    </row>
    <row r="1940" spans="13:20" x14ac:dyDescent="0.2">
      <c r="M1940" s="20">
        <v>1.4314377025050458E-2</v>
      </c>
      <c r="N1940" s="20">
        <v>1.2270057818077279E-3</v>
      </c>
      <c r="O1940" s="20">
        <v>8.5718419995536116E-2</v>
      </c>
      <c r="P1940" s="20"/>
      <c r="Q1940" s="20">
        <v>0.61</v>
      </c>
      <c r="R1940" s="20">
        <v>0.39</v>
      </c>
      <c r="S1940" s="20"/>
      <c r="T1940" s="20"/>
    </row>
    <row r="1941" spans="13:20" x14ac:dyDescent="0.2">
      <c r="M1941" s="20">
        <v>1.193444993747452E-2</v>
      </c>
      <c r="N1941" s="20">
        <v>5.519403226332708E-4</v>
      </c>
      <c r="O1941" s="20">
        <v>4.6247654942199068E-2</v>
      </c>
      <c r="P1941" s="20"/>
      <c r="Q1941" s="20">
        <v>0.02</v>
      </c>
      <c r="R1941" s="20">
        <v>0.02</v>
      </c>
      <c r="S1941" s="20">
        <v>0.96</v>
      </c>
      <c r="T1941" s="20"/>
    </row>
    <row r="1942" spans="13:20" x14ac:dyDescent="0.2">
      <c r="M1942" s="20">
        <v>1.8001796391182504E-2</v>
      </c>
      <c r="N1942" s="20">
        <v>1.2676468808093652E-3</v>
      </c>
      <c r="O1942" s="20">
        <v>7.0417799049781155E-2</v>
      </c>
      <c r="P1942" s="20"/>
      <c r="Q1942" s="20">
        <v>0.92</v>
      </c>
      <c r="R1942" s="20">
        <v>7.9999999999999849E-2</v>
      </c>
      <c r="S1942" s="20"/>
      <c r="T1942" s="20"/>
    </row>
    <row r="1943" spans="13:20" x14ac:dyDescent="0.2">
      <c r="M1943" s="20">
        <v>1.4850768084664569E-2</v>
      </c>
      <c r="N1943" s="20">
        <v>1.233560797775734E-3</v>
      </c>
      <c r="O1943" s="20">
        <v>8.3063770893409397E-2</v>
      </c>
      <c r="P1943" s="20"/>
      <c r="Q1943" s="20">
        <v>0.66</v>
      </c>
      <c r="R1943" s="20">
        <v>0.34000000000000008</v>
      </c>
      <c r="S1943" s="20"/>
      <c r="T1943" s="20"/>
    </row>
    <row r="1944" spans="13:20" x14ac:dyDescent="0.2">
      <c r="M1944" s="20">
        <v>9.6544161042757554E-3</v>
      </c>
      <c r="N1944" s="20">
        <v>9.3534340777339268E-4</v>
      </c>
      <c r="O1944" s="20">
        <v>9.6882441948938483E-2</v>
      </c>
      <c r="P1944" s="20"/>
      <c r="Q1944" s="20"/>
      <c r="R1944" s="20">
        <v>0.66</v>
      </c>
      <c r="S1944" s="20">
        <v>0.33999999999999986</v>
      </c>
      <c r="T1944" s="20"/>
    </row>
    <row r="1945" spans="13:20" x14ac:dyDescent="0.2">
      <c r="M1945" s="20">
        <v>1.3875585654343915E-2</v>
      </c>
      <c r="N1945" s="20">
        <v>1.4098092960741454E-3</v>
      </c>
      <c r="O1945" s="20">
        <v>0.1016035885759379</v>
      </c>
      <c r="P1945" s="20">
        <v>0.13</v>
      </c>
      <c r="Q1945" s="20">
        <v>0.56999999999999995</v>
      </c>
      <c r="R1945" s="20">
        <v>0.30000000000000016</v>
      </c>
      <c r="S1945" s="20"/>
      <c r="T1945" s="20"/>
    </row>
    <row r="1946" spans="13:20" x14ac:dyDescent="0.2">
      <c r="M1946" s="20">
        <v>1.623891119323944E-2</v>
      </c>
      <c r="N1946" s="20">
        <v>1.2492928360989485E-3</v>
      </c>
      <c r="O1946" s="20">
        <v>7.6932056665169293E-2</v>
      </c>
      <c r="P1946" s="20"/>
      <c r="Q1946" s="20">
        <v>0.78</v>
      </c>
      <c r="R1946" s="20">
        <v>0.22000000000000008</v>
      </c>
      <c r="S1946" s="20"/>
      <c r="T1946" s="20"/>
    </row>
    <row r="1947" spans="13:20" x14ac:dyDescent="0.2">
      <c r="M1947" s="20">
        <v>1.0257401128973167E-2</v>
      </c>
      <c r="N1947" s="20">
        <v>1.113563932492765E-3</v>
      </c>
      <c r="O1947" s="20">
        <v>0.10856199523555536</v>
      </c>
      <c r="P1947" s="20">
        <v>8.0000000000000071E-2</v>
      </c>
      <c r="Q1947" s="20"/>
      <c r="R1947" s="20"/>
      <c r="S1947" s="20">
        <v>0.5</v>
      </c>
      <c r="T1947" s="20">
        <v>0.42</v>
      </c>
    </row>
    <row r="1948" spans="13:20" x14ac:dyDescent="0.2">
      <c r="M1948" s="20">
        <v>1.4229806726489979E-2</v>
      </c>
      <c r="N1948" s="20">
        <v>2.4883204962203747E-3</v>
      </c>
      <c r="O1948" s="20">
        <v>0.17486678097940414</v>
      </c>
      <c r="P1948" s="20">
        <v>0.92</v>
      </c>
      <c r="Q1948" s="20">
        <v>7.999999999999996E-2</v>
      </c>
      <c r="R1948" s="20"/>
      <c r="S1948" s="20"/>
      <c r="T1948" s="20"/>
    </row>
    <row r="1949" spans="13:20" x14ac:dyDescent="0.2">
      <c r="M1949" s="20">
        <v>1.3035174686474771E-2</v>
      </c>
      <c r="N1949" s="20">
        <v>1.1290219952932476E-3</v>
      </c>
      <c r="O1949" s="20">
        <v>8.661349175970115E-2</v>
      </c>
      <c r="P1949" s="20"/>
      <c r="Q1949" s="20">
        <v>0.48</v>
      </c>
      <c r="R1949" s="20">
        <v>0.39</v>
      </c>
      <c r="S1949" s="20">
        <v>0.13</v>
      </c>
      <c r="T1949" s="20"/>
    </row>
    <row r="1950" spans="13:20" x14ac:dyDescent="0.2">
      <c r="M1950" s="20">
        <v>1.0337830322201249E-2</v>
      </c>
      <c r="N1950" s="20">
        <v>1.6046753591909516E-3</v>
      </c>
      <c r="O1950" s="20">
        <v>0.1552236116455494</v>
      </c>
      <c r="P1950" s="20">
        <v>0.46</v>
      </c>
      <c r="Q1950" s="20">
        <v>0.03</v>
      </c>
      <c r="R1950" s="20">
        <v>0.17</v>
      </c>
      <c r="S1950" s="20">
        <v>0.34000000000000008</v>
      </c>
      <c r="T1950" s="20"/>
    </row>
    <row r="1951" spans="13:20" x14ac:dyDescent="0.2">
      <c r="M1951" s="20">
        <v>1.3068941308332358E-2</v>
      </c>
      <c r="N1951" s="20">
        <v>1.8205076411693508E-3</v>
      </c>
      <c r="O1951" s="20">
        <v>0.1393003150154673</v>
      </c>
      <c r="P1951" s="20">
        <v>0.36</v>
      </c>
      <c r="Q1951" s="20">
        <v>0.36999999999999988</v>
      </c>
      <c r="R1951" s="20"/>
      <c r="S1951" s="20"/>
      <c r="T1951" s="20">
        <v>0.27</v>
      </c>
    </row>
    <row r="1952" spans="13:20" x14ac:dyDescent="0.2">
      <c r="M1952" s="20">
        <v>1.3151710262340825E-2</v>
      </c>
      <c r="N1952" s="20">
        <v>1.2112737434845132E-3</v>
      </c>
      <c r="O1952" s="20">
        <v>9.2100093396440361E-2</v>
      </c>
      <c r="P1952" s="20"/>
      <c r="Q1952" s="20">
        <v>0.49</v>
      </c>
      <c r="R1952" s="20">
        <v>0.51</v>
      </c>
      <c r="S1952" s="20"/>
      <c r="T1952" s="20"/>
    </row>
    <row r="1953" spans="13:20" x14ac:dyDescent="0.2">
      <c r="M1953" s="20">
        <v>1.2968557061063663E-2</v>
      </c>
      <c r="N1953" s="20">
        <v>2.2011603781602659E-3</v>
      </c>
      <c r="O1953" s="20">
        <v>0.1697305542780046</v>
      </c>
      <c r="P1953" s="20">
        <v>0.63</v>
      </c>
      <c r="Q1953" s="20"/>
      <c r="R1953" s="20"/>
      <c r="S1953" s="20"/>
      <c r="T1953" s="20">
        <v>0.37</v>
      </c>
    </row>
    <row r="1954" spans="13:20" x14ac:dyDescent="0.2">
      <c r="M1954" s="20">
        <v>1.3905988543486666E-2</v>
      </c>
      <c r="N1954" s="20">
        <v>1.2217617690333232E-3</v>
      </c>
      <c r="O1954" s="20">
        <v>8.7858677951059866E-2</v>
      </c>
      <c r="P1954" s="20"/>
      <c r="Q1954" s="20">
        <v>0.56999999999999995</v>
      </c>
      <c r="R1954" s="20">
        <v>0.43000000000000016</v>
      </c>
      <c r="S1954" s="20"/>
      <c r="T1954" s="20"/>
    </row>
    <row r="1955" spans="13:20" x14ac:dyDescent="0.2">
      <c r="M1955" s="20">
        <v>1.3806985054193307E-2</v>
      </c>
      <c r="N1955" s="20">
        <v>1.220450765839722E-3</v>
      </c>
      <c r="O1955" s="20">
        <v>8.8393719631720769E-2</v>
      </c>
      <c r="P1955" s="20"/>
      <c r="Q1955" s="20">
        <v>0.56000000000000005</v>
      </c>
      <c r="R1955" s="20">
        <v>0.44000000000000006</v>
      </c>
      <c r="S1955" s="20"/>
      <c r="T1955" s="20"/>
    </row>
    <row r="1956" spans="13:20" x14ac:dyDescent="0.2">
      <c r="M1956" s="20">
        <v>1.0293138345401874E-2</v>
      </c>
      <c r="N1956" s="20">
        <v>1.0536414196930565E-3</v>
      </c>
      <c r="O1956" s="20">
        <v>0.10236347597171241</v>
      </c>
      <c r="P1956" s="20"/>
      <c r="Q1956" s="20"/>
      <c r="R1956" s="20">
        <v>0.85</v>
      </c>
      <c r="S1956" s="20">
        <v>0.15000000000000002</v>
      </c>
      <c r="T1956" s="20"/>
    </row>
    <row r="1957" spans="13:20" x14ac:dyDescent="0.2">
      <c r="M1957" s="20">
        <v>1.4763399935781052E-2</v>
      </c>
      <c r="N1957" s="20">
        <v>1.658151712140793E-3</v>
      </c>
      <c r="O1957" s="20">
        <v>0.11231503036926088</v>
      </c>
      <c r="P1957" s="20">
        <v>0.33</v>
      </c>
      <c r="Q1957" s="20">
        <v>0.59</v>
      </c>
      <c r="R1957" s="20">
        <v>0.01</v>
      </c>
      <c r="S1957" s="20">
        <v>7.0000000000000062E-2</v>
      </c>
      <c r="T1957" s="20"/>
    </row>
    <row r="1958" spans="13:20" x14ac:dyDescent="0.2">
      <c r="M1958" s="20">
        <v>1.4244000335516106E-2</v>
      </c>
      <c r="N1958" s="20">
        <v>1.9884612308425096E-3</v>
      </c>
      <c r="O1958" s="20">
        <v>0.13959991463103691</v>
      </c>
      <c r="P1958" s="20">
        <v>0.54</v>
      </c>
      <c r="Q1958" s="20">
        <v>0.45999999999999996</v>
      </c>
      <c r="R1958" s="20"/>
      <c r="S1958" s="20"/>
      <c r="T1958" s="20"/>
    </row>
    <row r="1959" spans="13:20" x14ac:dyDescent="0.2">
      <c r="M1959" s="20">
        <v>1.1484025901896058E-2</v>
      </c>
      <c r="N1959" s="20">
        <v>1.1784986636444832E-3</v>
      </c>
      <c r="O1959" s="20">
        <v>0.10262069014054631</v>
      </c>
      <c r="P1959" s="20"/>
      <c r="Q1959" s="20">
        <v>0.24</v>
      </c>
      <c r="R1959" s="20">
        <v>0.7599999999999999</v>
      </c>
      <c r="S1959" s="20"/>
      <c r="T1959" s="20"/>
    </row>
    <row r="1960" spans="13:20" x14ac:dyDescent="0.2">
      <c r="M1960" s="20">
        <v>9.573297719846819E-3</v>
      </c>
      <c r="N1960" s="20">
        <v>8.9175992969772679E-4</v>
      </c>
      <c r="O1960" s="20">
        <v>9.3150757011241855E-2</v>
      </c>
      <c r="P1960" s="20"/>
      <c r="Q1960" s="20"/>
      <c r="R1960" s="20">
        <v>0.59</v>
      </c>
      <c r="S1960" s="20">
        <v>0.40999999999999992</v>
      </c>
      <c r="T1960" s="20"/>
    </row>
    <row r="1961" spans="13:20" x14ac:dyDescent="0.2">
      <c r="M1961" s="20">
        <v>1.0737484730818526E-2</v>
      </c>
      <c r="N1961" s="20">
        <v>6.8579222078568266E-4</v>
      </c>
      <c r="O1961" s="20">
        <v>6.3868982166497043E-2</v>
      </c>
      <c r="P1961" s="20"/>
      <c r="Q1961" s="20"/>
      <c r="R1961" s="20"/>
      <c r="S1961" s="20">
        <v>0.84</v>
      </c>
      <c r="T1961" s="20">
        <v>0.15999999999999992</v>
      </c>
    </row>
    <row r="1962" spans="13:20" x14ac:dyDescent="0.2">
      <c r="M1962" s="20">
        <v>1.2651308537340053E-2</v>
      </c>
      <c r="N1962" s="20">
        <v>2.1016490980736362E-3</v>
      </c>
      <c r="O1962" s="20">
        <v>0.16612108477717275</v>
      </c>
      <c r="P1962" s="20">
        <v>0.64</v>
      </c>
      <c r="Q1962" s="20">
        <v>0.22</v>
      </c>
      <c r="R1962" s="20">
        <v>0.14000000000000001</v>
      </c>
      <c r="S1962" s="20"/>
      <c r="T1962" s="20"/>
    </row>
    <row r="1963" spans="13:20" x14ac:dyDescent="0.2">
      <c r="M1963" s="20">
        <v>9.8860185038424538E-3</v>
      </c>
      <c r="N1963" s="20">
        <v>7.5478328431706357E-4</v>
      </c>
      <c r="O1963" s="20">
        <v>7.6348560750083339E-2</v>
      </c>
      <c r="P1963" s="20"/>
      <c r="Q1963" s="20"/>
      <c r="R1963" s="20">
        <v>0.37</v>
      </c>
      <c r="S1963" s="20">
        <v>0.63000000000000012</v>
      </c>
      <c r="T1963" s="20"/>
    </row>
    <row r="1964" spans="13:20" x14ac:dyDescent="0.2">
      <c r="M1964" s="20">
        <v>1.1740736142857745E-2</v>
      </c>
      <c r="N1964" s="20">
        <v>1.3796562226213176E-3</v>
      </c>
      <c r="O1964" s="20">
        <v>0.11751019747263509</v>
      </c>
      <c r="P1964" s="20">
        <v>0.13</v>
      </c>
      <c r="Q1964" s="20">
        <v>0.34</v>
      </c>
      <c r="R1964" s="20">
        <v>0.53</v>
      </c>
      <c r="S1964" s="20">
        <v>0</v>
      </c>
      <c r="T1964" s="20"/>
    </row>
    <row r="1965" spans="13:20" x14ac:dyDescent="0.2">
      <c r="M1965" s="20">
        <v>1.906302168500059E-2</v>
      </c>
      <c r="N1965" s="20">
        <v>1.2781349063581749E-3</v>
      </c>
      <c r="O1965" s="20">
        <v>6.7047865101252727E-2</v>
      </c>
      <c r="P1965" s="20"/>
      <c r="Q1965" s="20">
        <v>1</v>
      </c>
      <c r="R1965" s="20">
        <v>0</v>
      </c>
      <c r="S1965" s="20"/>
      <c r="T1965" s="20"/>
    </row>
    <row r="1966" spans="13:20" x14ac:dyDescent="0.2">
      <c r="M1966" s="20">
        <v>9.8545854861259927E-3</v>
      </c>
      <c r="N1966" s="20">
        <v>1.4991711429672089E-3</v>
      </c>
      <c r="O1966" s="20">
        <v>0.15212929504522049</v>
      </c>
      <c r="P1966" s="20">
        <v>0.3600000000000001</v>
      </c>
      <c r="Q1966" s="20"/>
      <c r="R1966" s="20">
        <v>0.11</v>
      </c>
      <c r="S1966" s="20">
        <v>0.37</v>
      </c>
      <c r="T1966" s="20">
        <v>0.16</v>
      </c>
    </row>
    <row r="1967" spans="13:20" x14ac:dyDescent="0.2">
      <c r="M1967" s="20">
        <v>1.5904108076560286E-2</v>
      </c>
      <c r="N1967" s="20">
        <v>1.5754515887227726E-3</v>
      </c>
      <c r="O1967" s="20">
        <v>9.9059411639983566E-2</v>
      </c>
      <c r="P1967" s="20">
        <v>3.9999999999999925E-2</v>
      </c>
      <c r="Q1967" s="20"/>
      <c r="R1967" s="20"/>
      <c r="S1967" s="20"/>
      <c r="T1967" s="20">
        <v>0.96</v>
      </c>
    </row>
    <row r="1968" spans="13:20" x14ac:dyDescent="0.2">
      <c r="M1968" s="20">
        <v>1.3184560557547005E-2</v>
      </c>
      <c r="N1968" s="20">
        <v>1.9158571915339924E-3</v>
      </c>
      <c r="O1968" s="20">
        <v>0.14531065962887418</v>
      </c>
      <c r="P1968" s="20">
        <v>0.38000000000000012</v>
      </c>
      <c r="Q1968" s="20"/>
      <c r="R1968" s="20"/>
      <c r="S1968" s="20">
        <v>0.02</v>
      </c>
      <c r="T1968" s="20">
        <v>0.6</v>
      </c>
    </row>
    <row r="1969" spans="13:20" x14ac:dyDescent="0.2">
      <c r="M1969" s="20">
        <v>9.4176252751269479E-3</v>
      </c>
      <c r="N1969" s="20">
        <v>8.4468629041444128E-4</v>
      </c>
      <c r="O1969" s="20">
        <v>8.9692068407665013E-2</v>
      </c>
      <c r="P1969" s="20"/>
      <c r="Q1969" s="20"/>
      <c r="R1969" s="20">
        <v>0.32</v>
      </c>
      <c r="S1969" s="20">
        <v>0.56000000000000005</v>
      </c>
      <c r="T1969" s="20">
        <v>0.12</v>
      </c>
    </row>
    <row r="1970" spans="13:20" x14ac:dyDescent="0.2">
      <c r="M1970" s="20">
        <v>1.774207684011481E-2</v>
      </c>
      <c r="N1970" s="20">
        <v>1.2650248744221629E-3</v>
      </c>
      <c r="O1970" s="20">
        <v>7.1300833934049013E-2</v>
      </c>
      <c r="P1970" s="20">
        <v>0</v>
      </c>
      <c r="Q1970" s="20">
        <v>0.9</v>
      </c>
      <c r="R1970" s="20">
        <v>9.9999999999999978E-2</v>
      </c>
      <c r="S1970" s="20"/>
      <c r="T1970" s="20"/>
    </row>
    <row r="1971" spans="13:20" x14ac:dyDescent="0.2">
      <c r="M1971" s="20">
        <v>9.6553716729263911E-3</v>
      </c>
      <c r="N1971" s="20">
        <v>1.0525175089706269E-3</v>
      </c>
      <c r="O1971" s="20">
        <v>0.10900849233198141</v>
      </c>
      <c r="P1971" s="20"/>
      <c r="Q1971" s="20"/>
      <c r="R1971" s="20">
        <v>0.67</v>
      </c>
      <c r="S1971" s="20">
        <v>0.22</v>
      </c>
      <c r="T1971" s="20">
        <v>0.10999999999999999</v>
      </c>
    </row>
    <row r="1972" spans="13:20" x14ac:dyDescent="0.2">
      <c r="M1972" s="20">
        <v>1.8001796391182504E-2</v>
      </c>
      <c r="N1972" s="20">
        <v>1.2676468808093654E-3</v>
      </c>
      <c r="O1972" s="20">
        <v>7.0417799049781168E-2</v>
      </c>
      <c r="P1972" s="20"/>
      <c r="Q1972" s="20">
        <v>0.92</v>
      </c>
      <c r="R1972" s="20">
        <v>7.999999999999996E-2</v>
      </c>
      <c r="S1972" s="20"/>
      <c r="T1972" s="20"/>
    </row>
    <row r="1973" spans="13:20" x14ac:dyDescent="0.2">
      <c r="M1973" s="20">
        <v>1.8395715759419593E-2</v>
      </c>
      <c r="N1973" s="20">
        <v>1.2715798903901688E-3</v>
      </c>
      <c r="O1973" s="20">
        <v>6.9123697442381477E-2</v>
      </c>
      <c r="P1973" s="20"/>
      <c r="Q1973" s="20">
        <v>0.95</v>
      </c>
      <c r="R1973" s="20">
        <v>5.0000000000000044E-2</v>
      </c>
      <c r="S1973" s="20"/>
      <c r="T1973" s="20"/>
    </row>
    <row r="1974" spans="13:20" x14ac:dyDescent="0.2">
      <c r="M1974" s="20">
        <v>1.3913296519489133E-2</v>
      </c>
      <c r="N1974" s="20">
        <v>2.356778584278831E-3</v>
      </c>
      <c r="O1974" s="20">
        <v>0.16939037998489859</v>
      </c>
      <c r="P1974" s="20">
        <v>0.82</v>
      </c>
      <c r="Q1974" s="20">
        <v>0.18000000000000005</v>
      </c>
      <c r="R1974" s="20"/>
      <c r="S1974" s="20"/>
      <c r="T1974" s="20"/>
    </row>
    <row r="1975" spans="13:20" x14ac:dyDescent="0.2">
      <c r="M1975" s="20">
        <v>1.3942508844043463E-2</v>
      </c>
      <c r="N1975" s="20">
        <v>2.1068489515898982E-3</v>
      </c>
      <c r="O1975" s="20">
        <v>0.151109744677694</v>
      </c>
      <c r="P1975" s="20">
        <v>0.63</v>
      </c>
      <c r="Q1975" s="20">
        <v>0.37</v>
      </c>
      <c r="R1975" s="20"/>
      <c r="S1975" s="20"/>
      <c r="T1975" s="20"/>
    </row>
    <row r="1976" spans="13:20" x14ac:dyDescent="0.2">
      <c r="M1976" s="20">
        <v>1.4161652659714676E-2</v>
      </c>
      <c r="N1976" s="20">
        <v>2.0147696132308181E-3</v>
      </c>
      <c r="O1976" s="20">
        <v>0.14226938491170502</v>
      </c>
      <c r="P1976" s="20">
        <v>0.56000000000000005</v>
      </c>
      <c r="Q1976" s="20">
        <v>0.43999999999999995</v>
      </c>
      <c r="R1976" s="20"/>
      <c r="S1976" s="20"/>
      <c r="T1976" s="20"/>
    </row>
    <row r="1977" spans="13:20" x14ac:dyDescent="0.2">
      <c r="M1977" s="20">
        <v>1.3919925430335361E-2</v>
      </c>
      <c r="N1977" s="20">
        <v>2.4667006249620349E-3</v>
      </c>
      <c r="O1977" s="20">
        <v>0.17720645396464646</v>
      </c>
      <c r="P1977" s="20">
        <v>0.89</v>
      </c>
      <c r="Q1977" s="20">
        <v>4.0000000000000147E-2</v>
      </c>
      <c r="R1977" s="20"/>
      <c r="S1977" s="20"/>
      <c r="T1977" s="20">
        <v>7.0000000000000007E-2</v>
      </c>
    </row>
    <row r="1978" spans="13:20" x14ac:dyDescent="0.2">
      <c r="M1978" s="20">
        <v>1.4111664700453743E-2</v>
      </c>
      <c r="N1978" s="20">
        <v>2.4488579226379114E-3</v>
      </c>
      <c r="O1978" s="20">
        <v>0.17353430474855114</v>
      </c>
      <c r="P1978" s="20">
        <v>0.89</v>
      </c>
      <c r="Q1978" s="20">
        <v>0.1100000000000001</v>
      </c>
      <c r="R1978" s="20"/>
      <c r="S1978" s="20"/>
      <c r="T1978" s="20"/>
    </row>
    <row r="1979" spans="13:20" x14ac:dyDescent="0.2">
      <c r="M1979" s="20">
        <v>1.2007938807189322E-2</v>
      </c>
      <c r="N1979" s="20">
        <v>1.1916086955804951E-3</v>
      </c>
      <c r="O1979" s="20">
        <v>9.9235073955162248E-2</v>
      </c>
      <c r="P1979" s="20"/>
      <c r="Q1979" s="20">
        <v>0.34</v>
      </c>
      <c r="R1979" s="20">
        <v>0.65999999999999992</v>
      </c>
      <c r="S1979" s="20"/>
      <c r="T1979" s="20"/>
    </row>
    <row r="1980" spans="13:20" x14ac:dyDescent="0.2">
      <c r="M1980" s="20">
        <v>1.1613911000034081E-2</v>
      </c>
      <c r="N1980" s="20">
        <v>1.6282537615426316E-3</v>
      </c>
      <c r="O1980" s="20">
        <v>0.14019857406672512</v>
      </c>
      <c r="P1980" s="20">
        <v>0.28000000000000003</v>
      </c>
      <c r="Q1980" s="20"/>
      <c r="R1980" s="20"/>
      <c r="S1980" s="20">
        <v>0.2</v>
      </c>
      <c r="T1980" s="20">
        <v>0.52</v>
      </c>
    </row>
    <row r="1981" spans="13:20" x14ac:dyDescent="0.2">
      <c r="M1981" s="20">
        <v>1.3602697069245854E-2</v>
      </c>
      <c r="N1981" s="20">
        <v>1.8172324106111083E-3</v>
      </c>
      <c r="O1981" s="20">
        <v>0.13359353673468652</v>
      </c>
      <c r="P1981" s="20">
        <v>0.28000000000000003</v>
      </c>
      <c r="Q1981" s="20">
        <v>5.0000000000000044E-2</v>
      </c>
      <c r="R1981" s="20"/>
      <c r="S1981" s="20"/>
      <c r="T1981" s="20">
        <v>0.67</v>
      </c>
    </row>
    <row r="1982" spans="13:20" x14ac:dyDescent="0.2">
      <c r="M1982" s="20">
        <v>1.0540243546742658E-2</v>
      </c>
      <c r="N1982" s="20">
        <v>1.5463022673946781E-3</v>
      </c>
      <c r="O1982" s="20">
        <v>0.14670460512011083</v>
      </c>
      <c r="P1982" s="20">
        <v>0.44999999999999996</v>
      </c>
      <c r="Q1982" s="20"/>
      <c r="R1982" s="20"/>
      <c r="S1982" s="20">
        <v>0.46</v>
      </c>
      <c r="T1982" s="20">
        <v>0.09</v>
      </c>
    </row>
    <row r="1983" spans="13:20" x14ac:dyDescent="0.2">
      <c r="M1983" s="20">
        <v>9.6092764874167649E-3</v>
      </c>
      <c r="N1983" s="20">
        <v>1.0949770763238628E-3</v>
      </c>
      <c r="O1983" s="20">
        <v>0.11395000214196381</v>
      </c>
      <c r="P1983" s="20"/>
      <c r="Q1983" s="20"/>
      <c r="R1983" s="20">
        <v>0.56000000000000005</v>
      </c>
      <c r="S1983" s="20">
        <v>0.22</v>
      </c>
      <c r="T1983" s="20">
        <v>0.21999999999999986</v>
      </c>
    </row>
    <row r="1984" spans="13:20" x14ac:dyDescent="0.2">
      <c r="M1984" s="20">
        <v>1.3964215445300288E-2</v>
      </c>
      <c r="N1984" s="20">
        <v>1.8299771979854817E-3</v>
      </c>
      <c r="O1984" s="20">
        <v>0.13104761990773839</v>
      </c>
      <c r="P1984" s="20">
        <v>0.28000000000000003</v>
      </c>
      <c r="Q1984" s="20"/>
      <c r="R1984" s="20"/>
      <c r="S1984" s="20"/>
      <c r="T1984" s="20">
        <v>0.72</v>
      </c>
    </row>
    <row r="1985" spans="13:20" x14ac:dyDescent="0.2">
      <c r="M1985" s="20">
        <v>9.3201890655085756E-3</v>
      </c>
      <c r="N1985" s="20">
        <v>8.7731105636605926E-4</v>
      </c>
      <c r="O1985" s="20">
        <v>9.4130178068247916E-2</v>
      </c>
      <c r="P1985" s="20"/>
      <c r="Q1985" s="20"/>
      <c r="R1985" s="20">
        <v>0.34</v>
      </c>
      <c r="S1985" s="20">
        <v>0.52</v>
      </c>
      <c r="T1985" s="20">
        <v>0.1399999999999999</v>
      </c>
    </row>
    <row r="1986" spans="13:20" x14ac:dyDescent="0.2">
      <c r="M1986" s="20">
        <v>1.184514800516435E-2</v>
      </c>
      <c r="N1986" s="20">
        <v>2.0214571069732505E-3</v>
      </c>
      <c r="O1986" s="20">
        <v>0.17065697331024637</v>
      </c>
      <c r="P1986" s="20">
        <v>0.59</v>
      </c>
      <c r="Q1986" s="20">
        <v>0.16</v>
      </c>
      <c r="R1986" s="20">
        <v>0.25</v>
      </c>
      <c r="S1986" s="20"/>
      <c r="T1986" s="20"/>
    </row>
    <row r="1987" spans="13:20" x14ac:dyDescent="0.2">
      <c r="M1987" s="20">
        <v>1.4111664700453743E-2</v>
      </c>
      <c r="N1987" s="20">
        <v>2.4488579226379114E-3</v>
      </c>
      <c r="O1987" s="20">
        <v>0.17353430474855114</v>
      </c>
      <c r="P1987" s="20">
        <v>0.89</v>
      </c>
      <c r="Q1987" s="20">
        <v>0.10999999999999999</v>
      </c>
      <c r="R1987" s="20"/>
      <c r="S1987" s="20"/>
      <c r="T1987" s="20"/>
    </row>
    <row r="1988" spans="13:20" x14ac:dyDescent="0.2">
      <c r="M1988" s="20">
        <v>9.6586033358054407E-3</v>
      </c>
      <c r="N1988" s="20">
        <v>8.0222672306120549E-4</v>
      </c>
      <c r="O1988" s="20">
        <v>8.3058253369539273E-2</v>
      </c>
      <c r="P1988" s="20"/>
      <c r="Q1988" s="20"/>
      <c r="R1988" s="20">
        <v>0.43</v>
      </c>
      <c r="S1988" s="20">
        <v>0.56000000000000005</v>
      </c>
      <c r="T1988" s="20">
        <v>1.000000000000012E-2</v>
      </c>
    </row>
    <row r="1989" spans="13:20" x14ac:dyDescent="0.2">
      <c r="M1989" s="20">
        <v>1.8263847217394925E-2</v>
      </c>
      <c r="N1989" s="20">
        <v>1.2702688871965675E-3</v>
      </c>
      <c r="O1989" s="20">
        <v>6.9551002703676423E-2</v>
      </c>
      <c r="P1989" s="20"/>
      <c r="Q1989" s="20">
        <v>0.94</v>
      </c>
      <c r="R1989" s="20">
        <v>5.9999999999999942E-2</v>
      </c>
      <c r="S1989" s="20"/>
      <c r="T1989" s="20"/>
    </row>
    <row r="1990" spans="13:20" x14ac:dyDescent="0.2">
      <c r="M1990" s="20">
        <v>1.0029055968474527E-2</v>
      </c>
      <c r="N1990" s="20">
        <v>1.0162841527710574E-3</v>
      </c>
      <c r="O1990" s="20">
        <v>0.10133397958548233</v>
      </c>
      <c r="P1990" s="20"/>
      <c r="Q1990" s="20"/>
      <c r="R1990" s="20">
        <v>0.79</v>
      </c>
      <c r="S1990" s="20">
        <v>0.20999999999999996</v>
      </c>
      <c r="T1990" s="20"/>
    </row>
    <row r="1991" spans="13:20" x14ac:dyDescent="0.2">
      <c r="M1991" s="20">
        <v>1.0444953040813672E-2</v>
      </c>
      <c r="N1991" s="20">
        <v>1.0723200531540559E-3</v>
      </c>
      <c r="O1991" s="20">
        <v>0.1026639419980122</v>
      </c>
      <c r="P1991" s="20"/>
      <c r="Q1991" s="20"/>
      <c r="R1991" s="20">
        <v>0.88</v>
      </c>
      <c r="S1991" s="20">
        <v>0.11999999999999988</v>
      </c>
      <c r="T1991" s="20"/>
    </row>
    <row r="1992" spans="13:20" x14ac:dyDescent="0.2">
      <c r="M1992" s="20">
        <v>1.0430911482542391E-2</v>
      </c>
      <c r="N1992" s="20">
        <v>7.4630925171853763E-4</v>
      </c>
      <c r="O1992" s="20">
        <v>7.1547846318856412E-2</v>
      </c>
      <c r="P1992" s="20"/>
      <c r="Q1992" s="20"/>
      <c r="R1992" s="20"/>
      <c r="S1992" s="20">
        <v>0.78</v>
      </c>
      <c r="T1992" s="20">
        <v>0.21999999999999986</v>
      </c>
    </row>
    <row r="1993" spans="13:20" x14ac:dyDescent="0.2">
      <c r="M1993" s="20">
        <v>1.2003136761639031E-2</v>
      </c>
      <c r="N1993" s="20">
        <v>2.0898500693312247E-3</v>
      </c>
      <c r="O1993" s="20">
        <v>0.17410866099686553</v>
      </c>
      <c r="P1993" s="20">
        <v>0.64</v>
      </c>
      <c r="Q1993" s="20">
        <v>0.13</v>
      </c>
      <c r="R1993" s="20">
        <v>0.22999999999999987</v>
      </c>
      <c r="S1993" s="20"/>
      <c r="T1993" s="20"/>
    </row>
    <row r="1994" spans="13:20" x14ac:dyDescent="0.2">
      <c r="M1994" s="20">
        <v>1.4076638263943286E-2</v>
      </c>
      <c r="N1994" s="20">
        <v>2.4357037314437571E-3</v>
      </c>
      <c r="O1994" s="20">
        <v>0.17303163481033032</v>
      </c>
      <c r="P1994" s="20">
        <v>0.88</v>
      </c>
      <c r="Q1994" s="20">
        <v>0.12</v>
      </c>
      <c r="R1994" s="20"/>
      <c r="S1994" s="20"/>
      <c r="T1994" s="20"/>
    </row>
    <row r="1995" spans="13:20" x14ac:dyDescent="0.2">
      <c r="M1995" s="20">
        <v>1.3397000955843669E-2</v>
      </c>
      <c r="N1995" s="20">
        <v>1.8654142274547971E-3</v>
      </c>
      <c r="O1995" s="20">
        <v>0.13924118044054612</v>
      </c>
      <c r="P1995" s="20">
        <v>0.45</v>
      </c>
      <c r="Q1995" s="20">
        <v>0.40999999999999992</v>
      </c>
      <c r="R1995" s="20"/>
      <c r="S1995" s="20">
        <v>0.04</v>
      </c>
      <c r="T1995" s="20">
        <v>0.1</v>
      </c>
    </row>
    <row r="1996" spans="13:20" x14ac:dyDescent="0.2">
      <c r="M1996" s="20">
        <v>1.0977548684537798E-2</v>
      </c>
      <c r="N1996" s="20">
        <v>1.0791529218492411E-3</v>
      </c>
      <c r="O1996" s="20">
        <v>9.8305455330775254E-2</v>
      </c>
      <c r="P1996" s="20">
        <v>0</v>
      </c>
      <c r="Q1996" s="20"/>
      <c r="R1996" s="20"/>
      <c r="S1996" s="20">
        <v>0.45</v>
      </c>
      <c r="T1996" s="20">
        <v>0.55000000000000004</v>
      </c>
    </row>
    <row r="1997" spans="13:20" x14ac:dyDescent="0.2">
      <c r="M1997" s="20">
        <v>1.4087966762898614E-2</v>
      </c>
      <c r="N1997" s="20">
        <v>2.0410779956191267E-3</v>
      </c>
      <c r="O1997" s="20">
        <v>0.14488094910859745</v>
      </c>
      <c r="P1997" s="20">
        <v>0.57999999999999996</v>
      </c>
      <c r="Q1997" s="20">
        <v>0.41999999999999993</v>
      </c>
      <c r="R1997" s="20"/>
      <c r="S1997" s="20"/>
      <c r="T1997" s="20"/>
    </row>
    <row r="1998" spans="13:20" x14ac:dyDescent="0.2">
      <c r="M1998" s="20">
        <v>1.422980672648998E-2</v>
      </c>
      <c r="N1998" s="20">
        <v>2.4883204962203747E-3</v>
      </c>
      <c r="O1998" s="20">
        <v>0.17486678097940414</v>
      </c>
      <c r="P1998" s="20">
        <v>0.92</v>
      </c>
      <c r="Q1998" s="20">
        <v>8.0000000000000071E-2</v>
      </c>
      <c r="R1998" s="20"/>
      <c r="S1998" s="20"/>
      <c r="T1998" s="20"/>
    </row>
    <row r="1999" spans="13:20" x14ac:dyDescent="0.2">
      <c r="M1999" s="20">
        <v>1.0448206544426552E-2</v>
      </c>
      <c r="N1999" s="20">
        <v>6.7384253931939884E-4</v>
      </c>
      <c r="O1999" s="20">
        <v>6.449360820483116E-2</v>
      </c>
      <c r="P1999" s="20"/>
      <c r="Q1999" s="20"/>
      <c r="R1999" s="20">
        <v>0.24</v>
      </c>
      <c r="S1999" s="20">
        <v>0.76000000000000012</v>
      </c>
      <c r="T1999" s="20"/>
    </row>
    <row r="2000" spans="13:20" x14ac:dyDescent="0.2">
      <c r="M2000" s="20">
        <v>1.4637253852239254E-2</v>
      </c>
      <c r="N2000" s="20">
        <v>2.593554025773609E-3</v>
      </c>
      <c r="O2000" s="20">
        <v>0.17718856637693953</v>
      </c>
      <c r="P2000" s="20">
        <v>1</v>
      </c>
      <c r="Q2000" s="20">
        <v>0</v>
      </c>
      <c r="R2000" s="20"/>
      <c r="S2000" s="20"/>
      <c r="T2000" s="20"/>
    </row>
    <row r="2001" spans="13:20" x14ac:dyDescent="0.2">
      <c r="M2001" s="20">
        <v>9.8028202393402823E-3</v>
      </c>
      <c r="N2001" s="20">
        <v>1.2208705901762056E-3</v>
      </c>
      <c r="O2001" s="20">
        <v>0.12454279078551876</v>
      </c>
      <c r="P2001" s="20">
        <v>6.0000000000000053E-2</v>
      </c>
      <c r="Q2001" s="20"/>
      <c r="R2001" s="20">
        <v>0.66</v>
      </c>
      <c r="S2001" s="20">
        <v>0.12</v>
      </c>
      <c r="T2001" s="20">
        <v>0.16</v>
      </c>
    </row>
    <row r="2002" spans="13:20" x14ac:dyDescent="0.2">
      <c r="M2002" s="20">
        <v>1.8001796391182504E-2</v>
      </c>
      <c r="N2002" s="20">
        <v>1.2676468808093652E-3</v>
      </c>
      <c r="O2002" s="20">
        <v>7.0417799049781155E-2</v>
      </c>
      <c r="P2002" s="20"/>
      <c r="Q2002" s="20">
        <v>0.92</v>
      </c>
      <c r="R2002" s="20">
        <v>7.9999999999999849E-2</v>
      </c>
      <c r="S2002" s="20"/>
      <c r="T2002" s="20"/>
    </row>
    <row r="2003" spans="13:20" x14ac:dyDescent="0.2">
      <c r="M2003" s="20">
        <v>1.3102028074088138E-2</v>
      </c>
      <c r="N2003" s="20">
        <v>2.2860022479145024E-3</v>
      </c>
      <c r="O2003" s="20">
        <v>0.1744769767693847</v>
      </c>
      <c r="P2003" s="20">
        <v>0.71000000000000008</v>
      </c>
      <c r="Q2003" s="20"/>
      <c r="R2003" s="20"/>
      <c r="S2003" s="20"/>
      <c r="T2003" s="20">
        <v>0.28999999999999998</v>
      </c>
    </row>
    <row r="2004" spans="13:20" x14ac:dyDescent="0.2">
      <c r="M2004" s="20">
        <v>1.0678381654700331E-2</v>
      </c>
      <c r="N2004" s="20">
        <v>6.958783926078253E-4</v>
      </c>
      <c r="O2004" s="20">
        <v>6.5167027655498602E-2</v>
      </c>
      <c r="P2004" s="20"/>
      <c r="Q2004" s="20"/>
      <c r="R2004" s="20"/>
      <c r="S2004" s="20">
        <v>0.83</v>
      </c>
      <c r="T2004" s="20">
        <v>0.17000000000000004</v>
      </c>
    </row>
    <row r="2005" spans="13:20" x14ac:dyDescent="0.2">
      <c r="M2005" s="20">
        <v>1.0258850148799393E-2</v>
      </c>
      <c r="N2005" s="20">
        <v>9.2786034451710329E-4</v>
      </c>
      <c r="O2005" s="20">
        <v>9.0444867705343379E-2</v>
      </c>
      <c r="P2005" s="20"/>
      <c r="Q2005" s="20"/>
      <c r="R2005" s="20"/>
      <c r="S2005" s="20">
        <v>0.6</v>
      </c>
      <c r="T2005" s="20">
        <v>0.4</v>
      </c>
    </row>
    <row r="2006" spans="13:20" x14ac:dyDescent="0.2">
      <c r="M2006" s="20">
        <v>1.2688560252848494E-2</v>
      </c>
      <c r="N2006" s="20">
        <v>1.4893475993977235E-3</v>
      </c>
      <c r="O2006" s="20">
        <v>0.11737719408026417</v>
      </c>
      <c r="P2006" s="20">
        <v>0.13000000000000012</v>
      </c>
      <c r="Q2006" s="20"/>
      <c r="R2006" s="20"/>
      <c r="S2006" s="20">
        <v>0.18</v>
      </c>
      <c r="T2006" s="20">
        <v>0.69</v>
      </c>
    </row>
    <row r="2007" spans="13:20" x14ac:dyDescent="0.2">
      <c r="M2007" s="20">
        <v>1.4593023709096226E-2</v>
      </c>
      <c r="N2007" s="20">
        <v>1.7345300945119659E-3</v>
      </c>
      <c r="O2007" s="20">
        <v>0.1188602258921012</v>
      </c>
      <c r="P2007" s="20">
        <v>0.18999999999999995</v>
      </c>
      <c r="Q2007" s="20"/>
      <c r="R2007" s="20"/>
      <c r="S2007" s="20"/>
      <c r="T2007" s="20">
        <v>0.81</v>
      </c>
    </row>
    <row r="2008" spans="13:20" x14ac:dyDescent="0.2">
      <c r="M2008" s="20">
        <v>1.1027190106479311E-2</v>
      </c>
      <c r="N2008" s="20">
        <v>1.6570477953392684E-3</v>
      </c>
      <c r="O2008" s="20">
        <v>0.15026926890156969</v>
      </c>
      <c r="P2008" s="20">
        <v>0.35</v>
      </c>
      <c r="Q2008" s="20">
        <v>2.0000000000000018E-2</v>
      </c>
      <c r="R2008" s="20"/>
      <c r="S2008" s="20">
        <v>0.24</v>
      </c>
      <c r="T2008" s="20">
        <v>0.39</v>
      </c>
    </row>
    <row r="2009" spans="13:20" x14ac:dyDescent="0.2">
      <c r="M2009" s="20">
        <v>1.3849894403893379E-2</v>
      </c>
      <c r="N2009" s="20">
        <v>2.3041618195022134E-3</v>
      </c>
      <c r="O2009" s="20">
        <v>0.16636674275686061</v>
      </c>
      <c r="P2009" s="20">
        <v>0.78</v>
      </c>
      <c r="Q2009" s="20">
        <v>0.21999999999999997</v>
      </c>
      <c r="R2009" s="20"/>
      <c r="S2009" s="20"/>
      <c r="T2009" s="20"/>
    </row>
    <row r="2010" spans="13:20" x14ac:dyDescent="0.2">
      <c r="M2010" s="20">
        <v>1.3893998017793646E-2</v>
      </c>
      <c r="N2010" s="20">
        <v>2.3436243930846767E-3</v>
      </c>
      <c r="O2010" s="20">
        <v>0.16867890653815149</v>
      </c>
      <c r="P2010" s="20">
        <v>0.81</v>
      </c>
      <c r="Q2010" s="20">
        <v>0.18999999999999995</v>
      </c>
      <c r="R2010" s="20"/>
      <c r="S2010" s="20"/>
      <c r="T2010" s="20"/>
    </row>
    <row r="2011" spans="13:20" x14ac:dyDescent="0.2">
      <c r="M2011" s="20">
        <v>1.5807718646568842E-2</v>
      </c>
      <c r="N2011" s="20">
        <v>1.5860568224420524E-3</v>
      </c>
      <c r="O2011" s="20">
        <v>0.10033432767265979</v>
      </c>
      <c r="P2011" s="20">
        <v>5.0000000000000044E-2</v>
      </c>
      <c r="Q2011" s="20"/>
      <c r="R2011" s="20"/>
      <c r="S2011" s="20"/>
      <c r="T2011" s="20">
        <v>0.95</v>
      </c>
    </row>
    <row r="2012" spans="13:20" x14ac:dyDescent="0.2">
      <c r="M2012" s="20">
        <v>1.5298716201155593E-2</v>
      </c>
      <c r="N2012" s="20">
        <v>1.2388048105501385E-3</v>
      </c>
      <c r="O2012" s="20">
        <v>8.0974429112984331E-2</v>
      </c>
      <c r="P2012" s="20"/>
      <c r="Q2012" s="20">
        <v>0.7</v>
      </c>
      <c r="R2012" s="20">
        <v>0.29999999999999993</v>
      </c>
      <c r="S2012" s="20"/>
      <c r="T2012" s="20"/>
    </row>
    <row r="2013" spans="13:20" x14ac:dyDescent="0.2">
      <c r="M2013" s="20">
        <v>1.5185250871918811E-2</v>
      </c>
      <c r="N2013" s="20">
        <v>1.2374938073565376E-3</v>
      </c>
      <c r="O2013" s="20">
        <v>8.149314211495591E-2</v>
      </c>
      <c r="P2013" s="20"/>
      <c r="Q2013" s="20">
        <v>0.69</v>
      </c>
      <c r="R2013" s="20">
        <v>0.31000000000000016</v>
      </c>
      <c r="S2013" s="20"/>
      <c r="T2013" s="20"/>
    </row>
    <row r="2014" spans="13:20" x14ac:dyDescent="0.2">
      <c r="M2014" s="20">
        <v>9.4479531347925784E-3</v>
      </c>
      <c r="N2014" s="20">
        <v>1.3843959795206244E-3</v>
      </c>
      <c r="O2014" s="20">
        <v>0.14652866708477993</v>
      </c>
      <c r="P2014" s="20">
        <v>0.25</v>
      </c>
      <c r="Q2014" s="20">
        <v>0.02</v>
      </c>
      <c r="R2014" s="20">
        <v>0.51</v>
      </c>
      <c r="S2014" s="20">
        <v>0.21</v>
      </c>
      <c r="T2014" s="20">
        <v>0.01</v>
      </c>
    </row>
    <row r="2015" spans="13:20" x14ac:dyDescent="0.2">
      <c r="M2015" s="20">
        <v>1.7230052311804852E-2</v>
      </c>
      <c r="N2015" s="20">
        <v>1.2597808616477582E-3</v>
      </c>
      <c r="O2015" s="20">
        <v>7.3115324251490671E-2</v>
      </c>
      <c r="P2015" s="20"/>
      <c r="Q2015" s="20">
        <v>0.86</v>
      </c>
      <c r="R2015" s="20">
        <v>0.14000000000000001</v>
      </c>
      <c r="S2015" s="20"/>
      <c r="T2015" s="20"/>
    </row>
    <row r="2016" spans="13:20" x14ac:dyDescent="0.2">
      <c r="M2016" s="20">
        <v>1.4107761123317457E-2</v>
      </c>
      <c r="N2016" s="20">
        <v>1.2243837754205256E-3</v>
      </c>
      <c r="O2016" s="20">
        <v>8.6787957686414965E-2</v>
      </c>
      <c r="P2016" s="20"/>
      <c r="Q2016" s="20">
        <v>0.59</v>
      </c>
      <c r="R2016" s="20">
        <v>0.41000000000000014</v>
      </c>
      <c r="S2016" s="20"/>
      <c r="T2016" s="20"/>
    </row>
    <row r="2017" spans="13:20" x14ac:dyDescent="0.2">
      <c r="M2017" s="20">
        <v>9.5795363962064995E-3</v>
      </c>
      <c r="N2017" s="20">
        <v>8.9798614085139341E-4</v>
      </c>
      <c r="O2017" s="20">
        <v>9.3740041658696163E-2</v>
      </c>
      <c r="P2017" s="20"/>
      <c r="Q2017" s="20"/>
      <c r="R2017" s="20">
        <v>0.6</v>
      </c>
      <c r="S2017" s="20">
        <v>0.39999999999999991</v>
      </c>
      <c r="T2017" s="20"/>
    </row>
    <row r="2018" spans="13:20" x14ac:dyDescent="0.2">
      <c r="M2018" s="20">
        <v>1.3875585654343915E-2</v>
      </c>
      <c r="N2018" s="20">
        <v>1.4098092960741452E-3</v>
      </c>
      <c r="O2018" s="20">
        <v>0.10160358857593789</v>
      </c>
      <c r="P2018" s="20">
        <v>0.13</v>
      </c>
      <c r="Q2018" s="20">
        <v>0.56999999999999995</v>
      </c>
      <c r="R2018" s="20">
        <v>0.29999999999999993</v>
      </c>
      <c r="S2018" s="20"/>
      <c r="T2018" s="20"/>
    </row>
    <row r="2019" spans="13:20" x14ac:dyDescent="0.2">
      <c r="M2019" s="20">
        <v>1.623891119323944E-2</v>
      </c>
      <c r="N2019" s="20">
        <v>1.2492928360989485E-3</v>
      </c>
      <c r="O2019" s="20">
        <v>7.6932056665169293E-2</v>
      </c>
      <c r="P2019" s="20"/>
      <c r="Q2019" s="20">
        <v>0.78</v>
      </c>
      <c r="R2019" s="20">
        <v>0.22000000000000008</v>
      </c>
      <c r="S2019" s="20"/>
      <c r="T2019" s="20"/>
    </row>
    <row r="2020" spans="13:20" x14ac:dyDescent="0.2">
      <c r="M2020" s="20">
        <v>1.017202943000442E-2</v>
      </c>
      <c r="N2020" s="20">
        <v>1.3220351735983966E-3</v>
      </c>
      <c r="O2020" s="20">
        <v>0.12996769058677624</v>
      </c>
      <c r="P2020" s="20">
        <v>0.20999999999999996</v>
      </c>
      <c r="Q2020" s="20"/>
      <c r="R2020" s="20"/>
      <c r="S2020" s="20">
        <v>0.43</v>
      </c>
      <c r="T2020" s="20">
        <v>0.36</v>
      </c>
    </row>
    <row r="2021" spans="13:20" x14ac:dyDescent="0.2">
      <c r="M2021" s="20">
        <v>1.3984850690816109E-2</v>
      </c>
      <c r="N2021" s="20">
        <v>2.3962411578612938E-3</v>
      </c>
      <c r="O2021" s="20">
        <v>0.17134549455253834</v>
      </c>
      <c r="P2021" s="20">
        <v>0.85</v>
      </c>
      <c r="Q2021" s="20">
        <v>0.14999999999999991</v>
      </c>
      <c r="R2021" s="20"/>
      <c r="S2021" s="20"/>
      <c r="T2021" s="20"/>
    </row>
    <row r="2022" spans="13:20" x14ac:dyDescent="0.2">
      <c r="M2022" s="20">
        <v>1.2399321196224366E-2</v>
      </c>
      <c r="N2022" s="20">
        <v>1.0762614948623733E-3</v>
      </c>
      <c r="O2022" s="20">
        <v>8.6800033472001548E-2</v>
      </c>
      <c r="P2022" s="20"/>
      <c r="Q2022" s="20">
        <v>0.41</v>
      </c>
      <c r="R2022" s="20">
        <v>0.39</v>
      </c>
      <c r="S2022" s="20">
        <v>0.19999999999999984</v>
      </c>
      <c r="T2022" s="20"/>
    </row>
    <row r="2023" spans="13:20" x14ac:dyDescent="0.2">
      <c r="M2023" s="20">
        <v>1.0337830322201249E-2</v>
      </c>
      <c r="N2023" s="20">
        <v>1.6046753591909516E-3</v>
      </c>
      <c r="O2023" s="20">
        <v>0.1552236116455494</v>
      </c>
      <c r="P2023" s="20">
        <v>0.46</v>
      </c>
      <c r="Q2023" s="20">
        <v>0.03</v>
      </c>
      <c r="R2023" s="20">
        <v>0.17</v>
      </c>
      <c r="S2023" s="20">
        <v>0.34000000000000008</v>
      </c>
      <c r="T2023" s="20"/>
    </row>
    <row r="2024" spans="13:20" x14ac:dyDescent="0.2">
      <c r="M2024" s="20">
        <v>1.2768256615989187E-2</v>
      </c>
      <c r="N2024" s="20">
        <v>1.7337164748428174E-3</v>
      </c>
      <c r="O2024" s="20">
        <v>0.13578333573526022</v>
      </c>
      <c r="P2024" s="20">
        <v>0.3</v>
      </c>
      <c r="Q2024" s="20">
        <v>0.37</v>
      </c>
      <c r="R2024" s="20">
        <v>5.9999999999999831E-2</v>
      </c>
      <c r="S2024" s="20"/>
      <c r="T2024" s="20">
        <v>0.27</v>
      </c>
    </row>
    <row r="2025" spans="13:20" x14ac:dyDescent="0.2">
      <c r="M2025" s="20">
        <v>1.0899938212146883E-2</v>
      </c>
      <c r="N2025" s="20">
        <v>1.7374204701182494E-3</v>
      </c>
      <c r="O2025" s="20">
        <v>0.15939727696640238</v>
      </c>
      <c r="P2025" s="20">
        <v>0.44000000000000006</v>
      </c>
      <c r="Q2025" s="20"/>
      <c r="R2025" s="20"/>
      <c r="S2025" s="20">
        <v>0.26</v>
      </c>
      <c r="T2025" s="20">
        <v>0.3</v>
      </c>
    </row>
    <row r="2026" spans="13:20" x14ac:dyDescent="0.2">
      <c r="M2026" s="20">
        <v>9.4282374842945445E-3</v>
      </c>
      <c r="N2026" s="20">
        <v>9.5227696063058208E-4</v>
      </c>
      <c r="O2026" s="20">
        <v>0.10100264892742411</v>
      </c>
      <c r="P2026" s="20"/>
      <c r="Q2026" s="20"/>
      <c r="R2026" s="20">
        <v>0.59</v>
      </c>
      <c r="S2026" s="20">
        <v>0.35</v>
      </c>
      <c r="T2026" s="20">
        <v>6.0000000000000053E-2</v>
      </c>
    </row>
    <row r="2027" spans="13:20" x14ac:dyDescent="0.2">
      <c r="M2027" s="20">
        <v>1.3806985054193307E-2</v>
      </c>
      <c r="N2027" s="20">
        <v>1.220450765839722E-3</v>
      </c>
      <c r="O2027" s="20">
        <v>8.8393719631720769E-2</v>
      </c>
      <c r="P2027" s="20"/>
      <c r="Q2027" s="20">
        <v>0.56000000000000005</v>
      </c>
      <c r="R2027" s="20">
        <v>0.44000000000000006</v>
      </c>
      <c r="S2027" s="20"/>
      <c r="T2027" s="20"/>
    </row>
    <row r="2028" spans="13:20" x14ac:dyDescent="0.2">
      <c r="M2028" s="20">
        <v>1.0293138345401876E-2</v>
      </c>
      <c r="N2028" s="20">
        <v>1.0536414196930565E-3</v>
      </c>
      <c r="O2028" s="20">
        <v>0.1023634759717124</v>
      </c>
      <c r="P2028" s="20"/>
      <c r="Q2028" s="20"/>
      <c r="R2028" s="20">
        <v>0.85</v>
      </c>
      <c r="S2028" s="20">
        <v>0.15000000000000013</v>
      </c>
      <c r="T2028" s="20"/>
    </row>
    <row r="2029" spans="13:20" x14ac:dyDescent="0.2">
      <c r="M2029" s="20">
        <v>1.2708863800604613E-2</v>
      </c>
      <c r="N2029" s="20">
        <v>2.0284257428009453E-3</v>
      </c>
      <c r="O2029" s="20">
        <v>0.15960716666933236</v>
      </c>
      <c r="P2029" s="20">
        <v>0.52</v>
      </c>
      <c r="Q2029" s="20">
        <v>0.21999999999999997</v>
      </c>
      <c r="R2029" s="20"/>
      <c r="S2029" s="20"/>
      <c r="T2029" s="20">
        <v>0.26</v>
      </c>
    </row>
    <row r="2030" spans="13:20" x14ac:dyDescent="0.2">
      <c r="M2030" s="20">
        <v>1.1134973829989556E-2</v>
      </c>
      <c r="N2030" s="20">
        <v>1.5086408245297968E-3</v>
      </c>
      <c r="O2030" s="20">
        <v>0.13548669692124563</v>
      </c>
      <c r="P2030" s="20">
        <v>0.17</v>
      </c>
      <c r="Q2030" s="20">
        <v>8.0000000000000071E-2</v>
      </c>
      <c r="R2030" s="20">
        <v>0.19</v>
      </c>
      <c r="S2030" s="20">
        <v>0.11</v>
      </c>
      <c r="T2030" s="20">
        <v>0.45</v>
      </c>
    </row>
    <row r="2031" spans="13:20" x14ac:dyDescent="0.2">
      <c r="M2031" s="20">
        <v>1.0154326017134094E-2</v>
      </c>
      <c r="N2031" s="20">
        <v>1.0349627862320568E-3</v>
      </c>
      <c r="O2031" s="20">
        <v>0.10192333636774049</v>
      </c>
      <c r="P2031" s="20"/>
      <c r="Q2031" s="20"/>
      <c r="R2031" s="20">
        <v>0.82</v>
      </c>
      <c r="S2031" s="20">
        <v>0.18000000000000016</v>
      </c>
      <c r="T2031" s="20"/>
    </row>
    <row r="2032" spans="13:20" x14ac:dyDescent="0.2">
      <c r="M2032" s="20">
        <v>1.1204808091547395E-2</v>
      </c>
      <c r="N2032" s="20">
        <v>1.1094114373156687E-3</v>
      </c>
      <c r="O2032" s="20">
        <v>9.9012087333524151E-2</v>
      </c>
      <c r="P2032" s="20"/>
      <c r="Q2032" s="20"/>
      <c r="R2032" s="20"/>
      <c r="S2032" s="20">
        <v>0.42</v>
      </c>
      <c r="T2032" s="20">
        <v>0.58000000000000007</v>
      </c>
    </row>
    <row r="2033" spans="13:20" x14ac:dyDescent="0.2">
      <c r="M2033" s="20">
        <v>9.2347566355688165E-3</v>
      </c>
      <c r="N2033" s="20">
        <v>1.0420227745631919E-3</v>
      </c>
      <c r="O2033" s="20">
        <v>0.11283705848291782</v>
      </c>
      <c r="P2033" s="20">
        <v>0.08</v>
      </c>
      <c r="Q2033" s="20">
        <v>0.31</v>
      </c>
      <c r="R2033" s="20">
        <v>0.15</v>
      </c>
      <c r="S2033" s="20">
        <v>0.04</v>
      </c>
      <c r="T2033" s="20">
        <v>0.16</v>
      </c>
    </row>
    <row r="2034" spans="13:20" x14ac:dyDescent="0.2">
      <c r="M2034" s="20">
        <v>1.1314243361346843E-2</v>
      </c>
      <c r="N2034" s="20">
        <v>1.1067193772338827E-3</v>
      </c>
      <c r="O2034" s="20">
        <v>9.7816472731601128E-2</v>
      </c>
      <c r="P2034" s="20">
        <v>0.09</v>
      </c>
      <c r="Q2034" s="20">
        <v>0.28000000000000003</v>
      </c>
      <c r="R2034" s="20">
        <v>0.19999999999999996</v>
      </c>
      <c r="S2034" s="20">
        <v>0.37</v>
      </c>
      <c r="T2034" s="20">
        <v>0.06</v>
      </c>
    </row>
    <row r="2035" spans="13:20" x14ac:dyDescent="0.2">
      <c r="M2035" s="20">
        <v>1.2850982533966864E-2</v>
      </c>
      <c r="N2035" s="20">
        <v>1.7823658136024213E-3</v>
      </c>
      <c r="O2035" s="20">
        <v>0.13869490592578351</v>
      </c>
      <c r="P2035" s="20">
        <v>0.3</v>
      </c>
      <c r="Q2035" s="20">
        <v>0.26999999999999991</v>
      </c>
      <c r="R2035" s="20"/>
      <c r="S2035" s="20"/>
      <c r="T2035" s="20">
        <v>0.43</v>
      </c>
    </row>
    <row r="2036" spans="13:20" x14ac:dyDescent="0.2">
      <c r="M2036" s="20">
        <v>1.0957366075622027E-2</v>
      </c>
      <c r="N2036" s="20">
        <v>1.8088987447871295E-3</v>
      </c>
      <c r="O2036" s="20">
        <v>0.16508517944030104</v>
      </c>
      <c r="P2036" s="20">
        <v>0.56000000000000005</v>
      </c>
      <c r="Q2036" s="20"/>
      <c r="R2036" s="20">
        <v>0.04</v>
      </c>
      <c r="S2036" s="20">
        <v>0.3</v>
      </c>
      <c r="T2036" s="20">
        <v>0.1</v>
      </c>
    </row>
    <row r="2037" spans="13:20" x14ac:dyDescent="0.2">
      <c r="M2037" s="20">
        <v>1.5255066422544934E-2</v>
      </c>
      <c r="N2037" s="20">
        <v>1.6496882247577296E-3</v>
      </c>
      <c r="O2037" s="20">
        <v>0.10814035016718855</v>
      </c>
      <c r="P2037" s="20">
        <v>0.10999999999999999</v>
      </c>
      <c r="Q2037" s="20"/>
      <c r="R2037" s="20"/>
      <c r="S2037" s="20"/>
      <c r="T2037" s="20">
        <v>0.89</v>
      </c>
    </row>
    <row r="2038" spans="13:20" x14ac:dyDescent="0.2">
      <c r="M2038" s="20">
        <v>1.1671651481763246E-2</v>
      </c>
      <c r="N2038" s="20">
        <v>5.6475815891997251E-4</v>
      </c>
      <c r="O2038" s="20">
        <v>4.8387167814460307E-2</v>
      </c>
      <c r="P2038" s="20"/>
      <c r="Q2038" s="20"/>
      <c r="R2038" s="20"/>
      <c r="S2038" s="20">
        <v>0.96</v>
      </c>
      <c r="T2038" s="20">
        <v>4.0000000000000036E-2</v>
      </c>
    </row>
    <row r="2039" spans="13:20" x14ac:dyDescent="0.2">
      <c r="M2039" s="20">
        <v>1.5072756399316824E-2</v>
      </c>
      <c r="N2039" s="20">
        <v>1.2361828041629363E-3</v>
      </c>
      <c r="O2039" s="20">
        <v>8.2014382201451005E-2</v>
      </c>
      <c r="P2039" s="20"/>
      <c r="Q2039" s="20">
        <v>0.68</v>
      </c>
      <c r="R2039" s="20">
        <v>0.31999999999999995</v>
      </c>
      <c r="S2039" s="20"/>
      <c r="T2039" s="20"/>
    </row>
    <row r="2040" spans="13:20" x14ac:dyDescent="0.2">
      <c r="M2040" s="20">
        <v>1.320033963082907E-2</v>
      </c>
      <c r="N2040" s="20">
        <v>1.9996609374939543E-3</v>
      </c>
      <c r="O2040" s="20">
        <v>0.15148556729735918</v>
      </c>
      <c r="P2040" s="20">
        <v>0.43999999999999995</v>
      </c>
      <c r="Q2040" s="20"/>
      <c r="R2040" s="20"/>
      <c r="S2040" s="20"/>
      <c r="T2040" s="20">
        <v>0.56000000000000005</v>
      </c>
    </row>
    <row r="2041" spans="13:20" x14ac:dyDescent="0.2">
      <c r="M2041" s="20">
        <v>1.6301105982438266E-2</v>
      </c>
      <c r="N2041" s="20">
        <v>1.5330306538456546E-3</v>
      </c>
      <c r="O2041" s="20">
        <v>9.4044579275617268E-2</v>
      </c>
      <c r="P2041" s="20">
        <v>0</v>
      </c>
      <c r="Q2041" s="20"/>
      <c r="R2041" s="20"/>
      <c r="S2041" s="20"/>
      <c r="T2041" s="20">
        <v>1</v>
      </c>
    </row>
    <row r="2042" spans="13:20" x14ac:dyDescent="0.2">
      <c r="M2042" s="20">
        <v>9.9266447412409628E-3</v>
      </c>
      <c r="N2042" s="20">
        <v>1.1501404364049565E-3</v>
      </c>
      <c r="O2042" s="20">
        <v>0.11586396676679835</v>
      </c>
      <c r="P2042" s="20"/>
      <c r="Q2042" s="20"/>
      <c r="R2042" s="20">
        <v>0.6</v>
      </c>
      <c r="S2042" s="20">
        <v>0.15</v>
      </c>
      <c r="T2042" s="20">
        <v>0.25</v>
      </c>
    </row>
    <row r="2043" spans="13:20" x14ac:dyDescent="0.2">
      <c r="M2043" s="20">
        <v>1.7103671905773409E-2</v>
      </c>
      <c r="N2043" s="20">
        <v>1.2584698584541571E-3</v>
      </c>
      <c r="O2043" s="20">
        <v>7.3578928863184984E-2</v>
      </c>
      <c r="P2043" s="20"/>
      <c r="Q2043" s="20">
        <v>0.85</v>
      </c>
      <c r="R2043" s="20">
        <v>0.15000000000000013</v>
      </c>
      <c r="S2043" s="20"/>
      <c r="T2043" s="20"/>
    </row>
    <row r="2044" spans="13:20" x14ac:dyDescent="0.2">
      <c r="M2044" s="20">
        <v>1.4111664700453741E-2</v>
      </c>
      <c r="N2044" s="20">
        <v>2.448857922637911E-3</v>
      </c>
      <c r="O2044" s="20">
        <v>0.17353430474855114</v>
      </c>
      <c r="P2044" s="20">
        <v>0.89</v>
      </c>
      <c r="Q2044" s="20">
        <v>0.10999999999999988</v>
      </c>
      <c r="R2044" s="20"/>
      <c r="S2044" s="20"/>
      <c r="T2044" s="20"/>
    </row>
    <row r="2045" spans="13:20" x14ac:dyDescent="0.2">
      <c r="M2045" s="20">
        <v>1.3913296519489133E-2</v>
      </c>
      <c r="N2045" s="20">
        <v>2.356778584278831E-3</v>
      </c>
      <c r="O2045" s="20">
        <v>0.16939037998489859</v>
      </c>
      <c r="P2045" s="20">
        <v>0.82</v>
      </c>
      <c r="Q2045" s="20">
        <v>0.18000000000000005</v>
      </c>
      <c r="R2045" s="20"/>
      <c r="S2045" s="20"/>
      <c r="T2045" s="20"/>
    </row>
    <row r="2046" spans="13:20" x14ac:dyDescent="0.2">
      <c r="M2046" s="20">
        <v>1.4123718142303428E-2</v>
      </c>
      <c r="N2046" s="20">
        <v>2.0279238044249724E-3</v>
      </c>
      <c r="O2046" s="20">
        <v>0.14358285714800026</v>
      </c>
      <c r="P2046" s="20">
        <v>0.56999999999999995</v>
      </c>
      <c r="Q2046" s="20">
        <v>0.43000000000000016</v>
      </c>
      <c r="R2046" s="20"/>
      <c r="S2046" s="20"/>
      <c r="T2046" s="20"/>
    </row>
    <row r="2047" spans="13:20" x14ac:dyDescent="0.2">
      <c r="M2047" s="20">
        <v>1.4486757263997844E-2</v>
      </c>
      <c r="N2047" s="20">
        <v>1.9226902748717377E-3</v>
      </c>
      <c r="O2047" s="20">
        <v>0.13272054192900459</v>
      </c>
      <c r="P2047" s="20">
        <v>0.49</v>
      </c>
      <c r="Q2047" s="20">
        <v>0.51000000000000012</v>
      </c>
      <c r="R2047" s="20"/>
      <c r="S2047" s="20"/>
      <c r="T2047" s="20"/>
    </row>
    <row r="2048" spans="13:20" x14ac:dyDescent="0.2">
      <c r="M2048" s="20">
        <v>1.4608462456178039E-2</v>
      </c>
      <c r="N2048" s="20">
        <v>1.7032334552512646E-3</v>
      </c>
      <c r="O2048" s="20">
        <v>0.11659224647087711</v>
      </c>
      <c r="P2048" s="20">
        <v>0.17000000000000015</v>
      </c>
      <c r="Q2048" s="20"/>
      <c r="R2048" s="20"/>
      <c r="S2048" s="20">
        <v>0.01</v>
      </c>
      <c r="T2048" s="20">
        <v>0.82</v>
      </c>
    </row>
    <row r="2049" spans="13:20" x14ac:dyDescent="0.2">
      <c r="M2049" s="20">
        <v>1.4111664700453743E-2</v>
      </c>
      <c r="N2049" s="20">
        <v>2.4488579226379114E-3</v>
      </c>
      <c r="O2049" s="20">
        <v>0.17353430474855114</v>
      </c>
      <c r="P2049" s="20">
        <v>0.89</v>
      </c>
      <c r="Q2049" s="20">
        <v>0.1100000000000001</v>
      </c>
      <c r="R2049" s="20"/>
      <c r="S2049" s="20"/>
      <c r="T2049" s="20"/>
    </row>
    <row r="2050" spans="13:20" x14ac:dyDescent="0.2">
      <c r="M2050" s="20">
        <v>1.1946223398719471E-2</v>
      </c>
      <c r="N2050" s="20">
        <v>1.190297692386894E-3</v>
      </c>
      <c r="O2050" s="20">
        <v>9.9637990405778212E-2</v>
      </c>
      <c r="P2050" s="20"/>
      <c r="Q2050" s="20">
        <v>0.33</v>
      </c>
      <c r="R2050" s="20">
        <v>0.66999999999999993</v>
      </c>
      <c r="S2050" s="20"/>
      <c r="T2050" s="20"/>
    </row>
    <row r="2051" spans="13:20" x14ac:dyDescent="0.2">
      <c r="M2051" s="20">
        <v>1.1853105527408076E-2</v>
      </c>
      <c r="N2051" s="20">
        <v>1.7972624290658E-3</v>
      </c>
      <c r="O2051" s="20">
        <v>0.15162797841544298</v>
      </c>
      <c r="P2051" s="20">
        <v>0.38</v>
      </c>
      <c r="Q2051" s="20">
        <v>2.9999999999999916E-2</v>
      </c>
      <c r="R2051" s="20"/>
      <c r="S2051" s="20">
        <v>0.13</v>
      </c>
      <c r="T2051" s="20">
        <v>0.46</v>
      </c>
    </row>
    <row r="2052" spans="13:20" x14ac:dyDescent="0.2">
      <c r="M2052" s="20">
        <v>1.8263847217394928E-2</v>
      </c>
      <c r="N2052" s="20">
        <v>1.2702688871965677E-3</v>
      </c>
      <c r="O2052" s="20">
        <v>6.9551002703676423E-2</v>
      </c>
      <c r="P2052" s="20"/>
      <c r="Q2052" s="20">
        <v>0.94</v>
      </c>
      <c r="R2052" s="20">
        <v>6.0000000000000164E-2</v>
      </c>
      <c r="S2052" s="20"/>
      <c r="T2052" s="20"/>
    </row>
    <row r="2053" spans="13:20" x14ac:dyDescent="0.2">
      <c r="M2053" s="20">
        <v>1.2062853811856041E-2</v>
      </c>
      <c r="N2053" s="20">
        <v>1.3522336723086629E-3</v>
      </c>
      <c r="O2053" s="20">
        <v>0.1120989853147033</v>
      </c>
      <c r="P2053" s="20"/>
      <c r="Q2053" s="20"/>
      <c r="R2053" s="20">
        <v>0.39</v>
      </c>
      <c r="S2053" s="20">
        <v>0.03</v>
      </c>
      <c r="T2053" s="20">
        <v>0.57999999999999996</v>
      </c>
    </row>
    <row r="2054" spans="13:20" x14ac:dyDescent="0.2">
      <c r="M2054" s="20">
        <v>9.6092764874167649E-3</v>
      </c>
      <c r="N2054" s="20">
        <v>1.0949770763238628E-3</v>
      </c>
      <c r="O2054" s="20">
        <v>0.11395000214196381</v>
      </c>
      <c r="P2054" s="20"/>
      <c r="Q2054" s="20"/>
      <c r="R2054" s="20">
        <v>0.56000000000000005</v>
      </c>
      <c r="S2054" s="20">
        <v>0.22</v>
      </c>
      <c r="T2054" s="20">
        <v>0.21999999999999986</v>
      </c>
    </row>
    <row r="2055" spans="13:20" x14ac:dyDescent="0.2">
      <c r="M2055" s="20">
        <v>1.3902640725373948E-2</v>
      </c>
      <c r="N2055" s="20">
        <v>1.8405824317047617E-3</v>
      </c>
      <c r="O2055" s="20">
        <v>0.13239085063497921</v>
      </c>
      <c r="P2055" s="20">
        <v>0.29000000000000015</v>
      </c>
      <c r="Q2055" s="20"/>
      <c r="R2055" s="20"/>
      <c r="S2055" s="20"/>
      <c r="T2055" s="20">
        <v>0.71</v>
      </c>
    </row>
    <row r="2056" spans="13:20" x14ac:dyDescent="0.2">
      <c r="M2056" s="20">
        <v>9.3871312952509035E-3</v>
      </c>
      <c r="N2056" s="20">
        <v>9.6484781197824659E-4</v>
      </c>
      <c r="O2056" s="20">
        <v>0.10278409682693777</v>
      </c>
      <c r="P2056" s="20"/>
      <c r="Q2056" s="20"/>
      <c r="R2056" s="20">
        <v>0.27</v>
      </c>
      <c r="S2056" s="20">
        <v>0.46</v>
      </c>
      <c r="T2056" s="20">
        <v>0.27</v>
      </c>
    </row>
    <row r="2057" spans="13:20" x14ac:dyDescent="0.2">
      <c r="M2057" s="20">
        <v>1.2622832054285287E-2</v>
      </c>
      <c r="N2057" s="20">
        <v>1.5238685622827909E-3</v>
      </c>
      <c r="O2057" s="20">
        <v>0.12072319078074537</v>
      </c>
      <c r="P2057" s="20">
        <v>0.1</v>
      </c>
      <c r="Q2057" s="20">
        <v>0.24</v>
      </c>
      <c r="R2057" s="20">
        <v>0.14000000000000001</v>
      </c>
      <c r="S2057" s="20"/>
      <c r="T2057" s="20">
        <v>0.52</v>
      </c>
    </row>
    <row r="2058" spans="13:20" x14ac:dyDescent="0.2">
      <c r="M2058" s="20">
        <v>1.2519744047863164E-2</v>
      </c>
      <c r="N2058" s="20">
        <v>1.304664085037195E-3</v>
      </c>
      <c r="O2058" s="20">
        <v>0.10420852695146525</v>
      </c>
      <c r="P2058" s="20">
        <v>7.0000000000000007E-2</v>
      </c>
      <c r="Q2058" s="20">
        <v>0.43</v>
      </c>
      <c r="R2058" s="20">
        <v>0.5</v>
      </c>
      <c r="S2058" s="20">
        <v>0</v>
      </c>
      <c r="T2058" s="20"/>
    </row>
    <row r="2059" spans="13:20" x14ac:dyDescent="0.2">
      <c r="M2059" s="20">
        <v>1.0925095581246791E-2</v>
      </c>
      <c r="N2059" s="20">
        <v>1.5316381696599095E-3</v>
      </c>
      <c r="O2059" s="20">
        <v>0.14019448692870073</v>
      </c>
      <c r="P2059" s="20">
        <v>0.16</v>
      </c>
      <c r="Q2059" s="20">
        <v>0.02</v>
      </c>
      <c r="R2059" s="20">
        <v>0.42999999999999994</v>
      </c>
      <c r="S2059" s="20"/>
      <c r="T2059" s="20">
        <v>0.39</v>
      </c>
    </row>
    <row r="2060" spans="13:20" x14ac:dyDescent="0.2">
      <c r="M2060" s="20">
        <v>9.8860185038424503E-3</v>
      </c>
      <c r="N2060" s="20">
        <v>7.5478328431706357E-4</v>
      </c>
      <c r="O2060" s="20">
        <v>7.6348560750083366E-2</v>
      </c>
      <c r="P2060" s="20"/>
      <c r="Q2060" s="20"/>
      <c r="R2060" s="20">
        <v>0.37</v>
      </c>
      <c r="S2060" s="20">
        <v>0.62999999999999989</v>
      </c>
      <c r="T2060" s="20"/>
    </row>
    <row r="2061" spans="13:20" x14ac:dyDescent="0.2">
      <c r="M2061" s="20">
        <v>9.9199829762252525E-3</v>
      </c>
      <c r="N2061" s="20">
        <v>7.4855707316339695E-4</v>
      </c>
      <c r="O2061" s="20">
        <v>7.5459511871888069E-2</v>
      </c>
      <c r="P2061" s="20"/>
      <c r="Q2061" s="20"/>
      <c r="R2061" s="20">
        <v>0.36</v>
      </c>
      <c r="S2061" s="20">
        <v>0.6399999999999999</v>
      </c>
      <c r="T2061" s="20"/>
    </row>
    <row r="2062" spans="13:20" x14ac:dyDescent="0.2">
      <c r="M2062" s="20">
        <v>1.4741319428931792E-2</v>
      </c>
      <c r="N2062" s="20">
        <v>1.2322497945821327E-3</v>
      </c>
      <c r="O2062" s="20">
        <v>8.3591553695232954E-2</v>
      </c>
      <c r="P2062" s="20"/>
      <c r="Q2062" s="20">
        <v>0.65</v>
      </c>
      <c r="R2062" s="20">
        <v>0.35</v>
      </c>
      <c r="S2062" s="20"/>
      <c r="T2062" s="20"/>
    </row>
    <row r="2063" spans="13:20" x14ac:dyDescent="0.2">
      <c r="M2063" s="20">
        <v>1.476536687159734E-2</v>
      </c>
      <c r="N2063" s="20">
        <v>1.4058321272351992E-3</v>
      </c>
      <c r="O2063" s="20">
        <v>9.5211459319677186E-2</v>
      </c>
      <c r="P2063" s="20">
        <v>0.12</v>
      </c>
      <c r="Q2063" s="20">
        <v>0.65</v>
      </c>
      <c r="R2063" s="20">
        <v>0.23000000000000009</v>
      </c>
      <c r="S2063" s="20"/>
      <c r="T2063" s="20"/>
    </row>
    <row r="2064" spans="13:20" x14ac:dyDescent="0.2">
      <c r="M2064" s="20">
        <v>1.1676621788385912E-2</v>
      </c>
      <c r="N2064" s="20">
        <v>5.5554452739973493E-4</v>
      </c>
      <c r="O2064" s="20">
        <v>4.7577504647132118E-2</v>
      </c>
      <c r="P2064" s="20"/>
      <c r="Q2064" s="20"/>
      <c r="R2064" s="20">
        <v>0.05</v>
      </c>
      <c r="S2064" s="20">
        <v>0.95</v>
      </c>
      <c r="T2064" s="20"/>
    </row>
    <row r="2065" spans="13:20" x14ac:dyDescent="0.2">
      <c r="M2065" s="20">
        <v>1.3669625864542198E-2</v>
      </c>
      <c r="N2065" s="20">
        <v>2.0358339828447218E-3</v>
      </c>
      <c r="O2065" s="20">
        <v>0.14893121457884925</v>
      </c>
      <c r="P2065" s="20">
        <v>0.57999999999999996</v>
      </c>
      <c r="Q2065" s="20">
        <v>0.38</v>
      </c>
      <c r="R2065" s="20">
        <v>3.9999999999999925E-2</v>
      </c>
      <c r="S2065" s="20"/>
      <c r="T2065" s="20"/>
    </row>
    <row r="2066" spans="13:20" x14ac:dyDescent="0.2">
      <c r="M2066" s="20">
        <v>1.070812405201544E-2</v>
      </c>
      <c r="N2066" s="20">
        <v>1.2669327574134507E-3</v>
      </c>
      <c r="O2066" s="20">
        <v>0.11831509900886827</v>
      </c>
      <c r="P2066" s="20">
        <v>0.12</v>
      </c>
      <c r="Q2066" s="20"/>
      <c r="R2066" s="20"/>
      <c r="S2066" s="20">
        <v>0.39</v>
      </c>
      <c r="T2066" s="20">
        <v>0.49</v>
      </c>
    </row>
    <row r="2067" spans="13:20" x14ac:dyDescent="0.2">
      <c r="M2067" s="20">
        <v>1.3088010981072573E-2</v>
      </c>
      <c r="N2067" s="20">
        <v>2.0420818723710724E-3</v>
      </c>
      <c r="O2067" s="20">
        <v>0.15602690701621968</v>
      </c>
      <c r="P2067" s="20">
        <v>0.48</v>
      </c>
      <c r="Q2067" s="20"/>
      <c r="R2067" s="20"/>
      <c r="S2067" s="20"/>
      <c r="T2067" s="20">
        <v>0.52</v>
      </c>
    </row>
    <row r="2068" spans="13:20" x14ac:dyDescent="0.2">
      <c r="M2068" s="20">
        <v>1.4188266558946016E-2</v>
      </c>
      <c r="N2068" s="20">
        <v>2.47516630502622E-3</v>
      </c>
      <c r="O2068" s="20">
        <v>0.1744516354230442</v>
      </c>
      <c r="P2068" s="20">
        <v>0.91</v>
      </c>
      <c r="Q2068" s="20">
        <v>9.000000000000008E-2</v>
      </c>
      <c r="R2068" s="20"/>
      <c r="S2068" s="20"/>
      <c r="T2068" s="20"/>
    </row>
    <row r="2069" spans="13:20" x14ac:dyDescent="0.2">
      <c r="M2069" s="20">
        <v>1.0510567262662817E-2</v>
      </c>
      <c r="N2069" s="20">
        <v>6.7060374853230339E-4</v>
      </c>
      <c r="O2069" s="20">
        <v>6.3802812138838663E-2</v>
      </c>
      <c r="P2069" s="20"/>
      <c r="Q2069" s="20"/>
      <c r="R2069" s="20">
        <v>0.17</v>
      </c>
      <c r="S2069" s="20">
        <v>0.79</v>
      </c>
      <c r="T2069" s="20">
        <v>4.0000000000000036E-2</v>
      </c>
    </row>
    <row r="2070" spans="13:20" x14ac:dyDescent="0.2">
      <c r="M2070" s="20">
        <v>1.441711545283081E-2</v>
      </c>
      <c r="N2070" s="20">
        <v>2.5409372609969914E-3</v>
      </c>
      <c r="O2070" s="20">
        <v>0.17624449698764649</v>
      </c>
      <c r="P2070" s="20">
        <v>0.96</v>
      </c>
      <c r="Q2070" s="20">
        <v>3.9999999999999925E-2</v>
      </c>
      <c r="R2070" s="20"/>
      <c r="S2070" s="20"/>
      <c r="T2070" s="20"/>
    </row>
    <row r="2071" spans="13:20" x14ac:dyDescent="0.2">
      <c r="M2071" s="20">
        <v>1.0910386607229009E-2</v>
      </c>
      <c r="N2071" s="20">
        <v>1.8820933351282425E-3</v>
      </c>
      <c r="O2071" s="20">
        <v>0.17250473359772642</v>
      </c>
      <c r="P2071" s="20">
        <v>0.5</v>
      </c>
      <c r="Q2071" s="20">
        <v>0.09</v>
      </c>
      <c r="R2071" s="20">
        <v>0.41000000000000014</v>
      </c>
      <c r="S2071" s="20"/>
      <c r="T2071" s="20"/>
    </row>
    <row r="2072" spans="13:20" x14ac:dyDescent="0.2">
      <c r="M2072" s="20">
        <v>1.7871638832514841E-2</v>
      </c>
      <c r="N2072" s="20">
        <v>1.2663358776157641E-3</v>
      </c>
      <c r="O2072" s="20">
        <v>7.0857288997573667E-2</v>
      </c>
      <c r="P2072" s="20"/>
      <c r="Q2072" s="20">
        <v>0.91</v>
      </c>
      <c r="R2072" s="20">
        <v>8.9999999999999858E-2</v>
      </c>
      <c r="S2072" s="20"/>
      <c r="T2072" s="20"/>
    </row>
    <row r="2073" spans="13:20" x14ac:dyDescent="0.2">
      <c r="M2073" s="20">
        <v>1.3194738899190291E-2</v>
      </c>
      <c r="N2073" s="20">
        <v>2.3233252678418709E-3</v>
      </c>
      <c r="O2073" s="20">
        <v>0.17607966975264999</v>
      </c>
      <c r="P2073" s="20">
        <v>0.75</v>
      </c>
      <c r="Q2073" s="20">
        <v>2.0000000000000018E-2</v>
      </c>
      <c r="R2073" s="20"/>
      <c r="S2073" s="20"/>
      <c r="T2073" s="20">
        <v>0.23</v>
      </c>
    </row>
    <row r="2074" spans="13:20" x14ac:dyDescent="0.2">
      <c r="M2074" s="20">
        <v>1.4027511296019176E-2</v>
      </c>
      <c r="N2074" s="20">
        <v>1.8193719642662022E-3</v>
      </c>
      <c r="O2074" s="20">
        <v>0.12970026727282097</v>
      </c>
      <c r="P2074" s="20">
        <v>0.27</v>
      </c>
      <c r="Q2074" s="20"/>
      <c r="R2074" s="20"/>
      <c r="S2074" s="20"/>
      <c r="T2074" s="20">
        <v>0.73</v>
      </c>
    </row>
    <row r="2075" spans="13:20" x14ac:dyDescent="0.2">
      <c r="M2075" s="20">
        <v>1.3770462700025417E-2</v>
      </c>
      <c r="N2075" s="20">
        <v>1.6067653515046383E-3</v>
      </c>
      <c r="O2075" s="20">
        <v>0.11668201617522066</v>
      </c>
      <c r="P2075" s="20">
        <v>0.12</v>
      </c>
      <c r="Q2075" s="20">
        <v>0.20999999999999985</v>
      </c>
      <c r="R2075" s="20"/>
      <c r="S2075" s="20"/>
      <c r="T2075" s="20">
        <v>0.67</v>
      </c>
    </row>
    <row r="2076" spans="13:20" x14ac:dyDescent="0.2">
      <c r="M2076" s="20">
        <v>1.3429607498338995E-2</v>
      </c>
      <c r="N2076" s="20">
        <v>1.9360295351782775E-3</v>
      </c>
      <c r="O2076" s="20">
        <v>0.14416128955501714</v>
      </c>
      <c r="P2076" s="20">
        <v>0.38000000000000012</v>
      </c>
      <c r="Q2076" s="20"/>
      <c r="R2076" s="20"/>
      <c r="S2076" s="20"/>
      <c r="T2076" s="20">
        <v>0.62</v>
      </c>
    </row>
    <row r="2077" spans="13:20" x14ac:dyDescent="0.2">
      <c r="M2077" s="20">
        <v>1.0864898757308375E-2</v>
      </c>
      <c r="N2077" s="20">
        <v>6.6561987714139771E-4</v>
      </c>
      <c r="O2077" s="20">
        <v>6.1263329922302531E-2</v>
      </c>
      <c r="P2077" s="20"/>
      <c r="Q2077" s="20"/>
      <c r="R2077" s="20"/>
      <c r="S2077" s="20">
        <v>0.86</v>
      </c>
      <c r="T2077" s="20">
        <v>0.14000000000000001</v>
      </c>
    </row>
    <row r="2078" spans="13:20" x14ac:dyDescent="0.2">
      <c r="M2078" s="20">
        <v>1.5644725188612919E-2</v>
      </c>
      <c r="N2078" s="20">
        <v>1.2427378201309424E-3</v>
      </c>
      <c r="O2078" s="20">
        <v>7.9434940860161257E-2</v>
      </c>
      <c r="P2078" s="20"/>
      <c r="Q2078" s="20">
        <v>0.73</v>
      </c>
      <c r="R2078" s="20">
        <v>0.27</v>
      </c>
      <c r="S2078" s="20"/>
      <c r="T2078" s="20"/>
    </row>
    <row r="2079" spans="13:20" x14ac:dyDescent="0.2">
      <c r="M2079" s="20">
        <v>1.148920964723065E-2</v>
      </c>
      <c r="N2079" s="20">
        <v>5.8493050256425735E-4</v>
      </c>
      <c r="O2079" s="20">
        <v>5.0911291596567619E-2</v>
      </c>
      <c r="P2079" s="20"/>
      <c r="Q2079" s="20"/>
      <c r="R2079" s="20"/>
      <c r="S2079" s="20">
        <v>0.94</v>
      </c>
      <c r="T2079" s="20">
        <v>5.9999999999999942E-2</v>
      </c>
    </row>
    <row r="2080" spans="13:20" x14ac:dyDescent="0.2">
      <c r="M2080" s="20">
        <v>1.1572125496125593E-2</v>
      </c>
      <c r="N2080" s="20">
        <v>6.5864807670207694E-4</v>
      </c>
      <c r="O2080" s="20">
        <v>5.6916776172414973E-2</v>
      </c>
      <c r="P2080" s="20">
        <v>5.9999999999999831E-2</v>
      </c>
      <c r="Q2080" s="20"/>
      <c r="R2080" s="20"/>
      <c r="S2080" s="20">
        <v>0.93</v>
      </c>
      <c r="T2080" s="20">
        <v>0.01</v>
      </c>
    </row>
    <row r="2081" spans="13:20" x14ac:dyDescent="0.2">
      <c r="M2081" s="20">
        <v>1.5167446413524818E-2</v>
      </c>
      <c r="N2081" s="20">
        <v>1.6602934584770091E-3</v>
      </c>
      <c r="O2081" s="20">
        <v>0.10946427059709436</v>
      </c>
      <c r="P2081" s="20">
        <v>0.12</v>
      </c>
      <c r="Q2081" s="20"/>
      <c r="R2081" s="20"/>
      <c r="S2081" s="20"/>
      <c r="T2081" s="20">
        <v>0.88</v>
      </c>
    </row>
    <row r="2082" spans="13:20" x14ac:dyDescent="0.2">
      <c r="M2082" s="20">
        <v>1.5298716201155593E-2</v>
      </c>
      <c r="N2082" s="20">
        <v>1.2388048105501385E-3</v>
      </c>
      <c r="O2082" s="20">
        <v>8.0974429112984331E-2</v>
      </c>
      <c r="P2082" s="20"/>
      <c r="Q2082" s="20">
        <v>0.7</v>
      </c>
      <c r="R2082" s="20">
        <v>0.29999999999999993</v>
      </c>
      <c r="S2082" s="20"/>
      <c r="T2082" s="20"/>
    </row>
    <row r="2083" spans="13:20" x14ac:dyDescent="0.2">
      <c r="M2083" s="20">
        <v>1.396711256181948E-2</v>
      </c>
      <c r="N2083" s="20">
        <v>2.0936947603957439E-3</v>
      </c>
      <c r="O2083" s="20">
        <v>0.14990176037666303</v>
      </c>
      <c r="P2083" s="20">
        <v>0.62</v>
      </c>
      <c r="Q2083" s="20">
        <v>0.37999999999999989</v>
      </c>
      <c r="R2083" s="20"/>
      <c r="S2083" s="20"/>
      <c r="T2083" s="20"/>
    </row>
    <row r="2084" spans="13:20" x14ac:dyDescent="0.2">
      <c r="M2084" s="20">
        <v>1.4302584555678087E-2</v>
      </c>
      <c r="N2084" s="20">
        <v>1.3918242483356594E-3</v>
      </c>
      <c r="O2084" s="20">
        <v>9.7312778883947168E-2</v>
      </c>
      <c r="P2084" s="20"/>
      <c r="Q2084" s="20"/>
      <c r="R2084" s="20"/>
      <c r="S2084" s="20">
        <v>0.14000000000000001</v>
      </c>
      <c r="T2084" s="20">
        <v>0.8600000000000001</v>
      </c>
    </row>
    <row r="2085" spans="13:20" x14ac:dyDescent="0.2">
      <c r="M2085" s="20">
        <v>1.3501322527238957E-2</v>
      </c>
      <c r="N2085" s="20">
        <v>2.402659818826577E-3</v>
      </c>
      <c r="O2085" s="20">
        <v>0.17795736780446536</v>
      </c>
      <c r="P2085" s="20">
        <v>0.82</v>
      </c>
      <c r="Q2085" s="20"/>
      <c r="R2085" s="20"/>
      <c r="S2085" s="20"/>
      <c r="T2085" s="20">
        <v>0.18</v>
      </c>
    </row>
    <row r="2086" spans="13:20" x14ac:dyDescent="0.2">
      <c r="M2086" s="20">
        <v>1.2947521129222744E-2</v>
      </c>
      <c r="N2086" s="20">
        <v>2.3002729691795521E-3</v>
      </c>
      <c r="O2086" s="20">
        <v>0.1776612639764536</v>
      </c>
      <c r="P2086" s="20">
        <v>0.79</v>
      </c>
      <c r="Q2086" s="20">
        <v>0.08</v>
      </c>
      <c r="R2086" s="20">
        <v>0.12999999999999989</v>
      </c>
      <c r="S2086" s="20"/>
      <c r="T2086" s="20"/>
    </row>
    <row r="2087" spans="13:20" x14ac:dyDescent="0.2">
      <c r="M2087" s="20">
        <v>9.4884400386773139E-3</v>
      </c>
      <c r="N2087" s="20">
        <v>8.3372757829039391E-4</v>
      </c>
      <c r="O2087" s="20">
        <v>8.7867718496602867E-2</v>
      </c>
      <c r="P2087" s="20"/>
      <c r="Q2087" s="20"/>
      <c r="R2087" s="20">
        <v>0.27</v>
      </c>
      <c r="S2087" s="20">
        <v>0.59</v>
      </c>
      <c r="T2087" s="20">
        <v>0.14000000000000012</v>
      </c>
    </row>
    <row r="2088" spans="13:20" x14ac:dyDescent="0.2">
      <c r="M2088" s="20">
        <v>1.2502492365468238E-2</v>
      </c>
      <c r="N2088" s="20">
        <v>2.2279469972407745E-3</v>
      </c>
      <c r="O2088" s="20">
        <v>0.17820022857157206</v>
      </c>
      <c r="P2088" s="20">
        <v>0.74</v>
      </c>
      <c r="Q2088" s="20">
        <v>0.08</v>
      </c>
      <c r="R2088" s="20">
        <v>0.18000000000000016</v>
      </c>
      <c r="S2088" s="20"/>
      <c r="T2088" s="20"/>
    </row>
    <row r="2089" spans="13:20" x14ac:dyDescent="0.2">
      <c r="M2089" s="20">
        <v>1.007993661046739E-2</v>
      </c>
      <c r="N2089" s="20">
        <v>1.3272257925697663E-3</v>
      </c>
      <c r="O2089" s="20">
        <v>0.13167005347945587</v>
      </c>
      <c r="P2089" s="20">
        <v>0.30999999999999983</v>
      </c>
      <c r="Q2089" s="20"/>
      <c r="R2089" s="20"/>
      <c r="S2089" s="20">
        <v>0.53</v>
      </c>
      <c r="T2089" s="20">
        <v>0.16</v>
      </c>
    </row>
    <row r="2090" spans="13:20" x14ac:dyDescent="0.2">
      <c r="M2090" s="20">
        <v>1.0365393041919023E-2</v>
      </c>
      <c r="N2090" s="20">
        <v>1.5411116484233081E-3</v>
      </c>
      <c r="O2090" s="20">
        <v>0.14867855393334806</v>
      </c>
      <c r="P2090" s="20">
        <v>0.35000000000000009</v>
      </c>
      <c r="Q2090" s="20"/>
      <c r="R2090" s="20"/>
      <c r="S2090" s="20">
        <v>0.36</v>
      </c>
      <c r="T2090" s="20">
        <v>0.28999999999999998</v>
      </c>
    </row>
    <row r="2091" spans="13:20" x14ac:dyDescent="0.2">
      <c r="M2091" s="20">
        <v>1.3984850690816111E-2</v>
      </c>
      <c r="N2091" s="20">
        <v>2.3962411578612943E-3</v>
      </c>
      <c r="O2091" s="20">
        <v>0.17134549455253836</v>
      </c>
      <c r="P2091" s="20">
        <v>0.85</v>
      </c>
      <c r="Q2091" s="20">
        <v>0.15000000000000013</v>
      </c>
      <c r="R2091" s="20"/>
      <c r="S2091" s="20"/>
      <c r="T2091" s="20"/>
    </row>
    <row r="2092" spans="13:20" x14ac:dyDescent="0.2">
      <c r="M2092" s="20">
        <v>1.2479136611515082E-2</v>
      </c>
      <c r="N2092" s="20">
        <v>1.0389042279403743E-3</v>
      </c>
      <c r="O2092" s="20">
        <v>8.3251290556570129E-2</v>
      </c>
      <c r="P2092" s="20"/>
      <c r="Q2092" s="20">
        <v>0.41</v>
      </c>
      <c r="R2092" s="20">
        <v>0.33</v>
      </c>
      <c r="S2092" s="20">
        <v>0.26</v>
      </c>
      <c r="T2092" s="20"/>
    </row>
    <row r="2093" spans="13:20" x14ac:dyDescent="0.2">
      <c r="M2093" s="20">
        <v>1.5120985748206335E-2</v>
      </c>
      <c r="N2093" s="20">
        <v>1.7911483629301944E-3</v>
      </c>
      <c r="O2093" s="20">
        <v>0.11845447067779043</v>
      </c>
      <c r="P2093" s="20">
        <v>0.39</v>
      </c>
      <c r="Q2093" s="20">
        <v>0.6100000000000001</v>
      </c>
      <c r="R2093" s="20"/>
      <c r="S2093" s="20"/>
      <c r="T2093" s="20"/>
    </row>
    <row r="2094" spans="13:20" x14ac:dyDescent="0.2">
      <c r="M2094" s="20">
        <v>1.2426623554274478E-2</v>
      </c>
      <c r="N2094" s="20">
        <v>2.1745352959737976E-3</v>
      </c>
      <c r="O2094" s="20">
        <v>0.17499003542485253</v>
      </c>
      <c r="P2094" s="20">
        <v>0.70000000000000007</v>
      </c>
      <c r="Q2094" s="20"/>
      <c r="R2094" s="20"/>
      <c r="S2094" s="20">
        <v>0.1</v>
      </c>
      <c r="T2094" s="20">
        <v>0.2</v>
      </c>
    </row>
    <row r="2095" spans="13:20" x14ac:dyDescent="0.2">
      <c r="M2095" s="20">
        <v>1.0755545310177562E-2</v>
      </c>
      <c r="N2095" s="20">
        <v>1.1337226114155473E-3</v>
      </c>
      <c r="O2095" s="20">
        <v>0.10540819444484593</v>
      </c>
      <c r="P2095" s="20"/>
      <c r="Q2095" s="20">
        <v>0.23</v>
      </c>
      <c r="R2095" s="20">
        <v>0.36</v>
      </c>
      <c r="S2095" s="20">
        <v>0.2</v>
      </c>
      <c r="T2095" s="20">
        <v>0.20999999999999985</v>
      </c>
    </row>
    <row r="2096" spans="13:20" x14ac:dyDescent="0.2">
      <c r="M2096" s="20">
        <v>1.2717055932910611E-2</v>
      </c>
      <c r="N2096" s="20">
        <v>2.1307009110595248E-3</v>
      </c>
      <c r="O2096" s="20">
        <v>0.16754671225007828</v>
      </c>
      <c r="P2096" s="20">
        <v>0.59</v>
      </c>
      <c r="Q2096" s="20">
        <v>0.1100000000000001</v>
      </c>
      <c r="R2096" s="20"/>
      <c r="S2096" s="20"/>
      <c r="T2096" s="20">
        <v>0.3</v>
      </c>
    </row>
    <row r="2097" spans="13:20" x14ac:dyDescent="0.2">
      <c r="M2097" s="20">
        <v>1.1081212417192716E-2</v>
      </c>
      <c r="N2097" s="20">
        <v>1.4945382183690935E-3</v>
      </c>
      <c r="O2097" s="20">
        <v>0.13487136263630217</v>
      </c>
      <c r="P2097" s="20">
        <v>0.22999999999999998</v>
      </c>
      <c r="Q2097" s="20"/>
      <c r="R2097" s="20"/>
      <c r="S2097" s="20">
        <v>0.28000000000000003</v>
      </c>
      <c r="T2097" s="20">
        <v>0.49</v>
      </c>
    </row>
    <row r="2098" spans="13:20" x14ac:dyDescent="0.2">
      <c r="M2098" s="20">
        <v>1.0311232922207449E-2</v>
      </c>
      <c r="N2098" s="20">
        <v>9.4803268816138824E-4</v>
      </c>
      <c r="O2098" s="20">
        <v>9.1941739199741745E-2</v>
      </c>
      <c r="P2098" s="20"/>
      <c r="Q2098" s="20"/>
      <c r="R2098" s="20"/>
      <c r="S2098" s="20">
        <v>0.57999999999999996</v>
      </c>
      <c r="T2098" s="20">
        <v>0.41999999999999993</v>
      </c>
    </row>
    <row r="2099" spans="13:20" x14ac:dyDescent="0.2">
      <c r="M2099" s="20">
        <v>1.4780066221291193E-2</v>
      </c>
      <c r="N2099" s="20">
        <v>1.856919318900966E-3</v>
      </c>
      <c r="O2099" s="20">
        <v>0.12563673877360643</v>
      </c>
      <c r="P2099" s="20">
        <v>0.44</v>
      </c>
      <c r="Q2099" s="20">
        <v>0.56000000000000005</v>
      </c>
      <c r="R2099" s="20"/>
      <c r="S2099" s="20"/>
      <c r="T2099" s="20"/>
    </row>
    <row r="2100" spans="13:20" x14ac:dyDescent="0.2">
      <c r="M2100" s="20">
        <v>1.3259280766055436E-2</v>
      </c>
      <c r="N2100" s="20">
        <v>1.645316582891348E-3</v>
      </c>
      <c r="O2100" s="20">
        <v>0.12408792090016363</v>
      </c>
      <c r="P2100" s="20">
        <v>0.19</v>
      </c>
      <c r="Q2100" s="20">
        <v>0.34999999999999987</v>
      </c>
      <c r="R2100" s="20"/>
      <c r="S2100" s="20"/>
      <c r="T2100" s="20">
        <v>0.46</v>
      </c>
    </row>
    <row r="2101" spans="13:20" x14ac:dyDescent="0.2">
      <c r="M2101" s="20">
        <v>1.0786415683433446E-2</v>
      </c>
      <c r="N2101" s="20">
        <v>1.8175521503221341E-3</v>
      </c>
      <c r="O2101" s="20">
        <v>0.1685038110587247</v>
      </c>
      <c r="P2101" s="20">
        <v>0.47</v>
      </c>
      <c r="Q2101" s="20"/>
      <c r="R2101" s="20">
        <v>0.11</v>
      </c>
      <c r="S2101" s="20">
        <v>0.17</v>
      </c>
      <c r="T2101" s="20">
        <v>0.25</v>
      </c>
    </row>
    <row r="2102" spans="13:20" x14ac:dyDescent="0.2">
      <c r="M2102" s="20">
        <v>9.2939660600660223E-3</v>
      </c>
      <c r="N2102" s="20">
        <v>9.7929668530991401E-4</v>
      </c>
      <c r="O2102" s="20">
        <v>0.10536908344411981</v>
      </c>
      <c r="P2102" s="20"/>
      <c r="Q2102" s="20"/>
      <c r="R2102" s="20">
        <v>0.52</v>
      </c>
      <c r="S2102" s="20">
        <v>0.35</v>
      </c>
      <c r="T2102" s="20">
        <v>0.12999999999999989</v>
      </c>
    </row>
    <row r="2103" spans="13:20" x14ac:dyDescent="0.2">
      <c r="M2103" s="20">
        <v>1.3900120420019859E-2</v>
      </c>
      <c r="N2103" s="20">
        <v>2.1331573339782072E-3</v>
      </c>
      <c r="O2103" s="20">
        <v>0.15346322690168174</v>
      </c>
      <c r="P2103" s="20">
        <v>0.65</v>
      </c>
      <c r="Q2103" s="20">
        <v>0.34999999999999987</v>
      </c>
      <c r="R2103" s="20"/>
      <c r="S2103" s="20"/>
      <c r="T2103" s="20"/>
    </row>
    <row r="2104" spans="13:20" x14ac:dyDescent="0.2">
      <c r="M2104" s="20">
        <v>1.4579219008078452E-2</v>
      </c>
      <c r="N2104" s="20">
        <v>2.5803998345794547E-3</v>
      </c>
      <c r="O2104" s="20">
        <v>0.17699163673648338</v>
      </c>
      <c r="P2104" s="20">
        <v>0.99</v>
      </c>
      <c r="Q2104" s="20">
        <v>1.0000000000000009E-2</v>
      </c>
      <c r="R2104" s="20"/>
      <c r="S2104" s="20"/>
      <c r="T2104" s="20"/>
    </row>
    <row r="2105" spans="13:20" x14ac:dyDescent="0.2">
      <c r="M2105" s="20">
        <v>1.1718519282438365E-2</v>
      </c>
      <c r="N2105" s="20">
        <v>1.1627708413850255E-3</v>
      </c>
      <c r="O2105" s="20">
        <v>9.9225065331212961E-2</v>
      </c>
      <c r="P2105" s="20"/>
      <c r="Q2105" s="20">
        <v>0.31</v>
      </c>
      <c r="R2105" s="20">
        <v>0.65</v>
      </c>
      <c r="S2105" s="20">
        <v>4.0000000000000036E-2</v>
      </c>
      <c r="T2105" s="20"/>
    </row>
    <row r="2106" spans="13:20" x14ac:dyDescent="0.2">
      <c r="M2106" s="20">
        <v>9.7586937938565592E-3</v>
      </c>
      <c r="N2106" s="20">
        <v>9.6942966022475416E-4</v>
      </c>
      <c r="O2106" s="20">
        <v>9.9340104393381437E-2</v>
      </c>
      <c r="P2106" s="20"/>
      <c r="Q2106" s="20">
        <v>0.09</v>
      </c>
      <c r="R2106" s="20">
        <v>0.46</v>
      </c>
      <c r="S2106" s="20">
        <v>0.36</v>
      </c>
      <c r="T2106" s="20">
        <v>8.9999999999999858E-2</v>
      </c>
    </row>
    <row r="2107" spans="13:20" x14ac:dyDescent="0.2">
      <c r="M2107" s="20">
        <v>1.0501689351200317E-2</v>
      </c>
      <c r="N2107" s="20">
        <v>6.6761632816573233E-4</v>
      </c>
      <c r="O2107" s="20">
        <v>6.3572279262805037E-2</v>
      </c>
      <c r="P2107" s="20"/>
      <c r="Q2107" s="20"/>
      <c r="R2107" s="20">
        <v>0.23</v>
      </c>
      <c r="S2107" s="20">
        <v>0.77</v>
      </c>
      <c r="T2107" s="20"/>
    </row>
    <row r="2108" spans="13:20" x14ac:dyDescent="0.2">
      <c r="M2108" s="20">
        <v>1.3182209850980601E-2</v>
      </c>
      <c r="N2108" s="20">
        <v>8.0689460724677224E-4</v>
      </c>
      <c r="O2108" s="20">
        <v>6.121087559433358E-2</v>
      </c>
      <c r="P2108" s="20"/>
      <c r="Q2108" s="20">
        <v>0.35</v>
      </c>
      <c r="R2108" s="20">
        <v>0.03</v>
      </c>
      <c r="S2108" s="20">
        <v>0.62</v>
      </c>
      <c r="T2108" s="20"/>
    </row>
    <row r="2109" spans="13:20" x14ac:dyDescent="0.2">
      <c r="M2109" s="20">
        <v>1.4670749734442235E-2</v>
      </c>
      <c r="N2109" s="20">
        <v>1.7239248607926864E-3</v>
      </c>
      <c r="O2109" s="20">
        <v>0.11750761835609952</v>
      </c>
      <c r="P2109" s="20">
        <v>0.18000000000000005</v>
      </c>
      <c r="Q2109" s="20"/>
      <c r="R2109" s="20"/>
      <c r="S2109" s="20"/>
      <c r="T2109" s="20">
        <v>0.82</v>
      </c>
    </row>
    <row r="2110" spans="13:20" x14ac:dyDescent="0.2">
      <c r="M2110" s="20">
        <v>1.1671651481763246E-2</v>
      </c>
      <c r="N2110" s="20">
        <v>5.6475815891997251E-4</v>
      </c>
      <c r="O2110" s="20">
        <v>4.8387167814460307E-2</v>
      </c>
      <c r="P2110" s="20"/>
      <c r="Q2110" s="20"/>
      <c r="R2110" s="20"/>
      <c r="S2110" s="20">
        <v>0.96</v>
      </c>
      <c r="T2110" s="20">
        <v>4.0000000000000036E-2</v>
      </c>
    </row>
    <row r="2111" spans="13:20" x14ac:dyDescent="0.2">
      <c r="M2111" s="20">
        <v>1.4961254683134249E-2</v>
      </c>
      <c r="N2111" s="20">
        <v>1.2348718009693349E-3</v>
      </c>
      <c r="O2111" s="20">
        <v>8.2537984087751676E-2</v>
      </c>
      <c r="P2111" s="20"/>
      <c r="Q2111" s="20">
        <v>0.67</v>
      </c>
      <c r="R2111" s="20">
        <v>0.32999999999999985</v>
      </c>
      <c r="S2111" s="20"/>
      <c r="T2111" s="20"/>
    </row>
    <row r="2112" spans="13:20" x14ac:dyDescent="0.2">
      <c r="M2112" s="20">
        <v>1.3025664141353184E-2</v>
      </c>
      <c r="N2112" s="20">
        <v>2.0738975735289109E-3</v>
      </c>
      <c r="O2112" s="20">
        <v>0.15921626344907908</v>
      </c>
      <c r="P2112" s="20">
        <v>0.5099999999999999</v>
      </c>
      <c r="Q2112" s="20"/>
      <c r="R2112" s="20"/>
      <c r="S2112" s="20"/>
      <c r="T2112" s="20">
        <v>0.49</v>
      </c>
    </row>
    <row r="2113" spans="13:20" x14ac:dyDescent="0.2">
      <c r="M2113" s="20">
        <v>1.1401739475669198E-2</v>
      </c>
      <c r="N2113" s="20">
        <v>5.9501667438640021E-4</v>
      </c>
      <c r="O2113" s="20">
        <v>5.2186482216695022E-2</v>
      </c>
      <c r="P2113" s="20"/>
      <c r="Q2113" s="20"/>
      <c r="R2113" s="20"/>
      <c r="S2113" s="20">
        <v>0.93</v>
      </c>
      <c r="T2113" s="20">
        <v>7.0000000000000062E-2</v>
      </c>
    </row>
    <row r="2114" spans="13:20" x14ac:dyDescent="0.2">
      <c r="M2114" s="20">
        <v>1.4289034563790739E-2</v>
      </c>
      <c r="N2114" s="20">
        <v>9.8745894676685836E-4</v>
      </c>
      <c r="O2114" s="20">
        <v>6.9106064679074805E-2</v>
      </c>
      <c r="P2114" s="20"/>
      <c r="Q2114" s="20">
        <v>0.54</v>
      </c>
      <c r="R2114" s="20">
        <v>0.09</v>
      </c>
      <c r="S2114" s="20">
        <v>0.37000000000000011</v>
      </c>
      <c r="T2114" s="20"/>
    </row>
    <row r="2115" spans="13:20" x14ac:dyDescent="0.2">
      <c r="M2115" s="20">
        <v>1.7103671905773409E-2</v>
      </c>
      <c r="N2115" s="20">
        <v>1.2584698584541571E-3</v>
      </c>
      <c r="O2115" s="20">
        <v>7.3578928863184984E-2</v>
      </c>
      <c r="P2115" s="20"/>
      <c r="Q2115" s="20">
        <v>0.85</v>
      </c>
      <c r="R2115" s="20">
        <v>0.15000000000000013</v>
      </c>
      <c r="S2115" s="20"/>
      <c r="T2115" s="20"/>
    </row>
    <row r="2116" spans="13:20" x14ac:dyDescent="0.2">
      <c r="M2116" s="20">
        <v>1.4076638263943288E-2</v>
      </c>
      <c r="N2116" s="20">
        <v>2.4357037314437571E-3</v>
      </c>
      <c r="O2116" s="20">
        <v>0.17303163481033032</v>
      </c>
      <c r="P2116" s="20">
        <v>0.88</v>
      </c>
      <c r="Q2116" s="20">
        <v>0.12000000000000011</v>
      </c>
      <c r="R2116" s="20"/>
      <c r="S2116" s="20"/>
      <c r="T2116" s="20"/>
    </row>
    <row r="2117" spans="13:20" x14ac:dyDescent="0.2">
      <c r="M2117" s="20">
        <v>1.3826620564832233E-2</v>
      </c>
      <c r="N2117" s="20">
        <v>2.2646992459197505E-3</v>
      </c>
      <c r="O2117" s="20">
        <v>0.16379268059759833</v>
      </c>
      <c r="P2117" s="20">
        <v>0.75</v>
      </c>
      <c r="Q2117" s="20">
        <v>0.25</v>
      </c>
      <c r="R2117" s="20"/>
      <c r="S2117" s="20"/>
      <c r="T2117" s="20"/>
    </row>
    <row r="2118" spans="13:20" x14ac:dyDescent="0.2">
      <c r="M2118" s="20">
        <v>1.3874442384911178E-2</v>
      </c>
      <c r="N2118" s="20">
        <v>1.9292894500978859E-3</v>
      </c>
      <c r="O2118" s="20">
        <v>0.13905347664249476</v>
      </c>
      <c r="P2118" s="20">
        <v>0.5</v>
      </c>
      <c r="Q2118" s="20">
        <v>0.45</v>
      </c>
      <c r="R2118" s="20">
        <v>5.0000000000000044E-2</v>
      </c>
      <c r="S2118" s="20"/>
      <c r="T2118" s="20"/>
    </row>
    <row r="2119" spans="13:20" x14ac:dyDescent="0.2">
      <c r="M2119" s="20">
        <v>1.1826169977914521E-2</v>
      </c>
      <c r="N2119" s="20">
        <v>5.758824545363891E-4</v>
      </c>
      <c r="O2119" s="20">
        <v>4.8695600994392504E-2</v>
      </c>
      <c r="P2119" s="20">
        <v>2.0000000000000018E-2</v>
      </c>
      <c r="Q2119" s="20"/>
      <c r="R2119" s="20"/>
      <c r="S2119" s="20">
        <v>0.97</v>
      </c>
      <c r="T2119" s="20">
        <v>0.01</v>
      </c>
    </row>
    <row r="2120" spans="13:20" x14ac:dyDescent="0.2">
      <c r="M2120" s="20">
        <v>1.6728668547775244E-2</v>
      </c>
      <c r="N2120" s="20">
        <v>1.2545368488733532E-3</v>
      </c>
      <c r="O2120" s="20">
        <v>7.4993227661277029E-2</v>
      </c>
      <c r="P2120" s="20"/>
      <c r="Q2120" s="20">
        <v>0.82</v>
      </c>
      <c r="R2120" s="20">
        <v>0.18000000000000005</v>
      </c>
      <c r="S2120" s="20"/>
      <c r="T2120" s="20"/>
    </row>
    <row r="2121" spans="13:20" x14ac:dyDescent="0.2">
      <c r="M2121" s="20">
        <v>1.0852678159299384E-2</v>
      </c>
      <c r="N2121" s="20">
        <v>1.5767057845385076E-3</v>
      </c>
      <c r="O2121" s="20">
        <v>0.14528264465186122</v>
      </c>
      <c r="P2121" s="20">
        <v>0.27</v>
      </c>
      <c r="Q2121" s="20">
        <v>0.21</v>
      </c>
      <c r="R2121" s="20">
        <v>0.4900000000000001</v>
      </c>
      <c r="S2121" s="20"/>
      <c r="T2121" s="20">
        <v>0.03</v>
      </c>
    </row>
    <row r="2122" spans="13:20" x14ac:dyDescent="0.2">
      <c r="M2122" s="20">
        <v>9.8969298569770853E-3</v>
      </c>
      <c r="N2122" s="20">
        <v>1.3459653699269142E-3</v>
      </c>
      <c r="O2122" s="20">
        <v>0.13599827313902227</v>
      </c>
      <c r="P2122" s="20">
        <v>0.21999999999999997</v>
      </c>
      <c r="Q2122" s="20"/>
      <c r="R2122" s="20">
        <v>7.0000000000000007E-2</v>
      </c>
      <c r="S2122" s="20">
        <v>0.39</v>
      </c>
      <c r="T2122" s="20">
        <v>0.32</v>
      </c>
    </row>
    <row r="2123" spans="13:20" x14ac:dyDescent="0.2">
      <c r="M2123" s="20">
        <v>1.4076638263943286E-2</v>
      </c>
      <c r="N2123" s="20">
        <v>2.4357037314437571E-3</v>
      </c>
      <c r="O2123" s="20">
        <v>0.17303163481033032</v>
      </c>
      <c r="P2123" s="20">
        <v>0.88</v>
      </c>
      <c r="Q2123" s="20">
        <v>0.12</v>
      </c>
      <c r="R2123" s="20"/>
      <c r="S2123" s="20"/>
      <c r="T2123" s="20"/>
    </row>
    <row r="2124" spans="13:20" x14ac:dyDescent="0.2">
      <c r="M2124" s="20">
        <v>1.2187304984168498E-2</v>
      </c>
      <c r="N2124" s="20">
        <v>1.3623198441308055E-3</v>
      </c>
      <c r="O2124" s="20">
        <v>0.11178187843009431</v>
      </c>
      <c r="P2124" s="20"/>
      <c r="Q2124" s="20"/>
      <c r="R2124" s="20">
        <v>0.39</v>
      </c>
      <c r="S2124" s="20">
        <v>0.02</v>
      </c>
      <c r="T2124" s="20">
        <v>0.59</v>
      </c>
    </row>
    <row r="2125" spans="13:20" x14ac:dyDescent="0.2">
      <c r="M2125" s="20">
        <v>1.0227164694760552E-2</v>
      </c>
      <c r="N2125" s="20">
        <v>1.1926000037581924E-3</v>
      </c>
      <c r="O2125" s="20">
        <v>0.11661100992821302</v>
      </c>
      <c r="P2125" s="20"/>
      <c r="Q2125" s="20"/>
      <c r="R2125" s="20">
        <v>0.49</v>
      </c>
      <c r="S2125" s="20">
        <v>0.15</v>
      </c>
      <c r="T2125" s="20">
        <v>0.35999999999999988</v>
      </c>
    </row>
    <row r="2126" spans="13:20" x14ac:dyDescent="0.2">
      <c r="M2126" s="20">
        <v>1.3570602348951239E-2</v>
      </c>
      <c r="N2126" s="20">
        <v>1.9042138340204385E-3</v>
      </c>
      <c r="O2126" s="20">
        <v>0.14031903559296319</v>
      </c>
      <c r="P2126" s="20">
        <v>0.35</v>
      </c>
      <c r="Q2126" s="20"/>
      <c r="R2126" s="20"/>
      <c r="S2126" s="20"/>
      <c r="T2126" s="20">
        <v>0.65</v>
      </c>
    </row>
    <row r="2127" spans="13:20" x14ac:dyDescent="0.2">
      <c r="M2127" s="20">
        <v>1.0694074461660083E-2</v>
      </c>
      <c r="N2127" s="20">
        <v>9.6586189520558895E-4</v>
      </c>
      <c r="O2127" s="20">
        <v>9.0317483637163173E-2</v>
      </c>
      <c r="P2127" s="20"/>
      <c r="Q2127" s="20">
        <v>0.21</v>
      </c>
      <c r="R2127" s="20">
        <v>0.39</v>
      </c>
      <c r="S2127" s="20">
        <v>0.36</v>
      </c>
      <c r="T2127" s="20">
        <v>4.0000000000000036E-2</v>
      </c>
    </row>
    <row r="2128" spans="13:20" x14ac:dyDescent="0.2">
      <c r="M2128" s="20">
        <v>1.446912698500487E-2</v>
      </c>
      <c r="N2128" s="20">
        <v>2.5540914521911462E-3</v>
      </c>
      <c r="O2128" s="20">
        <v>0.17652007994940452</v>
      </c>
      <c r="P2128" s="20">
        <v>0.97</v>
      </c>
      <c r="Q2128" s="20">
        <v>3.0000000000000027E-2</v>
      </c>
      <c r="R2128" s="20"/>
      <c r="S2128" s="20"/>
      <c r="T2128" s="20"/>
    </row>
    <row r="2129" spans="13:20" x14ac:dyDescent="0.2">
      <c r="M2129" s="20">
        <v>1.3056918132044064E-2</v>
      </c>
      <c r="N2129" s="20">
        <v>2.3397355427620149E-3</v>
      </c>
      <c r="O2129" s="20">
        <v>0.17919508410027293</v>
      </c>
      <c r="P2129" s="20">
        <v>0.82</v>
      </c>
      <c r="Q2129" s="20">
        <v>0.05</v>
      </c>
      <c r="R2129" s="20">
        <v>0.13</v>
      </c>
      <c r="S2129" s="20"/>
      <c r="T2129" s="20"/>
    </row>
    <row r="2130" spans="13:20" x14ac:dyDescent="0.2">
      <c r="M2130" s="20">
        <v>9.3586582083277619E-3</v>
      </c>
      <c r="N2130" s="20">
        <v>1.0342086749704832E-3</v>
      </c>
      <c r="O2130" s="20">
        <v>0.11050822157926411</v>
      </c>
      <c r="P2130" s="20"/>
      <c r="Q2130" s="20"/>
      <c r="R2130" s="20">
        <v>0.43</v>
      </c>
      <c r="S2130" s="20">
        <v>0.33</v>
      </c>
      <c r="T2130" s="20">
        <v>0.24</v>
      </c>
    </row>
    <row r="2131" spans="13:20" x14ac:dyDescent="0.2">
      <c r="M2131" s="20">
        <v>1.3250583885097486E-2</v>
      </c>
      <c r="N2131" s="20">
        <v>2.158646908726955E-3</v>
      </c>
      <c r="O2131" s="20">
        <v>0.16290956892508843</v>
      </c>
      <c r="P2131" s="20">
        <v>0.65</v>
      </c>
      <c r="Q2131" s="20">
        <v>0.25</v>
      </c>
      <c r="R2131" s="20"/>
      <c r="S2131" s="20"/>
      <c r="T2131" s="20">
        <v>0.1</v>
      </c>
    </row>
    <row r="2132" spans="13:20" x14ac:dyDescent="0.2">
      <c r="M2132" s="20">
        <v>1.0410866991623347E-2</v>
      </c>
      <c r="N2132" s="20">
        <v>1.5618030539647299E-3</v>
      </c>
      <c r="O2132" s="20">
        <v>0.1500166177534846</v>
      </c>
      <c r="P2132" s="20">
        <v>0.3600000000000001</v>
      </c>
      <c r="Q2132" s="20"/>
      <c r="R2132" s="20"/>
      <c r="S2132" s="20">
        <v>0.35</v>
      </c>
      <c r="T2132" s="20">
        <v>0.28999999999999998</v>
      </c>
    </row>
    <row r="2133" spans="13:20" x14ac:dyDescent="0.2">
      <c r="M2133" s="20">
        <v>1.0226624994773982E-2</v>
      </c>
      <c r="N2133" s="20">
        <v>8.1691245447353556E-4</v>
      </c>
      <c r="O2133" s="20">
        <v>7.9880943604658902E-2</v>
      </c>
      <c r="P2133" s="20"/>
      <c r="Q2133" s="20"/>
      <c r="R2133" s="20"/>
      <c r="S2133" s="20">
        <v>0.71</v>
      </c>
      <c r="T2133" s="20">
        <v>0.29000000000000004</v>
      </c>
    </row>
    <row r="2134" spans="13:20" x14ac:dyDescent="0.2">
      <c r="M2134" s="20">
        <v>1.1148940334963813E-2</v>
      </c>
      <c r="N2134" s="20">
        <v>1.9794166862617279E-3</v>
      </c>
      <c r="O2134" s="20">
        <v>0.17754303339969865</v>
      </c>
      <c r="P2134" s="20">
        <v>0.56999999999999995</v>
      </c>
      <c r="Q2134" s="20">
        <v>0.06</v>
      </c>
      <c r="R2134" s="20">
        <v>0.37000000000000022</v>
      </c>
      <c r="S2134" s="20"/>
      <c r="T2134" s="20"/>
    </row>
    <row r="2135" spans="13:20" x14ac:dyDescent="0.2">
      <c r="M2135" s="20">
        <v>1.4159173434704696E-2</v>
      </c>
      <c r="N2135" s="20">
        <v>1.7981614968276432E-3</v>
      </c>
      <c r="O2135" s="20">
        <v>0.12699621945588138</v>
      </c>
      <c r="P2135" s="20">
        <v>0.25</v>
      </c>
      <c r="Q2135" s="20"/>
      <c r="R2135" s="20"/>
      <c r="S2135" s="20"/>
      <c r="T2135" s="20">
        <v>0.75</v>
      </c>
    </row>
    <row r="2136" spans="13:20" x14ac:dyDescent="0.2">
      <c r="M2136" s="20">
        <v>1.0609211937929571E-2</v>
      </c>
      <c r="N2136" s="20">
        <v>1.0909986866150555E-3</v>
      </c>
      <c r="O2136" s="20">
        <v>0.10283503553308862</v>
      </c>
      <c r="P2136" s="20"/>
      <c r="Q2136" s="20"/>
      <c r="R2136" s="20">
        <v>0.91</v>
      </c>
      <c r="S2136" s="20">
        <v>8.9999999999999858E-2</v>
      </c>
      <c r="T2136" s="20"/>
    </row>
    <row r="2137" spans="13:20" x14ac:dyDescent="0.2">
      <c r="M2137" s="20">
        <v>1.2804500288582678E-2</v>
      </c>
      <c r="N2137" s="20">
        <v>1.8595608109320334E-3</v>
      </c>
      <c r="O2137" s="20">
        <v>0.14522712866742157</v>
      </c>
      <c r="P2137" s="20">
        <v>0.38</v>
      </c>
      <c r="Q2137" s="20">
        <v>0.30000000000000016</v>
      </c>
      <c r="R2137" s="20"/>
      <c r="S2137" s="20"/>
      <c r="T2137" s="20">
        <v>0.32</v>
      </c>
    </row>
    <row r="2138" spans="13:20" x14ac:dyDescent="0.2">
      <c r="M2138" s="20">
        <v>1.2976330874770197E-2</v>
      </c>
      <c r="N2138" s="20">
        <v>2.0713486160540365E-3</v>
      </c>
      <c r="O2138" s="20">
        <v>0.15962513872710718</v>
      </c>
      <c r="P2138" s="20">
        <v>0.51</v>
      </c>
      <c r="Q2138" s="20">
        <v>1.0000000000000009E-2</v>
      </c>
      <c r="R2138" s="20"/>
      <c r="S2138" s="20"/>
      <c r="T2138" s="20">
        <v>0.48</v>
      </c>
    </row>
    <row r="2139" spans="13:20" x14ac:dyDescent="0.2">
      <c r="M2139" s="20">
        <v>1.3521701753187084E-2</v>
      </c>
      <c r="N2139" s="20">
        <v>1.9148190677397178E-3</v>
      </c>
      <c r="O2139" s="20">
        <v>0.14161080481518476</v>
      </c>
      <c r="P2139" s="20">
        <v>0.35999999999999988</v>
      </c>
      <c r="Q2139" s="20"/>
      <c r="R2139" s="20"/>
      <c r="S2139" s="20"/>
      <c r="T2139" s="20">
        <v>0.64</v>
      </c>
    </row>
    <row r="2140" spans="13:20" x14ac:dyDescent="0.2">
      <c r="M2140" s="20">
        <v>1.4111664700453741E-2</v>
      </c>
      <c r="N2140" s="20">
        <v>2.448857922637911E-3</v>
      </c>
      <c r="O2140" s="20">
        <v>0.17353430474855114</v>
      </c>
      <c r="P2140" s="20">
        <v>0.89</v>
      </c>
      <c r="Q2140" s="20">
        <v>0.10999999999999988</v>
      </c>
      <c r="R2140" s="20"/>
      <c r="S2140" s="20"/>
      <c r="T2140" s="20"/>
    </row>
    <row r="2141" spans="13:20" x14ac:dyDescent="0.2">
      <c r="M2141" s="20">
        <v>1.3964215445300288E-2</v>
      </c>
      <c r="N2141" s="20">
        <v>1.8299771979854815E-3</v>
      </c>
      <c r="O2141" s="20">
        <v>0.13104761990773836</v>
      </c>
      <c r="P2141" s="20">
        <v>0.27999999999999992</v>
      </c>
      <c r="Q2141" s="20"/>
      <c r="R2141" s="20"/>
      <c r="S2141" s="20"/>
      <c r="T2141" s="20">
        <v>0.72</v>
      </c>
    </row>
    <row r="2142" spans="13:20" x14ac:dyDescent="0.2">
      <c r="M2142" s="20">
        <v>1.1324548026741738E-2</v>
      </c>
      <c r="N2142" s="20">
        <v>1.0229008699470037E-3</v>
      </c>
      <c r="O2142" s="20">
        <v>9.0325977472260274E-2</v>
      </c>
      <c r="P2142" s="20">
        <v>0.09</v>
      </c>
      <c r="Q2142" s="20">
        <v>0.24</v>
      </c>
      <c r="R2142" s="20">
        <v>0.13</v>
      </c>
      <c r="S2142" s="20">
        <v>0.49</v>
      </c>
      <c r="T2142" s="20">
        <v>0.05</v>
      </c>
    </row>
    <row r="2143" spans="13:20" x14ac:dyDescent="0.2">
      <c r="M2143" s="20">
        <v>1.7103671905773405E-2</v>
      </c>
      <c r="N2143" s="20">
        <v>1.2584698584541568E-3</v>
      </c>
      <c r="O2143" s="20">
        <v>7.357892886318497E-2</v>
      </c>
      <c r="P2143" s="20"/>
      <c r="Q2143" s="20">
        <v>0.85</v>
      </c>
      <c r="R2143" s="20">
        <v>0.15000000000000002</v>
      </c>
      <c r="S2143" s="20"/>
      <c r="T2143" s="20"/>
    </row>
    <row r="2144" spans="13:20" x14ac:dyDescent="0.2">
      <c r="M2144" s="20">
        <v>1.27148386476381E-2</v>
      </c>
      <c r="N2144" s="20">
        <v>1.5413356441998469E-3</v>
      </c>
      <c r="O2144" s="20">
        <v>0.12122337427271751</v>
      </c>
      <c r="P2144" s="20">
        <v>0.15999999999999992</v>
      </c>
      <c r="Q2144" s="20"/>
      <c r="R2144" s="20"/>
      <c r="S2144" s="20">
        <v>0.16</v>
      </c>
      <c r="T2144" s="20">
        <v>0.68</v>
      </c>
    </row>
    <row r="2145" spans="13:20" x14ac:dyDescent="0.2">
      <c r="M2145" s="20">
        <v>1.018720414893679E-2</v>
      </c>
      <c r="N2145" s="20">
        <v>8.6734331358424822E-4</v>
      </c>
      <c r="O2145" s="20">
        <v>8.5140466501279488E-2</v>
      </c>
      <c r="P2145" s="20"/>
      <c r="Q2145" s="20"/>
      <c r="R2145" s="20"/>
      <c r="S2145" s="20">
        <v>0.66</v>
      </c>
      <c r="T2145" s="20">
        <v>0.34000000000000008</v>
      </c>
    </row>
    <row r="2146" spans="13:20" x14ac:dyDescent="0.2">
      <c r="M2146" s="20">
        <v>1.045586291939038E-2</v>
      </c>
      <c r="N2146" s="20">
        <v>1.2990435246918873E-3</v>
      </c>
      <c r="O2146" s="20">
        <v>0.12424068053558865</v>
      </c>
      <c r="P2146" s="20">
        <v>0.35</v>
      </c>
      <c r="Q2146" s="20"/>
      <c r="R2146" s="20"/>
      <c r="S2146" s="20">
        <v>0.6</v>
      </c>
      <c r="T2146" s="20">
        <v>0.05</v>
      </c>
    </row>
    <row r="2147" spans="13:20" x14ac:dyDescent="0.2">
      <c r="M2147" s="20">
        <v>1.3429607498338995E-2</v>
      </c>
      <c r="N2147" s="20">
        <v>1.9360295351782775E-3</v>
      </c>
      <c r="O2147" s="20">
        <v>0.14416128955501714</v>
      </c>
      <c r="P2147" s="20">
        <v>0.38000000000000012</v>
      </c>
      <c r="Q2147" s="20"/>
      <c r="R2147" s="20"/>
      <c r="S2147" s="20"/>
      <c r="T2147" s="20">
        <v>0.62</v>
      </c>
    </row>
    <row r="2148" spans="13:20" x14ac:dyDescent="0.2">
      <c r="M2148" s="20">
        <v>1.0589308974980189E-2</v>
      </c>
      <c r="N2148" s="20">
        <v>8.5288065080847035E-4</v>
      </c>
      <c r="O2148" s="20">
        <v>8.0541672060340089E-2</v>
      </c>
      <c r="P2148" s="20">
        <v>0.10999999999999999</v>
      </c>
      <c r="Q2148" s="20"/>
      <c r="R2148" s="20"/>
      <c r="S2148" s="20">
        <v>0.79</v>
      </c>
      <c r="T2148" s="20">
        <v>0.1</v>
      </c>
    </row>
    <row r="2149" spans="13:20" x14ac:dyDescent="0.2">
      <c r="M2149" s="20">
        <v>1.1571701745567788E-2</v>
      </c>
      <c r="N2149" s="20">
        <v>1.1811206700316859E-3</v>
      </c>
      <c r="O2149" s="20">
        <v>0.10206974704339235</v>
      </c>
      <c r="P2149" s="20"/>
      <c r="Q2149" s="20">
        <v>0.26</v>
      </c>
      <c r="R2149" s="20">
        <v>0.7400000000000001</v>
      </c>
      <c r="S2149" s="20"/>
      <c r="T2149" s="20"/>
    </row>
    <row r="2150" spans="13:20" x14ac:dyDescent="0.2">
      <c r="M2150" s="20">
        <v>1.3900120420019861E-2</v>
      </c>
      <c r="N2150" s="20">
        <v>2.1331573339782072E-3</v>
      </c>
      <c r="O2150" s="20">
        <v>0.15346322690168171</v>
      </c>
      <c r="P2150" s="20">
        <v>0.65</v>
      </c>
      <c r="Q2150" s="20">
        <v>0.35</v>
      </c>
      <c r="R2150" s="20"/>
      <c r="S2150" s="20"/>
      <c r="T2150" s="20"/>
    </row>
    <row r="2151" spans="13:20" x14ac:dyDescent="0.2">
      <c r="M2151" s="20">
        <v>1.3492710124228629E-2</v>
      </c>
      <c r="N2151" s="20">
        <v>2.259455233145346E-3</v>
      </c>
      <c r="O2151" s="20">
        <v>0.16745747980519352</v>
      </c>
      <c r="P2151" s="20">
        <v>0.75</v>
      </c>
      <c r="Q2151" s="20">
        <v>0.21</v>
      </c>
      <c r="R2151" s="20">
        <v>4.0000000000000147E-2</v>
      </c>
      <c r="S2151" s="20"/>
      <c r="T2151" s="20"/>
    </row>
    <row r="2152" spans="13:20" x14ac:dyDescent="0.2">
      <c r="M2152" s="20">
        <v>1.1004230292705927E-2</v>
      </c>
      <c r="N2152" s="20">
        <v>6.4544753349711265E-4</v>
      </c>
      <c r="O2152" s="20">
        <v>5.8654491620821751E-2</v>
      </c>
      <c r="P2152" s="20"/>
      <c r="Q2152" s="20"/>
      <c r="R2152" s="20"/>
      <c r="S2152" s="20">
        <v>0.88</v>
      </c>
      <c r="T2152" s="20">
        <v>0.12</v>
      </c>
    </row>
    <row r="2153" spans="13:20" x14ac:dyDescent="0.2">
      <c r="M2153" s="20">
        <v>1.051366653280935E-2</v>
      </c>
      <c r="N2153" s="20">
        <v>1.1878629478885936E-3</v>
      </c>
      <c r="O2153" s="20">
        <v>0.1129827490896447</v>
      </c>
      <c r="P2153" s="20"/>
      <c r="Q2153" s="20">
        <v>0.15</v>
      </c>
      <c r="R2153" s="20">
        <v>0.56000000000000005</v>
      </c>
      <c r="S2153" s="20">
        <v>0.09</v>
      </c>
      <c r="T2153" s="20">
        <v>0.19999999999999996</v>
      </c>
    </row>
    <row r="2154" spans="13:20" x14ac:dyDescent="0.2">
      <c r="M2154" s="20">
        <v>1.1154226512445008E-2</v>
      </c>
      <c r="N2154" s="20">
        <v>6.0834163699563797E-4</v>
      </c>
      <c r="O2154" s="20">
        <v>5.4539114506675854E-2</v>
      </c>
      <c r="P2154" s="20"/>
      <c r="Q2154" s="20"/>
      <c r="R2154" s="20">
        <v>7.0000000000000007E-2</v>
      </c>
      <c r="S2154" s="20">
        <v>0.89</v>
      </c>
      <c r="T2154" s="20">
        <v>3.9999999999999925E-2</v>
      </c>
    </row>
    <row r="2155" spans="13:20" x14ac:dyDescent="0.2">
      <c r="M2155" s="20">
        <v>1.5255066422544934E-2</v>
      </c>
      <c r="N2155" s="20">
        <v>1.6496882247577299E-3</v>
      </c>
      <c r="O2155" s="20">
        <v>0.10814035016718858</v>
      </c>
      <c r="P2155" s="20">
        <v>0.1100000000000001</v>
      </c>
      <c r="Q2155" s="20"/>
      <c r="R2155" s="20"/>
      <c r="S2155" s="20"/>
      <c r="T2155" s="20">
        <v>0.89</v>
      </c>
    </row>
    <row r="2156" spans="13:20" x14ac:dyDescent="0.2">
      <c r="M2156" s="20">
        <v>1.3510978451013404E-2</v>
      </c>
      <c r="N2156" s="20">
        <v>1.3098611128011415E-3</v>
      </c>
      <c r="O2156" s="20">
        <v>9.6947909253966291E-2</v>
      </c>
      <c r="P2156" s="20">
        <v>0.13</v>
      </c>
      <c r="Q2156" s="20">
        <v>0.52</v>
      </c>
      <c r="R2156" s="20">
        <v>0.2</v>
      </c>
      <c r="S2156" s="20">
        <v>0.14999999999999991</v>
      </c>
      <c r="T2156" s="20"/>
    </row>
    <row r="2157" spans="13:20" x14ac:dyDescent="0.2">
      <c r="M2157" s="20">
        <v>9.5799798832001404E-3</v>
      </c>
      <c r="N2157" s="20">
        <v>8.4817645162206133E-4</v>
      </c>
      <c r="O2157" s="20">
        <v>8.8536349967650724E-2</v>
      </c>
      <c r="P2157" s="20"/>
      <c r="Q2157" s="20"/>
      <c r="R2157" s="20">
        <v>0.52</v>
      </c>
      <c r="S2157" s="20">
        <v>0.47999999999999987</v>
      </c>
      <c r="T2157" s="20"/>
    </row>
    <row r="2158" spans="13:20" x14ac:dyDescent="0.2">
      <c r="M2158" s="20">
        <v>1.255175683661737E-2</v>
      </c>
      <c r="N2158" s="20">
        <v>1.1349194016325745E-3</v>
      </c>
      <c r="O2158" s="20">
        <v>9.0419167324980537E-2</v>
      </c>
      <c r="P2158" s="20">
        <v>0</v>
      </c>
      <c r="Q2158" s="20">
        <v>0.43</v>
      </c>
      <c r="R2158" s="20">
        <v>0.46</v>
      </c>
      <c r="S2158" s="20">
        <v>0.10999999999999999</v>
      </c>
      <c r="T2158" s="20"/>
    </row>
    <row r="2159" spans="13:20" x14ac:dyDescent="0.2">
      <c r="M2159" s="20">
        <v>1.2184117549085138E-2</v>
      </c>
      <c r="N2159" s="20">
        <v>2.07602017312827E-3</v>
      </c>
      <c r="O2159" s="20">
        <v>0.17038740514155257</v>
      </c>
      <c r="P2159" s="20">
        <v>0.6</v>
      </c>
      <c r="Q2159" s="20">
        <v>1.0000000000000009E-2</v>
      </c>
      <c r="R2159" s="20"/>
      <c r="S2159" s="20">
        <v>0.09</v>
      </c>
      <c r="T2159" s="20">
        <v>0.3</v>
      </c>
    </row>
    <row r="2160" spans="13:20" x14ac:dyDescent="0.2">
      <c r="M2160" s="20">
        <v>1.1286071671928853E-2</v>
      </c>
      <c r="N2160" s="20">
        <v>1.1194976091378113E-3</v>
      </c>
      <c r="O2160" s="20">
        <v>9.919284952994481E-2</v>
      </c>
      <c r="P2160" s="20"/>
      <c r="Q2160" s="20"/>
      <c r="R2160" s="20"/>
      <c r="S2160" s="20">
        <v>0.41</v>
      </c>
      <c r="T2160" s="20">
        <v>0.59000000000000008</v>
      </c>
    </row>
    <row r="2161" spans="13:20" x14ac:dyDescent="0.2">
      <c r="M2161" s="20">
        <v>1.5774664080520265E-2</v>
      </c>
      <c r="N2161" s="20">
        <v>1.2378226121708771E-3</v>
      </c>
      <c r="O2161" s="20">
        <v>7.8469031470497885E-2</v>
      </c>
      <c r="P2161" s="20"/>
      <c r="Q2161" s="20">
        <v>0.74</v>
      </c>
      <c r="R2161" s="20">
        <v>0.25</v>
      </c>
      <c r="S2161" s="20">
        <v>1.0000000000000009E-2</v>
      </c>
      <c r="T2161" s="20"/>
    </row>
    <row r="2162" spans="13:20" x14ac:dyDescent="0.2">
      <c r="M2162" s="20">
        <v>1.2526449391603595E-2</v>
      </c>
      <c r="N2162" s="20">
        <v>7.1644803507955965E-4</v>
      </c>
      <c r="O2162" s="20">
        <v>5.7194821348161957E-2</v>
      </c>
      <c r="P2162" s="20"/>
      <c r="Q2162" s="20">
        <v>0.23</v>
      </c>
      <c r="R2162" s="20">
        <v>0.03</v>
      </c>
      <c r="S2162" s="20">
        <v>0.7400000000000001</v>
      </c>
      <c r="T2162" s="20"/>
    </row>
    <row r="2163" spans="13:20" x14ac:dyDescent="0.2">
      <c r="M2163" s="20">
        <v>1.3293412707075857E-2</v>
      </c>
      <c r="N2163" s="20">
        <v>2.3623151315380069E-3</v>
      </c>
      <c r="O2163" s="20">
        <v>0.17770569406008035</v>
      </c>
      <c r="P2163" s="20">
        <v>0.82</v>
      </c>
      <c r="Q2163" s="20"/>
      <c r="R2163" s="20"/>
      <c r="S2163" s="20">
        <v>0.04</v>
      </c>
      <c r="T2163" s="20">
        <v>0.14000000000000001</v>
      </c>
    </row>
    <row r="2164" spans="13:20" x14ac:dyDescent="0.2">
      <c r="M2164" s="20">
        <v>1.0779117330497776E-2</v>
      </c>
      <c r="N2164" s="20">
        <v>1.1438087832376903E-3</v>
      </c>
      <c r="O2164" s="20">
        <v>0.10611339947116705</v>
      </c>
      <c r="P2164" s="20"/>
      <c r="Q2164" s="20">
        <v>0.23</v>
      </c>
      <c r="R2164" s="20">
        <v>0.36</v>
      </c>
      <c r="S2164" s="20">
        <v>0.19</v>
      </c>
      <c r="T2164" s="20">
        <v>0.22000000000000008</v>
      </c>
    </row>
    <row r="2165" spans="13:20" x14ac:dyDescent="0.2">
      <c r="M2165" s="20">
        <v>1.279270426078964E-2</v>
      </c>
      <c r="N2165" s="20">
        <v>2.0207788703763209E-3</v>
      </c>
      <c r="O2165" s="20">
        <v>0.15796338515931477</v>
      </c>
      <c r="P2165" s="20">
        <v>0.52</v>
      </c>
      <c r="Q2165" s="20">
        <v>0.25</v>
      </c>
      <c r="R2165" s="20"/>
      <c r="S2165" s="20"/>
      <c r="T2165" s="20">
        <v>0.23</v>
      </c>
    </row>
    <row r="2166" spans="13:20" x14ac:dyDescent="0.2">
      <c r="M2166" s="20">
        <v>1.1363109310323347E-2</v>
      </c>
      <c r="N2166" s="20">
        <v>1.5583133563390273E-3</v>
      </c>
      <c r="O2166" s="20">
        <v>0.13713793591013904</v>
      </c>
      <c r="P2166" s="20">
        <v>0.25</v>
      </c>
      <c r="Q2166" s="20">
        <v>0.10999999999999988</v>
      </c>
      <c r="R2166" s="20"/>
      <c r="S2166" s="20">
        <v>0.21</v>
      </c>
      <c r="T2166" s="20">
        <v>0.43</v>
      </c>
    </row>
    <row r="2167" spans="13:20" x14ac:dyDescent="0.2">
      <c r="M2167" s="20">
        <v>1.5528474120001454E-2</v>
      </c>
      <c r="N2167" s="20">
        <v>1.241426816937341E-3</v>
      </c>
      <c r="O2167" s="20">
        <v>7.9945190193434462E-2</v>
      </c>
      <c r="P2167" s="20"/>
      <c r="Q2167" s="20">
        <v>0.72</v>
      </c>
      <c r="R2167" s="20">
        <v>0.27999999999999992</v>
      </c>
      <c r="S2167" s="20"/>
      <c r="T2167" s="20"/>
    </row>
    <row r="2168" spans="13:20" x14ac:dyDescent="0.2">
      <c r="M2168" s="20">
        <v>1.3840410336459698E-2</v>
      </c>
      <c r="N2168" s="20">
        <v>1.8242848101035665E-3</v>
      </c>
      <c r="O2168" s="20">
        <v>0.13180857834090839</v>
      </c>
      <c r="P2168" s="20">
        <v>0.39</v>
      </c>
      <c r="Q2168" s="20">
        <v>0.47999999999999987</v>
      </c>
      <c r="R2168" s="20"/>
      <c r="S2168" s="20"/>
      <c r="T2168" s="20">
        <v>0.13</v>
      </c>
    </row>
    <row r="2169" spans="13:20" x14ac:dyDescent="0.2">
      <c r="M2169" s="20">
        <v>9.9601423372020024E-3</v>
      </c>
      <c r="N2169" s="20">
        <v>1.2565275637459398E-3</v>
      </c>
      <c r="O2169" s="20">
        <v>0.12615558304349722</v>
      </c>
      <c r="P2169" s="20">
        <v>0.11</v>
      </c>
      <c r="Q2169" s="20">
        <v>0.18</v>
      </c>
      <c r="R2169" s="20">
        <v>0.12</v>
      </c>
      <c r="S2169" s="20">
        <v>0.04</v>
      </c>
      <c r="T2169" s="20">
        <v>0.38</v>
      </c>
    </row>
    <row r="2170" spans="13:20" x14ac:dyDescent="0.2">
      <c r="M2170" s="20">
        <v>9.7155981301437367E-3</v>
      </c>
      <c r="N2170" s="20">
        <v>9.540220412343921E-4</v>
      </c>
      <c r="O2170" s="20">
        <v>9.8194885014277325E-2</v>
      </c>
      <c r="P2170" s="20"/>
      <c r="Q2170" s="20"/>
      <c r="R2170" s="20">
        <v>0.69</v>
      </c>
      <c r="S2170" s="20">
        <v>0.31000000000000005</v>
      </c>
      <c r="T2170" s="20"/>
    </row>
    <row r="2171" spans="13:20" x14ac:dyDescent="0.2">
      <c r="M2171" s="20">
        <v>1.1859624877726689E-2</v>
      </c>
      <c r="N2171" s="20">
        <v>1.2362525636933326E-3</v>
      </c>
      <c r="O2171" s="20">
        <v>0.10424044406455996</v>
      </c>
      <c r="P2171" s="20">
        <v>0.02</v>
      </c>
      <c r="Q2171" s="20">
        <v>0.10000000000000009</v>
      </c>
      <c r="R2171" s="20"/>
      <c r="S2171" s="20">
        <v>0.28999999999999998</v>
      </c>
      <c r="T2171" s="20">
        <v>0.59</v>
      </c>
    </row>
    <row r="2172" spans="13:20" x14ac:dyDescent="0.2">
      <c r="M2172" s="20">
        <v>1.422980672648998E-2</v>
      </c>
      <c r="N2172" s="20">
        <v>2.4883204962203747E-3</v>
      </c>
      <c r="O2172" s="20">
        <v>0.17486678097940414</v>
      </c>
      <c r="P2172" s="20">
        <v>0.92</v>
      </c>
      <c r="Q2172" s="20">
        <v>8.0000000000000071E-2</v>
      </c>
      <c r="R2172" s="20"/>
      <c r="S2172" s="20"/>
      <c r="T2172" s="20"/>
    </row>
    <row r="2173" spans="13:20" x14ac:dyDescent="0.2">
      <c r="M2173" s="20">
        <v>1.1030350429934188E-2</v>
      </c>
      <c r="N2173" s="20">
        <v>1.4031965007977681E-3</v>
      </c>
      <c r="O2173" s="20">
        <v>0.12721232291856935</v>
      </c>
      <c r="P2173" s="20">
        <v>0.14999999999999991</v>
      </c>
      <c r="Q2173" s="20">
        <v>0.24</v>
      </c>
      <c r="R2173" s="20">
        <v>0.59</v>
      </c>
      <c r="S2173" s="20">
        <v>0</v>
      </c>
      <c r="T2173" s="20">
        <v>0.02</v>
      </c>
    </row>
    <row r="2174" spans="13:20" x14ac:dyDescent="0.2">
      <c r="M2174" s="20">
        <v>1.2418371488511373E-2</v>
      </c>
      <c r="N2174" s="20">
        <v>1.1994747147421026E-3</v>
      </c>
      <c r="O2174" s="20">
        <v>9.6588728711471908E-2</v>
      </c>
      <c r="P2174" s="20"/>
      <c r="Q2174" s="20">
        <v>0.4</v>
      </c>
      <c r="R2174" s="20">
        <v>0.6</v>
      </c>
      <c r="S2174" s="20"/>
      <c r="T2174" s="20"/>
    </row>
    <row r="2175" spans="13:20" x14ac:dyDescent="0.2">
      <c r="M2175" s="20">
        <v>1.0912978398749273E-2</v>
      </c>
      <c r="N2175" s="20">
        <v>6.2403285009006665E-4</v>
      </c>
      <c r="O2175" s="20">
        <v>5.7182634042562255E-2</v>
      </c>
      <c r="P2175" s="20"/>
      <c r="Q2175" s="20"/>
      <c r="R2175" s="20">
        <v>0.16</v>
      </c>
      <c r="S2175" s="20">
        <v>0.84</v>
      </c>
      <c r="T2175" s="20"/>
    </row>
    <row r="2176" spans="13:20" x14ac:dyDescent="0.2">
      <c r="M2176" s="20">
        <v>1.6023001798703872E-2</v>
      </c>
      <c r="N2176" s="20">
        <v>1.6464522597944965E-3</v>
      </c>
      <c r="O2176" s="20">
        <v>0.10275554359156851</v>
      </c>
      <c r="P2176" s="20">
        <v>0.28000000000000003</v>
      </c>
      <c r="Q2176" s="20">
        <v>0.72</v>
      </c>
      <c r="R2176" s="20"/>
      <c r="S2176" s="20"/>
      <c r="T2176" s="20"/>
    </row>
    <row r="2177" spans="13:20" x14ac:dyDescent="0.2">
      <c r="M2177" s="20">
        <v>1.3570602348951239E-2</v>
      </c>
      <c r="N2177" s="20">
        <v>1.9042138340204385E-3</v>
      </c>
      <c r="O2177" s="20">
        <v>0.14031903559296319</v>
      </c>
      <c r="P2177" s="20">
        <v>0.35</v>
      </c>
      <c r="Q2177" s="20"/>
      <c r="R2177" s="20"/>
      <c r="S2177" s="20"/>
      <c r="T2177" s="20">
        <v>0.65</v>
      </c>
    </row>
    <row r="2178" spans="13:20" x14ac:dyDescent="0.2">
      <c r="M2178" s="20">
        <v>1.4516805794357721E-2</v>
      </c>
      <c r="N2178" s="20">
        <v>1.7451353282312457E-3</v>
      </c>
      <c r="O2178" s="20">
        <v>0.1202148291402735</v>
      </c>
      <c r="P2178" s="20">
        <v>0.20000000000000007</v>
      </c>
      <c r="Q2178" s="20"/>
      <c r="R2178" s="20"/>
      <c r="S2178" s="20"/>
      <c r="T2178" s="20">
        <v>0.8</v>
      </c>
    </row>
    <row r="2179" spans="13:20" x14ac:dyDescent="0.2">
      <c r="M2179" s="20">
        <v>1.0124346513617766E-2</v>
      </c>
      <c r="N2179" s="20">
        <v>1.4195585246604609E-3</v>
      </c>
      <c r="O2179" s="20">
        <v>0.14021236064481613</v>
      </c>
      <c r="P2179" s="20">
        <v>0.34000000000000008</v>
      </c>
      <c r="Q2179" s="20"/>
      <c r="R2179" s="20"/>
      <c r="S2179" s="20">
        <v>0.47</v>
      </c>
      <c r="T2179" s="20">
        <v>0.19</v>
      </c>
    </row>
    <row r="2180" spans="13:20" x14ac:dyDescent="0.2">
      <c r="M2180" s="20">
        <v>1.1126261192309094E-2</v>
      </c>
      <c r="N2180" s="20">
        <v>1.0993252654935262E-3</v>
      </c>
      <c r="O2180" s="20">
        <v>9.8804553164132336E-2</v>
      </c>
      <c r="P2180" s="20"/>
      <c r="Q2180" s="20"/>
      <c r="R2180" s="20"/>
      <c r="S2180" s="20">
        <v>0.43</v>
      </c>
      <c r="T2180" s="20">
        <v>0.57000000000000006</v>
      </c>
    </row>
    <row r="2181" spans="13:20" x14ac:dyDescent="0.2">
      <c r="M2181" s="20">
        <v>1.0864898757308374E-2</v>
      </c>
      <c r="N2181" s="20">
        <v>6.656198771413976E-4</v>
      </c>
      <c r="O2181" s="20">
        <v>6.1263329922302524E-2</v>
      </c>
      <c r="P2181" s="20"/>
      <c r="Q2181" s="20"/>
      <c r="R2181" s="20"/>
      <c r="S2181" s="20">
        <v>0.86</v>
      </c>
      <c r="T2181" s="20">
        <v>0.1399999999999999</v>
      </c>
    </row>
    <row r="2182" spans="13:20" x14ac:dyDescent="0.2">
      <c r="M2182" s="20">
        <v>1.4329717972314342E-2</v>
      </c>
      <c r="N2182" s="20">
        <v>9.8123273561319174E-4</v>
      </c>
      <c r="O2182" s="20">
        <v>6.8475369683407408E-2</v>
      </c>
      <c r="P2182" s="20"/>
      <c r="Q2182" s="20">
        <v>0.54</v>
      </c>
      <c r="R2182" s="20">
        <v>0.08</v>
      </c>
      <c r="S2182" s="20">
        <v>0.38000000000000012</v>
      </c>
      <c r="T2182" s="20"/>
    </row>
    <row r="2183" spans="13:20" x14ac:dyDescent="0.2">
      <c r="M2183" s="20">
        <v>1.386228907498102E-2</v>
      </c>
      <c r="N2183" s="20">
        <v>2.3173160106963677E-3</v>
      </c>
      <c r="O2183" s="20">
        <v>0.16716690859366892</v>
      </c>
      <c r="P2183" s="20">
        <v>0.79</v>
      </c>
      <c r="Q2183" s="20">
        <v>0.20999999999999996</v>
      </c>
      <c r="R2183" s="20"/>
      <c r="S2183" s="20"/>
      <c r="T2183" s="20"/>
    </row>
    <row r="2184" spans="13:20" x14ac:dyDescent="0.2">
      <c r="M2184" s="20">
        <v>1.3913296519489131E-2</v>
      </c>
      <c r="N2184" s="20">
        <v>2.3567785842788305E-3</v>
      </c>
      <c r="O2184" s="20">
        <v>0.16939037998489856</v>
      </c>
      <c r="P2184" s="20">
        <v>0.82</v>
      </c>
      <c r="Q2184" s="20">
        <v>0.17999999999999994</v>
      </c>
      <c r="R2184" s="20"/>
      <c r="S2184" s="20"/>
      <c r="T2184" s="20"/>
    </row>
    <row r="2185" spans="13:20" x14ac:dyDescent="0.2">
      <c r="M2185" s="20">
        <v>1.3784746290399724E-2</v>
      </c>
      <c r="N2185" s="20">
        <v>1.8617928991433205E-3</v>
      </c>
      <c r="O2185" s="20">
        <v>0.13506181832595288</v>
      </c>
      <c r="P2185" s="20">
        <v>0.31000000000000005</v>
      </c>
      <c r="Q2185" s="20"/>
      <c r="R2185" s="20"/>
      <c r="S2185" s="20"/>
      <c r="T2185" s="20">
        <v>0.69</v>
      </c>
    </row>
    <row r="2186" spans="13:20" x14ac:dyDescent="0.2">
      <c r="M2186" s="20">
        <v>1.2682928115473353E-2</v>
      </c>
      <c r="N2186" s="20">
        <v>1.9007535343498103E-3</v>
      </c>
      <c r="O2186" s="20">
        <v>0.1498670903945962</v>
      </c>
      <c r="P2186" s="20">
        <v>0.39</v>
      </c>
      <c r="Q2186" s="20">
        <v>0.17999999999999983</v>
      </c>
      <c r="R2186" s="20"/>
      <c r="S2186" s="20"/>
      <c r="T2186" s="20">
        <v>0.43</v>
      </c>
    </row>
    <row r="2187" spans="13:20" x14ac:dyDescent="0.2">
      <c r="M2187" s="20">
        <v>1.1766506833316757E-2</v>
      </c>
      <c r="N2187" s="20">
        <v>5.5467198709782998E-4</v>
      </c>
      <c r="O2187" s="20">
        <v>4.713990268779527E-2</v>
      </c>
      <c r="P2187" s="20"/>
      <c r="Q2187" s="20"/>
      <c r="R2187" s="20"/>
      <c r="S2187" s="20">
        <v>0.97</v>
      </c>
      <c r="T2187" s="20">
        <v>3.0000000000000027E-2</v>
      </c>
    </row>
    <row r="2188" spans="13:20" x14ac:dyDescent="0.2">
      <c r="M2188" s="20">
        <v>1.0074982223260288E-2</v>
      </c>
      <c r="N2188" s="20">
        <v>9.2140760597492005E-4</v>
      </c>
      <c r="O2188" s="20">
        <v>9.1455010595219738E-2</v>
      </c>
      <c r="P2188" s="20">
        <v>7.0000000000000062E-2</v>
      </c>
      <c r="Q2188" s="20"/>
      <c r="R2188" s="20"/>
      <c r="S2188" s="20">
        <v>0.68</v>
      </c>
      <c r="T2188" s="20">
        <v>0.25</v>
      </c>
    </row>
    <row r="2189" spans="13:20" x14ac:dyDescent="0.2">
      <c r="M2189" s="20">
        <v>1.6100360939876667E-2</v>
      </c>
      <c r="N2189" s="20">
        <v>1.5542411212842138E-3</v>
      </c>
      <c r="O2189" s="20">
        <v>9.6534551435722024E-2</v>
      </c>
      <c r="P2189" s="20">
        <v>2.0000000000000018E-2</v>
      </c>
      <c r="Q2189" s="20"/>
      <c r="R2189" s="20"/>
      <c r="S2189" s="20"/>
      <c r="T2189" s="20">
        <v>0.98</v>
      </c>
    </row>
    <row r="2190" spans="13:20" x14ac:dyDescent="0.2">
      <c r="M2190" s="20">
        <v>1.2034265731843885E-2</v>
      </c>
      <c r="N2190" s="20">
        <v>1.8149081266552404E-3</v>
      </c>
      <c r="O2190" s="20">
        <v>0.15081170443600977</v>
      </c>
      <c r="P2190" s="20">
        <v>0.33</v>
      </c>
      <c r="Q2190" s="20">
        <v>4.0000000000000036E-2</v>
      </c>
      <c r="R2190" s="20">
        <v>0.15</v>
      </c>
      <c r="S2190" s="20">
        <v>0</v>
      </c>
      <c r="T2190" s="20">
        <v>0.48</v>
      </c>
    </row>
    <row r="2191" spans="13:20" x14ac:dyDescent="0.2">
      <c r="M2191" s="20">
        <v>1.3811215636459413E-2</v>
      </c>
      <c r="N2191" s="20">
        <v>1.5188725858995542E-3</v>
      </c>
      <c r="O2191" s="20">
        <v>0.10997385211262449</v>
      </c>
      <c r="P2191" s="20">
        <v>0.09</v>
      </c>
      <c r="Q2191" s="20">
        <v>0.43000000000000005</v>
      </c>
      <c r="R2191" s="20"/>
      <c r="S2191" s="20"/>
      <c r="T2191" s="20">
        <v>0.48</v>
      </c>
    </row>
    <row r="2192" spans="13:20" x14ac:dyDescent="0.2">
      <c r="M2192" s="20">
        <v>1.0031491481697635E-2</v>
      </c>
      <c r="N2192" s="20">
        <v>7.2987843970239753E-4</v>
      </c>
      <c r="O2192" s="20">
        <v>7.2758715992936263E-2</v>
      </c>
      <c r="P2192" s="20"/>
      <c r="Q2192" s="20"/>
      <c r="R2192" s="20">
        <v>0.33</v>
      </c>
      <c r="S2192" s="20">
        <v>0.66999999999999993</v>
      </c>
      <c r="T2192" s="20"/>
    </row>
    <row r="2193" spans="13:20" x14ac:dyDescent="0.2">
      <c r="M2193" s="20">
        <v>1.0392937603379624E-2</v>
      </c>
      <c r="N2193" s="20">
        <v>1.0660938420003895E-3</v>
      </c>
      <c r="O2193" s="20">
        <v>0.10257868205171483</v>
      </c>
      <c r="P2193" s="20"/>
      <c r="Q2193" s="20"/>
      <c r="R2193" s="20">
        <v>0.87</v>
      </c>
      <c r="S2193" s="20">
        <v>0.13000000000000012</v>
      </c>
      <c r="T2193" s="20"/>
    </row>
    <row r="2194" spans="13:20" x14ac:dyDescent="0.2">
      <c r="M2194" s="20">
        <v>9.8334059489317057E-3</v>
      </c>
      <c r="N2194" s="20">
        <v>9.0320687032296185E-4</v>
      </c>
      <c r="O2194" s="20">
        <v>9.1850867849210024E-2</v>
      </c>
      <c r="P2194" s="20"/>
      <c r="Q2194" s="20"/>
      <c r="R2194" s="20">
        <v>0.09</v>
      </c>
      <c r="S2194" s="20">
        <v>0.59</v>
      </c>
      <c r="T2194" s="20">
        <v>0.32000000000000006</v>
      </c>
    </row>
    <row r="2195" spans="13:20" x14ac:dyDescent="0.2">
      <c r="M2195" s="20">
        <v>1.2808183960481218E-2</v>
      </c>
      <c r="N2195" s="20">
        <v>1.9701071861320924E-3</v>
      </c>
      <c r="O2195" s="20">
        <v>0.15381627810864712</v>
      </c>
      <c r="P2195" s="20">
        <v>0.54</v>
      </c>
      <c r="Q2195" s="20">
        <v>0.32</v>
      </c>
      <c r="R2195" s="20">
        <v>0.1399999999999999</v>
      </c>
      <c r="S2195" s="20"/>
      <c r="T2195" s="20"/>
    </row>
    <row r="2196" spans="13:20" x14ac:dyDescent="0.2">
      <c r="M2196" s="20">
        <v>1.1020495488525017E-2</v>
      </c>
      <c r="N2196" s="20">
        <v>1.1283601696008116E-3</v>
      </c>
      <c r="O2196" s="20">
        <v>0.10238742629818283</v>
      </c>
      <c r="P2196" s="20"/>
      <c r="Q2196" s="20">
        <v>0.19</v>
      </c>
      <c r="R2196" s="20">
        <v>0.74</v>
      </c>
      <c r="S2196" s="20">
        <v>7.0000000000000173E-2</v>
      </c>
      <c r="T2196" s="20"/>
    </row>
    <row r="2197" spans="13:20" x14ac:dyDescent="0.2">
      <c r="M2197" s="20">
        <v>1.0737484730818526E-2</v>
      </c>
      <c r="N2197" s="20">
        <v>6.8579222078568277E-4</v>
      </c>
      <c r="O2197" s="20">
        <v>6.3868982166497043E-2</v>
      </c>
      <c r="P2197" s="20"/>
      <c r="Q2197" s="20"/>
      <c r="R2197" s="20">
        <v>0</v>
      </c>
      <c r="S2197" s="20">
        <v>0.84</v>
      </c>
      <c r="T2197" s="20">
        <v>0.16000000000000003</v>
      </c>
    </row>
    <row r="2198" spans="13:20" x14ac:dyDescent="0.2">
      <c r="M2198" s="20">
        <v>1.1730447987458138E-2</v>
      </c>
      <c r="N2198" s="20">
        <v>1.3087596828926234E-3</v>
      </c>
      <c r="O2198" s="20">
        <v>0.11156945449073317</v>
      </c>
      <c r="P2198" s="20"/>
      <c r="Q2198" s="20">
        <v>0.13</v>
      </c>
      <c r="R2198" s="20">
        <v>0.26</v>
      </c>
      <c r="S2198" s="20">
        <v>0.09</v>
      </c>
      <c r="T2198" s="20">
        <v>0.51999999999999991</v>
      </c>
    </row>
    <row r="2199" spans="13:20" x14ac:dyDescent="0.2">
      <c r="M2199" s="20">
        <v>1.1004230292705927E-2</v>
      </c>
      <c r="N2199" s="20">
        <v>6.4544753349711243E-4</v>
      </c>
      <c r="O2199" s="20">
        <v>5.865449162082173E-2</v>
      </c>
      <c r="P2199" s="20"/>
      <c r="Q2199" s="20"/>
      <c r="R2199" s="20"/>
      <c r="S2199" s="20">
        <v>0.88</v>
      </c>
      <c r="T2199" s="20">
        <v>0.11999999999999988</v>
      </c>
    </row>
    <row r="2200" spans="13:20" x14ac:dyDescent="0.2">
      <c r="M2200" s="20">
        <v>1.349365162936114E-2</v>
      </c>
      <c r="N2200" s="20">
        <v>1.2423010863861477E-3</v>
      </c>
      <c r="O2200" s="20">
        <v>9.2065596512288558E-2</v>
      </c>
      <c r="P2200" s="20">
        <v>7.0000000000000007E-2</v>
      </c>
      <c r="Q2200" s="20">
        <v>0.51</v>
      </c>
      <c r="R2200" s="20">
        <v>0.06</v>
      </c>
      <c r="S2200" s="20">
        <v>0.21</v>
      </c>
      <c r="T2200" s="20">
        <v>0.14999999999999991</v>
      </c>
    </row>
    <row r="2201" spans="13:20" x14ac:dyDescent="0.2">
      <c r="M2201" s="20">
        <v>1.2275056160251751E-2</v>
      </c>
      <c r="N2201" s="20">
        <v>1.7846816654784724E-3</v>
      </c>
      <c r="O2201" s="20">
        <v>0.14539091652040723</v>
      </c>
      <c r="P2201" s="20">
        <v>0.41</v>
      </c>
      <c r="Q2201" s="20">
        <v>0.34</v>
      </c>
      <c r="R2201" s="20">
        <v>0.24999999999999989</v>
      </c>
      <c r="S2201" s="20"/>
      <c r="T2201" s="20"/>
    </row>
    <row r="2202" spans="13:20" x14ac:dyDescent="0.2">
      <c r="M2202" s="20">
        <v>1.697797094601055E-2</v>
      </c>
      <c r="N2202" s="20">
        <v>1.2571588552605557E-3</v>
      </c>
      <c r="O2202" s="20">
        <v>7.4046472293908622E-2</v>
      </c>
      <c r="P2202" s="20"/>
      <c r="Q2202" s="20">
        <v>0.84</v>
      </c>
      <c r="R2202" s="20">
        <v>0.16000000000000014</v>
      </c>
      <c r="S2202" s="20"/>
      <c r="T2202" s="20"/>
    </row>
    <row r="2203" spans="13:20" x14ac:dyDescent="0.2">
      <c r="M2203" s="20">
        <v>1.6118413230157853E-2</v>
      </c>
      <c r="N2203" s="20">
        <v>1.2479818329053469E-3</v>
      </c>
      <c r="O2203" s="20">
        <v>7.7425849249872156E-2</v>
      </c>
      <c r="P2203" s="20"/>
      <c r="Q2203" s="20">
        <v>0.77</v>
      </c>
      <c r="R2203" s="20">
        <v>0.22999999999999987</v>
      </c>
      <c r="S2203" s="20"/>
      <c r="T2203" s="20"/>
    </row>
    <row r="2204" spans="13:20" x14ac:dyDescent="0.2">
      <c r="M2204" s="20">
        <v>1.1429473454397758E-2</v>
      </c>
      <c r="N2204" s="20">
        <v>1.8661308023636576E-3</v>
      </c>
      <c r="O2204" s="20">
        <v>0.16327355847225139</v>
      </c>
      <c r="P2204" s="20">
        <v>0.59</v>
      </c>
      <c r="Q2204" s="20">
        <v>3.9999999999999925E-2</v>
      </c>
      <c r="R2204" s="20"/>
      <c r="S2204" s="20">
        <v>0.28000000000000003</v>
      </c>
      <c r="T2204" s="20">
        <v>0.09</v>
      </c>
    </row>
    <row r="2205" spans="13:20" x14ac:dyDescent="0.2">
      <c r="M2205" s="20">
        <v>1.2161274978144907E-2</v>
      </c>
      <c r="N2205" s="20">
        <v>1.1830892828539657E-3</v>
      </c>
      <c r="O2205" s="20">
        <v>9.7283326376560175E-2</v>
      </c>
      <c r="P2205" s="20"/>
      <c r="Q2205" s="20">
        <v>0.37</v>
      </c>
      <c r="R2205" s="20">
        <v>0.61</v>
      </c>
      <c r="S2205" s="20">
        <v>2.0000000000000018E-2</v>
      </c>
      <c r="T2205" s="20"/>
    </row>
    <row r="2206" spans="13:20" x14ac:dyDescent="0.2">
      <c r="M2206" s="20">
        <v>9.7922382850035954E-3</v>
      </c>
      <c r="N2206" s="20">
        <v>9.7270067469539174E-4</v>
      </c>
      <c r="O2206" s="20">
        <v>9.9333844457711193E-2</v>
      </c>
      <c r="P2206" s="20"/>
      <c r="Q2206" s="20"/>
      <c r="R2206" s="20">
        <v>0.72</v>
      </c>
      <c r="S2206" s="20">
        <v>0.28000000000000014</v>
      </c>
      <c r="T2206" s="20"/>
    </row>
    <row r="2207" spans="13:20" x14ac:dyDescent="0.2">
      <c r="M2207" s="20">
        <v>1.0267488646913093E-2</v>
      </c>
      <c r="N2207" s="20">
        <v>7.9674011082925072E-4</v>
      </c>
      <c r="O2207" s="20">
        <v>7.7598343492572511E-2</v>
      </c>
      <c r="P2207" s="20"/>
      <c r="Q2207" s="20"/>
      <c r="R2207" s="20"/>
      <c r="S2207" s="20">
        <v>0.73</v>
      </c>
      <c r="T2207" s="20">
        <v>0.27000000000000013</v>
      </c>
    </row>
    <row r="2208" spans="13:20" x14ac:dyDescent="0.2">
      <c r="M2208" s="20">
        <v>9.6618380921751085E-3</v>
      </c>
      <c r="N2208" s="20">
        <v>8.1031644385901286E-4</v>
      </c>
      <c r="O2208" s="20">
        <v>8.3867731598117834E-2</v>
      </c>
      <c r="P2208" s="20"/>
      <c r="Q2208" s="20"/>
      <c r="R2208" s="20">
        <v>0.2</v>
      </c>
      <c r="S2208" s="20">
        <v>0.64</v>
      </c>
      <c r="T2208" s="20">
        <v>0.15999999999999981</v>
      </c>
    </row>
    <row r="2209" spans="13:20" x14ac:dyDescent="0.2">
      <c r="M2209" s="20">
        <v>1.7103671905773405E-2</v>
      </c>
      <c r="N2209" s="20">
        <v>1.2584698584541566E-3</v>
      </c>
      <c r="O2209" s="20">
        <v>7.3578928863184956E-2</v>
      </c>
      <c r="P2209" s="20"/>
      <c r="Q2209" s="20">
        <v>0.85</v>
      </c>
      <c r="R2209" s="20">
        <v>0.14999999999999991</v>
      </c>
      <c r="S2209" s="20"/>
      <c r="T2209" s="20"/>
    </row>
    <row r="2210" spans="13:20" x14ac:dyDescent="0.2">
      <c r="M2210" s="20">
        <v>1.4749960029107697E-2</v>
      </c>
      <c r="N2210" s="20">
        <v>1.7133196270734071E-3</v>
      </c>
      <c r="O2210" s="20">
        <v>0.11615757762680899</v>
      </c>
      <c r="P2210" s="20">
        <v>0.17000000000000015</v>
      </c>
      <c r="Q2210" s="20"/>
      <c r="R2210" s="20"/>
      <c r="S2210" s="20"/>
      <c r="T2210" s="20">
        <v>0.83</v>
      </c>
    </row>
    <row r="2211" spans="13:20" x14ac:dyDescent="0.2">
      <c r="M2211" s="20">
        <v>1.3525196168835034E-2</v>
      </c>
      <c r="N2211" s="20">
        <v>1.6177799890436982E-3</v>
      </c>
      <c r="O2211" s="20">
        <v>0.11961231237232714</v>
      </c>
      <c r="P2211" s="20">
        <v>0.14000000000000001</v>
      </c>
      <c r="Q2211" s="20">
        <v>0.25</v>
      </c>
      <c r="R2211" s="20"/>
      <c r="S2211" s="20"/>
      <c r="T2211" s="20">
        <v>0.61</v>
      </c>
    </row>
    <row r="2212" spans="13:20" x14ac:dyDescent="0.2">
      <c r="M2212" s="20">
        <v>9.5663214340211758E-3</v>
      </c>
      <c r="N2212" s="20">
        <v>8.6685508508306086E-4</v>
      </c>
      <c r="O2212" s="20">
        <v>9.0615299837220803E-2</v>
      </c>
      <c r="P2212" s="20"/>
      <c r="Q2212" s="20"/>
      <c r="R2212" s="20">
        <v>0.55000000000000004</v>
      </c>
      <c r="S2212" s="20">
        <v>0.44999999999999996</v>
      </c>
      <c r="T2212" s="20"/>
    </row>
    <row r="2213" spans="13:20" x14ac:dyDescent="0.2">
      <c r="M2213" s="20">
        <v>9.7958402726293289E-3</v>
      </c>
      <c r="N2213" s="20">
        <v>1.1249842213697659E-3</v>
      </c>
      <c r="O2213" s="20">
        <v>0.11484305481308196</v>
      </c>
      <c r="P2213" s="20"/>
      <c r="Q2213" s="20"/>
      <c r="R2213" s="20">
        <v>0.43</v>
      </c>
      <c r="S2213" s="20">
        <v>0.24</v>
      </c>
      <c r="T2213" s="20">
        <v>0.32999999999999996</v>
      </c>
    </row>
    <row r="2214" spans="13:20" x14ac:dyDescent="0.2">
      <c r="M2214" s="20">
        <v>1.2877259406238479E-2</v>
      </c>
      <c r="N2214" s="20">
        <v>1.9342993853429631E-3</v>
      </c>
      <c r="O2214" s="20">
        <v>0.15021048534643</v>
      </c>
      <c r="P2214" s="20">
        <v>0.4</v>
      </c>
      <c r="Q2214" s="20">
        <v>8.9999999999999969E-2</v>
      </c>
      <c r="R2214" s="20"/>
      <c r="S2214" s="20"/>
      <c r="T2214" s="20">
        <v>0.51</v>
      </c>
    </row>
    <row r="2215" spans="13:20" x14ac:dyDescent="0.2">
      <c r="M2215" s="20">
        <v>9.7394437849265582E-3</v>
      </c>
      <c r="N2215" s="20">
        <v>9.6024825238805872E-4</v>
      </c>
      <c r="O2215" s="20">
        <v>9.85937465827572E-2</v>
      </c>
      <c r="P2215" s="20"/>
      <c r="Q2215" s="20"/>
      <c r="R2215" s="20">
        <v>0.7</v>
      </c>
      <c r="S2215" s="20">
        <v>0.30000000000000004</v>
      </c>
      <c r="T2215" s="20"/>
    </row>
    <row r="2216" spans="13:20" x14ac:dyDescent="0.2">
      <c r="M2216" s="20">
        <v>1.1905216375172735E-2</v>
      </c>
      <c r="N2216" s="20">
        <v>1.9405235731855409E-3</v>
      </c>
      <c r="O2216" s="20">
        <v>0.1629977576243242</v>
      </c>
      <c r="P2216" s="20">
        <v>0.44</v>
      </c>
      <c r="Q2216" s="20">
        <v>0.02</v>
      </c>
      <c r="R2216" s="20">
        <v>0.1399999999999999</v>
      </c>
      <c r="S2216" s="20"/>
      <c r="T2216" s="20">
        <v>0.4</v>
      </c>
    </row>
    <row r="2217" spans="13:20" x14ac:dyDescent="0.2">
      <c r="M2217" s="20">
        <v>9.6223646147815013E-3</v>
      </c>
      <c r="N2217" s="20">
        <v>9.2289098546605955E-4</v>
      </c>
      <c r="O2217" s="20">
        <v>9.5911038753234368E-2</v>
      </c>
      <c r="P2217" s="20"/>
      <c r="Q2217" s="20"/>
      <c r="R2217" s="20">
        <v>0.64</v>
      </c>
      <c r="S2217" s="20">
        <v>0.36</v>
      </c>
      <c r="T2217" s="20"/>
    </row>
    <row r="2218" spans="13:20" x14ac:dyDescent="0.2">
      <c r="M2218" s="20">
        <v>9.608987485392512E-3</v>
      </c>
      <c r="N2218" s="20">
        <v>9.1666477431239304E-4</v>
      </c>
      <c r="O2218" s="20">
        <v>9.5396604034077237E-2</v>
      </c>
      <c r="P2218" s="20"/>
      <c r="Q2218" s="20"/>
      <c r="R2218" s="20">
        <v>0.63</v>
      </c>
      <c r="S2218" s="20">
        <v>0.36999999999999988</v>
      </c>
      <c r="T2218" s="20"/>
    </row>
    <row r="2219" spans="13:20" x14ac:dyDescent="0.2">
      <c r="M2219" s="20">
        <v>1.1863708145930605E-2</v>
      </c>
      <c r="N2219" s="20">
        <v>5.4458581527568734E-4</v>
      </c>
      <c r="O2219" s="20">
        <v>4.5903507451208407E-2</v>
      </c>
      <c r="P2219" s="20"/>
      <c r="Q2219" s="20"/>
      <c r="R2219" s="20"/>
      <c r="S2219" s="20">
        <v>0.98</v>
      </c>
      <c r="T2219" s="20">
        <v>1.9999999999999907E-2</v>
      </c>
    </row>
    <row r="2220" spans="13:20" x14ac:dyDescent="0.2">
      <c r="M2220" s="20">
        <v>1.2418371488511373E-2</v>
      </c>
      <c r="N2220" s="20">
        <v>1.1994747147421026E-3</v>
      </c>
      <c r="O2220" s="20">
        <v>9.6588728711471908E-2</v>
      </c>
      <c r="P2220" s="20"/>
      <c r="Q2220" s="20">
        <v>0.4</v>
      </c>
      <c r="R2220" s="20">
        <v>0.6</v>
      </c>
      <c r="S2220" s="20"/>
      <c r="T2220" s="20"/>
    </row>
    <row r="2221" spans="13:20" x14ac:dyDescent="0.2">
      <c r="M2221" s="20">
        <v>1.084063784495717E-2</v>
      </c>
      <c r="N2221" s="20">
        <v>1.1263915567785311E-3</v>
      </c>
      <c r="O2221" s="20">
        <v>0.10390454629037386</v>
      </c>
      <c r="P2221" s="20"/>
      <c r="Q2221" s="20">
        <v>0.08</v>
      </c>
      <c r="R2221" s="20">
        <v>0.87</v>
      </c>
      <c r="S2221" s="20">
        <v>5.0000000000000044E-2</v>
      </c>
      <c r="T2221" s="20"/>
    </row>
    <row r="2222" spans="13:20" x14ac:dyDescent="0.2">
      <c r="M2222" s="20">
        <v>1.7103671905773405E-2</v>
      </c>
      <c r="N2222" s="20">
        <v>1.2584698584541568E-3</v>
      </c>
      <c r="O2222" s="20">
        <v>7.357892886318497E-2</v>
      </c>
      <c r="P2222" s="20"/>
      <c r="Q2222" s="20">
        <v>0.85</v>
      </c>
      <c r="R2222" s="20">
        <v>0.15000000000000002</v>
      </c>
      <c r="S2222" s="20"/>
      <c r="T2222" s="20"/>
    </row>
    <row r="2223" spans="13:20" x14ac:dyDescent="0.2">
      <c r="M2223" s="20">
        <v>1.1078226110210934E-2</v>
      </c>
      <c r="N2223" s="20">
        <v>6.3536136167497011E-4</v>
      </c>
      <c r="O2223" s="20">
        <v>5.7352265187054628E-2</v>
      </c>
      <c r="P2223" s="20"/>
      <c r="Q2223" s="20"/>
      <c r="R2223" s="20"/>
      <c r="S2223" s="20">
        <v>0.89</v>
      </c>
      <c r="T2223" s="20">
        <v>0.10999999999999999</v>
      </c>
    </row>
    <row r="2224" spans="13:20" x14ac:dyDescent="0.2">
      <c r="M2224" s="20">
        <v>1.3200339630829068E-2</v>
      </c>
      <c r="N2224" s="20">
        <v>1.9996609374939543E-3</v>
      </c>
      <c r="O2224" s="20">
        <v>0.15148556729735918</v>
      </c>
      <c r="P2224" s="20">
        <v>0.43999999999999984</v>
      </c>
      <c r="Q2224" s="20"/>
      <c r="R2224" s="20"/>
      <c r="S2224" s="20"/>
      <c r="T2224" s="20">
        <v>0.56000000000000005</v>
      </c>
    </row>
    <row r="2225" spans="13:20" x14ac:dyDescent="0.2">
      <c r="M2225" s="20">
        <v>1.1732238806170107E-2</v>
      </c>
      <c r="N2225" s="20">
        <v>1.5449136156705603E-3</v>
      </c>
      <c r="O2225" s="20">
        <v>0.1316810577413472</v>
      </c>
      <c r="P2225" s="20">
        <v>0.18</v>
      </c>
      <c r="Q2225" s="20">
        <v>0.28999999999999998</v>
      </c>
      <c r="R2225" s="20">
        <v>0.22</v>
      </c>
      <c r="S2225" s="20">
        <v>2.0000000000000018E-2</v>
      </c>
      <c r="T2225" s="20">
        <v>0.28999999999999998</v>
      </c>
    </row>
    <row r="2226" spans="13:20" x14ac:dyDescent="0.2">
      <c r="M2226" s="20">
        <v>1.0379223682767946E-2</v>
      </c>
      <c r="N2226" s="20">
        <v>7.8821112469851912E-4</v>
      </c>
      <c r="O2226" s="20">
        <v>7.5941240769976159E-2</v>
      </c>
      <c r="P2226" s="20">
        <v>3.0000000000000027E-2</v>
      </c>
      <c r="Q2226" s="20"/>
      <c r="R2226" s="20"/>
      <c r="S2226" s="20">
        <v>0.77</v>
      </c>
      <c r="T2226" s="20">
        <v>0.2</v>
      </c>
    </row>
    <row r="2227" spans="13:20" x14ac:dyDescent="0.2">
      <c r="M2227" s="20">
        <v>1.2545157697099048E-2</v>
      </c>
      <c r="N2227" s="20">
        <v>2.0364187129549554E-3</v>
      </c>
      <c r="O2227" s="20">
        <v>0.1623270716976207</v>
      </c>
      <c r="P2227" s="20">
        <v>0.5</v>
      </c>
      <c r="Q2227" s="20">
        <v>0.06</v>
      </c>
      <c r="R2227" s="20">
        <v>3.0000000000000138E-2</v>
      </c>
      <c r="S2227" s="20"/>
      <c r="T2227" s="20">
        <v>0.41</v>
      </c>
    </row>
    <row r="2228" spans="13:20" x14ac:dyDescent="0.2">
      <c r="M2228" s="20">
        <v>1.3656939195353462E-2</v>
      </c>
      <c r="N2228" s="20">
        <v>1.2914657345848984E-3</v>
      </c>
      <c r="O2228" s="20">
        <v>9.456480080282538E-2</v>
      </c>
      <c r="P2228" s="20">
        <v>0.05</v>
      </c>
      <c r="Q2228" s="20">
        <v>0.55000000000000004</v>
      </c>
      <c r="R2228" s="20">
        <v>0.39999999999999991</v>
      </c>
      <c r="S2228" s="20"/>
      <c r="T2228" s="20"/>
    </row>
    <row r="2229" spans="13:20" x14ac:dyDescent="0.2">
      <c r="M2229" s="20">
        <v>1.0858593828743398E-2</v>
      </c>
      <c r="N2229" s="20">
        <v>1.5851995965107731E-3</v>
      </c>
      <c r="O2229" s="20">
        <v>0.14598571615365588</v>
      </c>
      <c r="P2229" s="20">
        <v>0.5</v>
      </c>
      <c r="Q2229" s="20">
        <v>0.01</v>
      </c>
      <c r="R2229" s="20">
        <v>0.03</v>
      </c>
      <c r="S2229" s="20">
        <v>0.45999999999999996</v>
      </c>
      <c r="T2229" s="20"/>
    </row>
    <row r="2230" spans="13:20" x14ac:dyDescent="0.2">
      <c r="M2230" s="20">
        <v>1.3299565419438806E-2</v>
      </c>
      <c r="N2230" s="20">
        <v>2.1824063336403892E-3</v>
      </c>
      <c r="O2230" s="20">
        <v>0.16409606365412191</v>
      </c>
      <c r="P2230" s="20">
        <v>0.67</v>
      </c>
      <c r="Q2230" s="20">
        <v>0.24</v>
      </c>
      <c r="R2230" s="20"/>
      <c r="S2230" s="20"/>
      <c r="T2230" s="20">
        <v>0.09</v>
      </c>
    </row>
    <row r="2231" spans="13:20" x14ac:dyDescent="0.2">
      <c r="M2231" s="20">
        <v>1.2956551174077428E-2</v>
      </c>
      <c r="N2231" s="20">
        <v>2.1799499107217069E-3</v>
      </c>
      <c r="O2231" s="20">
        <v>0.16825078536973634</v>
      </c>
      <c r="P2231" s="20">
        <v>0.61</v>
      </c>
      <c r="Q2231" s="20"/>
      <c r="R2231" s="20"/>
      <c r="S2231" s="20"/>
      <c r="T2231" s="20">
        <v>0.39</v>
      </c>
    </row>
    <row r="2232" spans="13:20" x14ac:dyDescent="0.2">
      <c r="M2232" s="20">
        <v>1.4319271568267724E-2</v>
      </c>
      <c r="N2232" s="20">
        <v>2.5146288786086829E-3</v>
      </c>
      <c r="O2232" s="20">
        <v>0.17561150835222902</v>
      </c>
      <c r="P2232" s="20">
        <v>0.94</v>
      </c>
      <c r="Q2232" s="20">
        <v>0.06</v>
      </c>
      <c r="R2232" s="20">
        <v>0</v>
      </c>
      <c r="S2232" s="20"/>
      <c r="T2232" s="20"/>
    </row>
    <row r="2233" spans="13:20" x14ac:dyDescent="0.2">
      <c r="M2233" s="20">
        <v>1.4717497841985415E-2</v>
      </c>
      <c r="N2233" s="20">
        <v>1.8700735100951201E-3</v>
      </c>
      <c r="O2233" s="20">
        <v>0.12706463626991393</v>
      </c>
      <c r="P2233" s="20">
        <v>0.45</v>
      </c>
      <c r="Q2233" s="20">
        <v>0.54999999999999993</v>
      </c>
      <c r="R2233" s="20"/>
      <c r="S2233" s="20"/>
      <c r="T2233" s="20"/>
    </row>
    <row r="2234" spans="13:20" x14ac:dyDescent="0.2">
      <c r="M2234" s="20">
        <v>1.1719600580907154E-2</v>
      </c>
      <c r="N2234" s="20">
        <v>1.1850536796124893E-3</v>
      </c>
      <c r="O2234" s="20">
        <v>0.10111724127724157</v>
      </c>
      <c r="P2234" s="20"/>
      <c r="Q2234" s="20">
        <v>0.28999999999999998</v>
      </c>
      <c r="R2234" s="20">
        <v>0.71</v>
      </c>
      <c r="S2234" s="20"/>
      <c r="T2234" s="20"/>
    </row>
    <row r="2235" spans="13:20" x14ac:dyDescent="0.2">
      <c r="M2235" s="20">
        <v>9.7780238302219193E-3</v>
      </c>
      <c r="N2235" s="20">
        <v>1.5063214343563054E-3</v>
      </c>
      <c r="O2235" s="20">
        <v>0.15405172461336888</v>
      </c>
      <c r="P2235" s="20">
        <v>0.38</v>
      </c>
      <c r="Q2235" s="20">
        <v>0.02</v>
      </c>
      <c r="R2235" s="20">
        <v>0.28999999999999998</v>
      </c>
      <c r="S2235" s="20">
        <v>0.31000000000000005</v>
      </c>
      <c r="T2235" s="20"/>
    </row>
    <row r="2236" spans="13:20" x14ac:dyDescent="0.2">
      <c r="M2236" s="20">
        <v>1.7319952818756659E-2</v>
      </c>
      <c r="N2236" s="20">
        <v>1.4754477742704901E-3</v>
      </c>
      <c r="O2236" s="20">
        <v>8.5187747894593144E-2</v>
      </c>
      <c r="P2236" s="20">
        <v>0.15</v>
      </c>
      <c r="Q2236" s="20">
        <v>0.85</v>
      </c>
      <c r="R2236" s="20"/>
      <c r="S2236" s="20"/>
      <c r="T2236" s="20"/>
    </row>
    <row r="2237" spans="13:20" x14ac:dyDescent="0.2">
      <c r="M2237" s="20">
        <v>1.5298716201155594E-2</v>
      </c>
      <c r="N2237" s="20">
        <v>1.2388048105501388E-3</v>
      </c>
      <c r="O2237" s="20">
        <v>8.0974429112984345E-2</v>
      </c>
      <c r="P2237" s="20"/>
      <c r="Q2237" s="20">
        <v>0.7</v>
      </c>
      <c r="R2237" s="20">
        <v>0.30000000000000016</v>
      </c>
      <c r="S2237" s="20"/>
      <c r="T2237" s="20"/>
    </row>
    <row r="2238" spans="13:20" x14ac:dyDescent="0.2">
      <c r="M2238" s="20">
        <v>1.4148879873072288E-2</v>
      </c>
      <c r="N2238" s="20">
        <v>2.4620121138320657E-3</v>
      </c>
      <c r="O2238" s="20">
        <v>0.17400756356110503</v>
      </c>
      <c r="P2238" s="20">
        <v>0.9</v>
      </c>
      <c r="Q2238" s="20">
        <v>9.9999999999999978E-2</v>
      </c>
      <c r="R2238" s="20"/>
      <c r="S2238" s="20"/>
      <c r="T2238" s="20"/>
    </row>
    <row r="2239" spans="13:20" x14ac:dyDescent="0.2">
      <c r="M2239" s="20">
        <v>1.3651225834269712E-2</v>
      </c>
      <c r="N2239" s="20">
        <v>2.4344755199844159E-3</v>
      </c>
      <c r="O2239" s="20">
        <v>0.17833383972543818</v>
      </c>
      <c r="P2239" s="20">
        <v>0.85000000000000009</v>
      </c>
      <c r="Q2239" s="20"/>
      <c r="R2239" s="20"/>
      <c r="S2239" s="20"/>
      <c r="T2239" s="20">
        <v>0.15</v>
      </c>
    </row>
    <row r="2240" spans="13:20" x14ac:dyDescent="0.2">
      <c r="M2240" s="20">
        <v>1.3043650475989517E-2</v>
      </c>
      <c r="N2240" s="20">
        <v>1.285782287035991E-3</v>
      </c>
      <c r="O2240" s="20">
        <v>9.8575340500179187E-2</v>
      </c>
      <c r="P2240" s="20"/>
      <c r="Q2240" s="20">
        <v>0.46</v>
      </c>
      <c r="R2240" s="20">
        <v>0.18</v>
      </c>
      <c r="S2240" s="20">
        <v>0.06</v>
      </c>
      <c r="T2240" s="20">
        <v>0.30000000000000004</v>
      </c>
    </row>
    <row r="2241" spans="13:20" x14ac:dyDescent="0.2">
      <c r="M2241" s="20">
        <v>1.0546001567947496E-2</v>
      </c>
      <c r="N2241" s="20">
        <v>1.646644923718966E-3</v>
      </c>
      <c r="O2241" s="20">
        <v>0.15613926407176162</v>
      </c>
      <c r="P2241" s="20">
        <v>0.43999999999999995</v>
      </c>
      <c r="Q2241" s="20"/>
      <c r="R2241" s="20"/>
      <c r="S2241" s="20">
        <v>0.35</v>
      </c>
      <c r="T2241" s="20">
        <v>0.21</v>
      </c>
    </row>
    <row r="2242" spans="13:20" x14ac:dyDescent="0.2">
      <c r="M2242" s="20">
        <v>1.1612086704872638E-2</v>
      </c>
      <c r="N2242" s="20">
        <v>7.1702555397983796E-4</v>
      </c>
      <c r="O2242" s="20">
        <v>6.1748208758978795E-2</v>
      </c>
      <c r="P2242" s="20">
        <v>7.0000000000000007E-2</v>
      </c>
      <c r="Q2242" s="20">
        <v>4.9999999999999933E-2</v>
      </c>
      <c r="R2242" s="20"/>
      <c r="S2242" s="20">
        <v>0.87</v>
      </c>
      <c r="T2242" s="20">
        <v>0.01</v>
      </c>
    </row>
    <row r="2243" spans="13:20" x14ac:dyDescent="0.2">
      <c r="M2243" s="20">
        <v>1.039134687011423E-2</v>
      </c>
      <c r="N2243" s="20">
        <v>7.5639542354068038E-4</v>
      </c>
      <c r="O2243" s="20">
        <v>7.2790893518923164E-2</v>
      </c>
      <c r="P2243" s="20"/>
      <c r="Q2243" s="20"/>
      <c r="R2243" s="20"/>
      <c r="S2243" s="20">
        <v>0.77</v>
      </c>
      <c r="T2243" s="20">
        <v>0.22999999999999998</v>
      </c>
    </row>
    <row r="2244" spans="13:20" x14ac:dyDescent="0.2">
      <c r="M2244" s="20">
        <v>1.472335671566647E-2</v>
      </c>
      <c r="N2244" s="20">
        <v>1.4768470959803757E-3</v>
      </c>
      <c r="O2244" s="20">
        <v>0.10030641276312542</v>
      </c>
      <c r="P2244" s="20">
        <v>0.17</v>
      </c>
      <c r="Q2244" s="20">
        <v>0.64</v>
      </c>
      <c r="R2244" s="20">
        <v>0.18999999999999995</v>
      </c>
      <c r="S2244" s="20"/>
      <c r="T2244" s="20"/>
    </row>
    <row r="2245" spans="13:20" x14ac:dyDescent="0.2">
      <c r="M2245" s="20">
        <v>1.1612990586536162E-2</v>
      </c>
      <c r="N2245" s="20">
        <v>1.9197856909345496E-3</v>
      </c>
      <c r="O2245" s="20">
        <v>0.1653136353318245</v>
      </c>
      <c r="P2245" s="20">
        <v>0.65000000000000013</v>
      </c>
      <c r="Q2245" s="20"/>
      <c r="R2245" s="20"/>
      <c r="S2245" s="20">
        <v>0.3</v>
      </c>
      <c r="T2245" s="20">
        <v>0.05</v>
      </c>
    </row>
    <row r="2246" spans="13:20" x14ac:dyDescent="0.2">
      <c r="M2246" s="20">
        <v>1.0111038660449708E-2</v>
      </c>
      <c r="N2246" s="20">
        <v>1.0287365750783904E-3</v>
      </c>
      <c r="O2246" s="20">
        <v>0.10174390679588553</v>
      </c>
      <c r="P2246" s="20"/>
      <c r="Q2246" s="20"/>
      <c r="R2246" s="20">
        <v>0.81</v>
      </c>
      <c r="S2246" s="20">
        <v>0.19000000000000006</v>
      </c>
      <c r="T2246" s="20"/>
    </row>
    <row r="2247" spans="13:20" x14ac:dyDescent="0.2">
      <c r="M2247" s="20">
        <v>9.5795363962064995E-3</v>
      </c>
      <c r="N2247" s="20">
        <v>8.9798614085139351E-4</v>
      </c>
      <c r="O2247" s="20">
        <v>9.3740041658696191E-2</v>
      </c>
      <c r="P2247" s="20"/>
      <c r="Q2247" s="20"/>
      <c r="R2247" s="20">
        <v>0.6</v>
      </c>
      <c r="S2247" s="20">
        <v>0.4</v>
      </c>
      <c r="T2247" s="20"/>
    </row>
    <row r="2248" spans="13:20" x14ac:dyDescent="0.2">
      <c r="M2248" s="20">
        <v>1.2067284507675202E-2</v>
      </c>
      <c r="N2248" s="20">
        <v>1.0398864263196359E-3</v>
      </c>
      <c r="O2248" s="20">
        <v>8.6174020812903929E-2</v>
      </c>
      <c r="P2248" s="20"/>
      <c r="Q2248" s="20">
        <v>0.37</v>
      </c>
      <c r="R2248" s="20">
        <v>0.38</v>
      </c>
      <c r="S2248" s="20">
        <v>0.25</v>
      </c>
      <c r="T2248" s="20"/>
    </row>
    <row r="2249" spans="13:20" x14ac:dyDescent="0.2">
      <c r="M2249" s="20">
        <v>1.3339230760895628E-2</v>
      </c>
      <c r="N2249" s="20">
        <v>1.5176648320145824E-3</v>
      </c>
      <c r="O2249" s="20">
        <v>0.11377453911837737</v>
      </c>
      <c r="P2249" s="20">
        <v>0.21</v>
      </c>
      <c r="Q2249" s="20">
        <v>0.51</v>
      </c>
      <c r="R2249" s="20">
        <v>0.28000000000000014</v>
      </c>
      <c r="S2249" s="20"/>
      <c r="T2249" s="20"/>
    </row>
    <row r="2250" spans="13:20" x14ac:dyDescent="0.2">
      <c r="M2250" s="20">
        <v>9.6089874853925138E-3</v>
      </c>
      <c r="N2250" s="20">
        <v>9.1666477431239315E-4</v>
      </c>
      <c r="O2250" s="20">
        <v>9.5396604034077237E-2</v>
      </c>
      <c r="P2250" s="20"/>
      <c r="Q2250" s="20"/>
      <c r="R2250" s="20">
        <v>0.63</v>
      </c>
      <c r="S2250" s="20">
        <v>0.37000000000000011</v>
      </c>
      <c r="T2250" s="20"/>
    </row>
    <row r="2251" spans="13:20" x14ac:dyDescent="0.2">
      <c r="M2251" s="20">
        <v>1.5844538952984325E-2</v>
      </c>
      <c r="N2251" s="20">
        <v>1.6727606421828053E-3</v>
      </c>
      <c r="O2251" s="20">
        <v>0.10557332385286856</v>
      </c>
      <c r="P2251" s="20">
        <v>0.3</v>
      </c>
      <c r="Q2251" s="20">
        <v>0.70000000000000007</v>
      </c>
      <c r="R2251" s="20"/>
      <c r="S2251" s="20"/>
      <c r="T2251" s="20"/>
    </row>
    <row r="2252" spans="13:20" x14ac:dyDescent="0.2">
      <c r="M2252" s="20">
        <v>9.588121303623345E-3</v>
      </c>
      <c r="N2252" s="20">
        <v>8.4195024046839482E-4</v>
      </c>
      <c r="O2252" s="20">
        <v>8.7811805233442591E-2</v>
      </c>
      <c r="P2252" s="20"/>
      <c r="Q2252" s="20"/>
      <c r="R2252" s="20">
        <v>0.51</v>
      </c>
      <c r="S2252" s="20">
        <v>0.49</v>
      </c>
      <c r="T2252" s="20"/>
    </row>
    <row r="2253" spans="13:20" x14ac:dyDescent="0.2">
      <c r="M2253" s="20">
        <v>9.5980502546850321E-3</v>
      </c>
      <c r="N2253" s="20">
        <v>8.3572402931472831E-4</v>
      </c>
      <c r="O2253" s="20">
        <v>8.7072270631922549E-2</v>
      </c>
      <c r="P2253" s="20"/>
      <c r="Q2253" s="20"/>
      <c r="R2253" s="20">
        <v>0.5</v>
      </c>
      <c r="S2253" s="20">
        <v>0.50000000000000011</v>
      </c>
      <c r="T2253" s="20"/>
    </row>
    <row r="2254" spans="13:20" x14ac:dyDescent="0.2">
      <c r="M2254" s="20">
        <v>1.0112915214688326E-2</v>
      </c>
      <c r="N2254" s="20">
        <v>7.8752647930901293E-4</v>
      </c>
      <c r="O2254" s="20">
        <v>7.787333944668931E-2</v>
      </c>
      <c r="P2254" s="20"/>
      <c r="Q2254" s="20"/>
      <c r="R2254" s="20">
        <v>0.05</v>
      </c>
      <c r="S2254" s="20">
        <v>0.72</v>
      </c>
      <c r="T2254" s="20">
        <v>0.22999999999999998</v>
      </c>
    </row>
    <row r="2255" spans="13:20" x14ac:dyDescent="0.2">
      <c r="M2255" s="20">
        <v>1.3619903290550236E-2</v>
      </c>
      <c r="N2255" s="20">
        <v>1.3391784245348236E-3</v>
      </c>
      <c r="O2255" s="20">
        <v>9.8325105249754061E-2</v>
      </c>
      <c r="P2255" s="20">
        <v>0.13</v>
      </c>
      <c r="Q2255" s="20">
        <v>0.51000000000000012</v>
      </c>
      <c r="R2255" s="20"/>
      <c r="S2255" s="20">
        <v>0.2</v>
      </c>
      <c r="T2255" s="20">
        <v>0.16</v>
      </c>
    </row>
    <row r="2256" spans="13:20" x14ac:dyDescent="0.2">
      <c r="M2256" s="20">
        <v>1.052146977832474E-2</v>
      </c>
      <c r="N2256" s="20">
        <v>1.3406503315512705E-3</v>
      </c>
      <c r="O2256" s="20">
        <v>0.12742044218129503</v>
      </c>
      <c r="P2256" s="20">
        <v>0.17999999999999994</v>
      </c>
      <c r="Q2256" s="20"/>
      <c r="R2256" s="20"/>
      <c r="S2256" s="20">
        <v>0.38</v>
      </c>
      <c r="T2256" s="20">
        <v>0.44</v>
      </c>
    </row>
    <row r="2257" spans="13:20" x14ac:dyDescent="0.2">
      <c r="M2257" s="20">
        <v>1.02758525951304E-2</v>
      </c>
      <c r="N2257" s="20">
        <v>7.6884784584801361E-4</v>
      </c>
      <c r="O2257" s="20">
        <v>7.4820832503218387E-2</v>
      </c>
      <c r="P2257" s="20"/>
      <c r="Q2257" s="20"/>
      <c r="R2257" s="20">
        <v>0.02</v>
      </c>
      <c r="S2257" s="20">
        <v>0.75</v>
      </c>
      <c r="T2257" s="20">
        <v>0.23000000000000009</v>
      </c>
    </row>
    <row r="2258" spans="13:20" x14ac:dyDescent="0.2">
      <c r="M2258" s="20">
        <v>1.6100360939876667E-2</v>
      </c>
      <c r="N2258" s="20">
        <v>1.5542411212842141E-3</v>
      </c>
      <c r="O2258" s="20">
        <v>9.6534551435722038E-2</v>
      </c>
      <c r="P2258" s="20">
        <v>2.0000000000000129E-2</v>
      </c>
      <c r="Q2258" s="20"/>
      <c r="R2258" s="20"/>
      <c r="S2258" s="20"/>
      <c r="T2258" s="20">
        <v>0.98</v>
      </c>
    </row>
    <row r="2259" spans="13:20" x14ac:dyDescent="0.2">
      <c r="M2259" s="20">
        <v>1.6259373975126574E-2</v>
      </c>
      <c r="N2259" s="20">
        <v>1.2754400204763755E-3</v>
      </c>
      <c r="O2259" s="20">
        <v>7.8443365804091267E-2</v>
      </c>
      <c r="P2259" s="20"/>
      <c r="Q2259" s="20">
        <v>0.78</v>
      </c>
      <c r="R2259" s="20">
        <v>0.1</v>
      </c>
      <c r="S2259" s="20">
        <v>0.02</v>
      </c>
      <c r="T2259" s="20">
        <v>0.10000000000000009</v>
      </c>
    </row>
    <row r="2260" spans="13:20" x14ac:dyDescent="0.2">
      <c r="M2260" s="20">
        <v>1.3481829792556259E-2</v>
      </c>
      <c r="N2260" s="20">
        <v>1.8885106853514094E-3</v>
      </c>
      <c r="O2260" s="20">
        <v>0.14007821745339905</v>
      </c>
      <c r="P2260" s="20">
        <v>0.34</v>
      </c>
      <c r="Q2260" s="20">
        <v>1.9999999999999907E-2</v>
      </c>
      <c r="R2260" s="20"/>
      <c r="S2260" s="20"/>
      <c r="T2260" s="20">
        <v>0.64</v>
      </c>
    </row>
    <row r="2261" spans="13:20" x14ac:dyDescent="0.2">
      <c r="M2261" s="20">
        <v>1.1928806710928903E-2</v>
      </c>
      <c r="N2261" s="20">
        <v>1.3354597125798998E-3</v>
      </c>
      <c r="O2261" s="20">
        <v>0.11195249826257826</v>
      </c>
      <c r="P2261" s="20">
        <v>7.9999999999999849E-2</v>
      </c>
      <c r="Q2261" s="20"/>
      <c r="R2261" s="20"/>
      <c r="S2261" s="20">
        <v>0.28000000000000003</v>
      </c>
      <c r="T2261" s="20">
        <v>0.64</v>
      </c>
    </row>
    <row r="2262" spans="13:20" x14ac:dyDescent="0.2">
      <c r="M2262" s="20">
        <v>1.2253662841769203E-2</v>
      </c>
      <c r="N2262" s="20">
        <v>1.6471886145114092E-3</v>
      </c>
      <c r="O2262" s="20">
        <v>0.13442418285711422</v>
      </c>
      <c r="P2262" s="20">
        <v>0.25</v>
      </c>
      <c r="Q2262" s="20">
        <v>0.35</v>
      </c>
      <c r="R2262" s="20">
        <v>0.15999999999999992</v>
      </c>
      <c r="S2262" s="20"/>
      <c r="T2262" s="20">
        <v>0.24</v>
      </c>
    </row>
    <row r="2263" spans="13:20" x14ac:dyDescent="0.2">
      <c r="M2263" s="20">
        <v>8.065786899942173E-3</v>
      </c>
      <c r="N2263" s="20">
        <v>1.0006714321984835E-3</v>
      </c>
      <c r="O2263" s="20">
        <v>0.12406370818024684</v>
      </c>
      <c r="P2263" s="20">
        <v>0.09</v>
      </c>
      <c r="Q2263" s="20">
        <v>0.1</v>
      </c>
      <c r="R2263" s="20">
        <v>7.0000000000000007E-2</v>
      </c>
      <c r="S2263" s="20">
        <v>0.16</v>
      </c>
      <c r="T2263" s="20">
        <v>0.31</v>
      </c>
    </row>
    <row r="2264" spans="13:20" x14ac:dyDescent="0.2">
      <c r="M2264" s="20">
        <v>1.372847170323371E-2</v>
      </c>
      <c r="N2264" s="20">
        <v>1.8723981328626002E-3</v>
      </c>
      <c r="O2264" s="20">
        <v>0.136387951502392</v>
      </c>
      <c r="P2264" s="20">
        <v>0.32000000000000006</v>
      </c>
      <c r="Q2264" s="20"/>
      <c r="R2264" s="20"/>
      <c r="S2264" s="20"/>
      <c r="T2264" s="20">
        <v>0.68</v>
      </c>
    </row>
    <row r="2265" spans="13:20" x14ac:dyDescent="0.2">
      <c r="M2265" s="20">
        <v>1.0502583005742475E-2</v>
      </c>
      <c r="N2265" s="20">
        <v>9.984635472721009E-4</v>
      </c>
      <c r="O2265" s="20">
        <v>9.5068379533508385E-2</v>
      </c>
      <c r="P2265" s="20"/>
      <c r="Q2265" s="20"/>
      <c r="R2265" s="20"/>
      <c r="S2265" s="20">
        <v>0.53</v>
      </c>
      <c r="T2265" s="20">
        <v>0.47</v>
      </c>
    </row>
    <row r="2266" spans="13:20" x14ac:dyDescent="0.2">
      <c r="M2266" s="20">
        <v>1.0982072966765875E-2</v>
      </c>
      <c r="N2266" s="20">
        <v>1.022776281101151E-3</v>
      </c>
      <c r="O2266" s="20">
        <v>9.3131441049089103E-2</v>
      </c>
      <c r="P2266" s="20">
        <v>7.0000000000000007E-2</v>
      </c>
      <c r="Q2266" s="20">
        <v>0.19</v>
      </c>
      <c r="R2266" s="20">
        <v>0.03</v>
      </c>
      <c r="S2266" s="20">
        <v>0.52</v>
      </c>
      <c r="T2266" s="20">
        <v>0.18999999999999995</v>
      </c>
    </row>
    <row r="2267" spans="13:20" x14ac:dyDescent="0.2">
      <c r="M2267" s="20">
        <v>1.5259975320533931E-2</v>
      </c>
      <c r="N2267" s="20">
        <v>1.3079596832498543E-3</v>
      </c>
      <c r="O2267" s="20">
        <v>8.5711782344094253E-2</v>
      </c>
      <c r="P2267" s="20"/>
      <c r="Q2267" s="20">
        <v>0.67</v>
      </c>
      <c r="R2267" s="20">
        <v>0.01</v>
      </c>
      <c r="S2267" s="20">
        <v>0.05</v>
      </c>
      <c r="T2267" s="20">
        <v>0.2699999999999998</v>
      </c>
    </row>
    <row r="2268" spans="13:20" x14ac:dyDescent="0.2">
      <c r="M2268" s="20">
        <v>1.2298655881437654E-2</v>
      </c>
      <c r="N2268" s="20">
        <v>1.3469700044726623E-3</v>
      </c>
      <c r="O2268" s="20">
        <v>0.10952172476877269</v>
      </c>
      <c r="P2268" s="20">
        <v>0.06</v>
      </c>
      <c r="Q2268" s="20">
        <v>0.41</v>
      </c>
      <c r="R2268" s="20">
        <v>0.35</v>
      </c>
      <c r="S2268" s="20">
        <v>0.01</v>
      </c>
      <c r="T2268" s="20">
        <v>0.16999999999999993</v>
      </c>
    </row>
    <row r="2269" spans="13:20" x14ac:dyDescent="0.2">
      <c r="M2269" s="20">
        <v>1.039134687011423E-2</v>
      </c>
      <c r="N2269" s="20">
        <v>7.5639542354068038E-4</v>
      </c>
      <c r="O2269" s="20">
        <v>7.2790893518923164E-2</v>
      </c>
      <c r="P2269" s="20"/>
      <c r="Q2269" s="20"/>
      <c r="R2269" s="20"/>
      <c r="S2269" s="20">
        <v>0.77</v>
      </c>
      <c r="T2269" s="20">
        <v>0.22999999999999998</v>
      </c>
    </row>
    <row r="2270" spans="13:20" x14ac:dyDescent="0.2">
      <c r="M2270" s="20">
        <v>1.0057455252710108E-2</v>
      </c>
      <c r="N2270" s="20">
        <v>1.3872237616054852E-3</v>
      </c>
      <c r="O2270" s="20">
        <v>0.13792989645483936</v>
      </c>
      <c r="P2270" s="20">
        <v>0.30000000000000016</v>
      </c>
      <c r="Q2270" s="20"/>
      <c r="R2270" s="20"/>
      <c r="S2270" s="20">
        <v>0.46</v>
      </c>
      <c r="T2270" s="20">
        <v>0.24</v>
      </c>
    </row>
    <row r="2271" spans="13:20" x14ac:dyDescent="0.2">
      <c r="M2271" s="20">
        <v>1.0489852780820355E-2</v>
      </c>
      <c r="N2271" s="20">
        <v>1.7788161886585004E-3</v>
      </c>
      <c r="O2271" s="20">
        <v>0.16957494312130744</v>
      </c>
      <c r="P2271" s="20">
        <v>0.52</v>
      </c>
      <c r="Q2271" s="20">
        <v>0.02</v>
      </c>
      <c r="R2271" s="20">
        <v>0.22999999999999998</v>
      </c>
      <c r="S2271" s="20">
        <v>0.21</v>
      </c>
      <c r="T2271" s="20">
        <v>0.02</v>
      </c>
    </row>
    <row r="2272" spans="13:20" x14ac:dyDescent="0.2">
      <c r="M2272" s="20">
        <v>1.1451529275837563E-2</v>
      </c>
      <c r="N2272" s="20">
        <v>1.2377956210574751E-3</v>
      </c>
      <c r="O2272" s="20">
        <v>0.1080899844241059</v>
      </c>
      <c r="P2272" s="20"/>
      <c r="Q2272" s="20"/>
      <c r="R2272" s="20">
        <v>0.19</v>
      </c>
      <c r="S2272" s="20">
        <v>0.22</v>
      </c>
      <c r="T2272" s="20">
        <v>0.59</v>
      </c>
    </row>
    <row r="2273" spans="13:20" x14ac:dyDescent="0.2">
      <c r="M2273" s="20">
        <v>9.9927369620703664E-3</v>
      </c>
      <c r="N2273" s="20">
        <v>7.3610465085606404E-4</v>
      </c>
      <c r="O2273" s="20">
        <v>7.3663967504609726E-2</v>
      </c>
      <c r="P2273" s="20"/>
      <c r="Q2273" s="20"/>
      <c r="R2273" s="20">
        <v>0.34</v>
      </c>
      <c r="S2273" s="20">
        <v>0.66</v>
      </c>
      <c r="T2273" s="20"/>
    </row>
    <row r="2274" spans="13:20" x14ac:dyDescent="0.2">
      <c r="M2274" s="20">
        <v>1.3485989866464937E-2</v>
      </c>
      <c r="N2274" s="20">
        <v>1.6126820740939487E-3</v>
      </c>
      <c r="O2274" s="20">
        <v>0.11958203217282104</v>
      </c>
      <c r="P2274" s="20">
        <v>0.14000000000000001</v>
      </c>
      <c r="Q2274" s="20">
        <v>0.27</v>
      </c>
      <c r="R2274" s="20"/>
      <c r="S2274" s="20"/>
      <c r="T2274" s="20">
        <v>0.59</v>
      </c>
    </row>
    <row r="2275" spans="13:20" x14ac:dyDescent="0.2">
      <c r="M2275" s="20">
        <v>9.5662104058997343E-3</v>
      </c>
      <c r="N2275" s="20">
        <v>8.7930750739039388E-4</v>
      </c>
      <c r="O2275" s="20">
        <v>9.1918060556989395E-2</v>
      </c>
      <c r="P2275" s="20"/>
      <c r="Q2275" s="20"/>
      <c r="R2275" s="20">
        <v>0.56999999999999995</v>
      </c>
      <c r="S2275" s="20">
        <v>0.42999999999999994</v>
      </c>
      <c r="T2275" s="20"/>
    </row>
    <row r="2276" spans="13:20" x14ac:dyDescent="0.2">
      <c r="M2276" s="20">
        <v>1.5600212068608784E-2</v>
      </c>
      <c r="N2276" s="20">
        <v>1.5715042814685165E-3</v>
      </c>
      <c r="O2276" s="20">
        <v>0.10073608451969347</v>
      </c>
      <c r="P2276" s="20">
        <v>0.23</v>
      </c>
      <c r="Q2276" s="20">
        <v>0.7</v>
      </c>
      <c r="R2276" s="20">
        <v>7.0000000000000062E-2</v>
      </c>
      <c r="S2276" s="20"/>
      <c r="T2276" s="20"/>
    </row>
    <row r="2277" spans="13:20" x14ac:dyDescent="0.2">
      <c r="M2277" s="20">
        <v>9.7170192067497843E-3</v>
      </c>
      <c r="N2277" s="20">
        <v>7.9214055123906263E-4</v>
      </c>
      <c r="O2277" s="20">
        <v>8.152094118418679E-2</v>
      </c>
      <c r="P2277" s="20"/>
      <c r="Q2277" s="20"/>
      <c r="R2277" s="20">
        <v>0.43</v>
      </c>
      <c r="S2277" s="20">
        <v>0.56999999999999995</v>
      </c>
      <c r="T2277" s="20"/>
    </row>
    <row r="2278" spans="13:20" x14ac:dyDescent="0.2">
      <c r="M2278" s="20">
        <v>1.3240656084121526E-2</v>
      </c>
      <c r="N2278" s="20">
        <v>1.9195127668400994E-3</v>
      </c>
      <c r="O2278" s="20">
        <v>0.1449711218722779</v>
      </c>
      <c r="P2278" s="20">
        <v>0.48</v>
      </c>
      <c r="Q2278" s="20">
        <v>0.39</v>
      </c>
      <c r="R2278" s="20">
        <v>5.9999999999999942E-2</v>
      </c>
      <c r="S2278" s="20"/>
      <c r="T2278" s="20">
        <v>7.0000000000000007E-2</v>
      </c>
    </row>
    <row r="2279" spans="13:20" x14ac:dyDescent="0.2">
      <c r="M2279" s="20">
        <v>9.7770456478138545E-3</v>
      </c>
      <c r="N2279" s="20">
        <v>1.3884309276440921E-3</v>
      </c>
      <c r="O2279" s="20">
        <v>0.14200925081643095</v>
      </c>
      <c r="P2279" s="20">
        <v>0.15999999999999992</v>
      </c>
      <c r="Q2279" s="20"/>
      <c r="R2279" s="20">
        <v>0.37</v>
      </c>
      <c r="S2279" s="20">
        <v>0.17</v>
      </c>
      <c r="T2279" s="20">
        <v>0.3</v>
      </c>
    </row>
    <row r="2280" spans="13:20" x14ac:dyDescent="0.2">
      <c r="M2280" s="20">
        <v>1.5998727079513643E-2</v>
      </c>
      <c r="N2280" s="20">
        <v>1.246670829711746E-3</v>
      </c>
      <c r="O2280" s="20">
        <v>7.7923126228467712E-2</v>
      </c>
      <c r="P2280" s="20"/>
      <c r="Q2280" s="20">
        <v>0.76</v>
      </c>
      <c r="R2280" s="20">
        <v>0.24</v>
      </c>
      <c r="S2280" s="20"/>
      <c r="T2280" s="20"/>
    </row>
    <row r="2281" spans="13:20" x14ac:dyDescent="0.2">
      <c r="M2281" s="20">
        <v>9.6223646147815031E-3</v>
      </c>
      <c r="N2281" s="20">
        <v>9.2289098546605966E-4</v>
      </c>
      <c r="O2281" s="20">
        <v>9.591103875323434E-2</v>
      </c>
      <c r="P2281" s="20"/>
      <c r="Q2281" s="20"/>
      <c r="R2281" s="20">
        <v>0.64</v>
      </c>
      <c r="S2281" s="20">
        <v>0.3600000000000001</v>
      </c>
      <c r="T2281" s="20"/>
    </row>
    <row r="2282" spans="13:20" x14ac:dyDescent="0.2">
      <c r="M2282" s="20">
        <v>1.2807017532517239E-2</v>
      </c>
      <c r="N2282" s="20">
        <v>1.8489555772127539E-3</v>
      </c>
      <c r="O2282" s="20">
        <v>0.14437050410200686</v>
      </c>
      <c r="P2282" s="20">
        <v>0.37</v>
      </c>
      <c r="Q2282" s="20">
        <v>0.30000000000000004</v>
      </c>
      <c r="R2282" s="20"/>
      <c r="S2282" s="20"/>
      <c r="T2282" s="20">
        <v>0.33</v>
      </c>
    </row>
    <row r="2283" spans="13:20" x14ac:dyDescent="0.2">
      <c r="M2283" s="20">
        <v>1.0725350755565655E-2</v>
      </c>
      <c r="N2283" s="20">
        <v>1.1034511089223886E-3</v>
      </c>
      <c r="O2283" s="20">
        <v>0.10288251956233505</v>
      </c>
      <c r="P2283" s="20"/>
      <c r="Q2283" s="20"/>
      <c r="R2283" s="20">
        <v>0.93</v>
      </c>
      <c r="S2283" s="20">
        <v>6.9999999999999951E-2</v>
      </c>
      <c r="T2283" s="20"/>
    </row>
    <row r="2284" spans="13:20" x14ac:dyDescent="0.2">
      <c r="M2284" s="20">
        <v>9.8839769893505937E-3</v>
      </c>
      <c r="N2284" s="20">
        <v>9.9137930815639116E-4</v>
      </c>
      <c r="O2284" s="20">
        <v>0.10030166088251159</v>
      </c>
      <c r="P2284" s="20"/>
      <c r="Q2284" s="20"/>
      <c r="R2284" s="20">
        <v>0.75</v>
      </c>
      <c r="S2284" s="20">
        <v>0.24999999999999989</v>
      </c>
      <c r="T2284" s="20"/>
    </row>
    <row r="2285" spans="13:20" x14ac:dyDescent="0.2">
      <c r="M2285" s="20">
        <v>1.3621378205520342E-2</v>
      </c>
      <c r="N2285" s="20">
        <v>1.8936086003011588E-3</v>
      </c>
      <c r="O2285" s="20">
        <v>0.13901740130332299</v>
      </c>
      <c r="P2285" s="20">
        <v>0.33999999999999986</v>
      </c>
      <c r="Q2285" s="20"/>
      <c r="R2285" s="20"/>
      <c r="S2285" s="20"/>
      <c r="T2285" s="20">
        <v>0.66</v>
      </c>
    </row>
    <row r="2286" spans="13:20" x14ac:dyDescent="0.2">
      <c r="M2286" s="20">
        <v>1.4048102074228694E-2</v>
      </c>
      <c r="N2286" s="20">
        <v>1.1670368718439256E-3</v>
      </c>
      <c r="O2286" s="20">
        <v>8.3074344539741066E-2</v>
      </c>
      <c r="P2286" s="20"/>
      <c r="Q2286" s="20">
        <v>0.57999999999999996</v>
      </c>
      <c r="R2286" s="20">
        <v>0.33</v>
      </c>
      <c r="S2286" s="20">
        <v>8.9999999999999969E-2</v>
      </c>
      <c r="T2286" s="20"/>
    </row>
    <row r="2287" spans="13:20" x14ac:dyDescent="0.2">
      <c r="M2287" s="20">
        <v>1.0211567450277403E-2</v>
      </c>
      <c r="N2287" s="20">
        <v>1.0438110037729259E-3</v>
      </c>
      <c r="O2287" s="20">
        <v>0.10221848985040688</v>
      </c>
      <c r="P2287" s="20"/>
      <c r="Q2287" s="20">
        <v>0.02</v>
      </c>
      <c r="R2287" s="20">
        <v>0.81</v>
      </c>
      <c r="S2287" s="20">
        <v>0.16999999999999993</v>
      </c>
      <c r="T2287" s="20"/>
    </row>
    <row r="2288" spans="13:20" x14ac:dyDescent="0.2">
      <c r="M2288" s="20">
        <v>1.6360203031018032E-2</v>
      </c>
      <c r="N2288" s="20">
        <v>1.2506038392925496E-3</v>
      </c>
      <c r="O2288" s="20">
        <v>7.6441828803803624E-2</v>
      </c>
      <c r="P2288" s="20"/>
      <c r="Q2288" s="20">
        <v>0.79</v>
      </c>
      <c r="R2288" s="20">
        <v>0.21000000000000008</v>
      </c>
      <c r="S2288" s="20"/>
      <c r="T2288" s="20"/>
    </row>
    <row r="2289" spans="13:20" x14ac:dyDescent="0.2">
      <c r="M2289" s="20">
        <v>1.0199118291272596E-2</v>
      </c>
      <c r="N2289" s="20">
        <v>1.0411889973857235E-3</v>
      </c>
      <c r="O2289" s="20">
        <v>0.10208617722148304</v>
      </c>
      <c r="P2289" s="20"/>
      <c r="Q2289" s="20"/>
      <c r="R2289" s="20">
        <v>0.83</v>
      </c>
      <c r="S2289" s="20">
        <v>0.17000000000000015</v>
      </c>
      <c r="T2289" s="20"/>
    </row>
    <row r="2290" spans="13:20" x14ac:dyDescent="0.2">
      <c r="M2290" s="20">
        <v>1.1126261192309094E-2</v>
      </c>
      <c r="N2290" s="20">
        <v>1.0993252654935262E-3</v>
      </c>
      <c r="O2290" s="20">
        <v>9.8804553164132336E-2</v>
      </c>
      <c r="P2290" s="20"/>
      <c r="Q2290" s="20"/>
      <c r="R2290" s="20"/>
      <c r="S2290" s="20">
        <v>0.43</v>
      </c>
      <c r="T2290" s="20">
        <v>0.57000000000000006</v>
      </c>
    </row>
    <row r="2291" spans="13:20" x14ac:dyDescent="0.2">
      <c r="M2291" s="20">
        <v>1.0849346626157526E-2</v>
      </c>
      <c r="N2291" s="20">
        <v>1.2406638099663361E-3</v>
      </c>
      <c r="O2291" s="20">
        <v>0.11435378117380121</v>
      </c>
      <c r="P2291" s="20">
        <v>0.11</v>
      </c>
      <c r="Q2291" s="20">
        <v>0.23</v>
      </c>
      <c r="R2291" s="20">
        <v>0.15</v>
      </c>
      <c r="S2291" s="20">
        <v>0.28999999999999992</v>
      </c>
      <c r="T2291" s="20">
        <v>0.22</v>
      </c>
    </row>
    <row r="2292" spans="13:20" x14ac:dyDescent="0.2">
      <c r="M2292" s="20">
        <v>1.0253572581984368E-2</v>
      </c>
      <c r="N2292" s="20">
        <v>9.8659619398200815E-4</v>
      </c>
      <c r="O2292" s="20">
        <v>9.6219750344915672E-2</v>
      </c>
      <c r="P2292" s="20">
        <v>0.16</v>
      </c>
      <c r="Q2292" s="20">
        <v>0</v>
      </c>
      <c r="R2292" s="20"/>
      <c r="S2292" s="20">
        <v>0.71</v>
      </c>
      <c r="T2292" s="20">
        <v>0.13</v>
      </c>
    </row>
    <row r="2293" spans="13:20" x14ac:dyDescent="0.2">
      <c r="M2293" s="20">
        <v>1.0740485990422446E-2</v>
      </c>
      <c r="N2293" s="20">
        <v>1.2203738396990983E-3</v>
      </c>
      <c r="O2293" s="20">
        <v>0.11362370760385848</v>
      </c>
      <c r="P2293" s="20"/>
      <c r="Q2293" s="20"/>
      <c r="R2293" s="20">
        <v>0.81</v>
      </c>
      <c r="S2293" s="20">
        <v>0</v>
      </c>
      <c r="T2293" s="20">
        <v>0.18999999999999995</v>
      </c>
    </row>
    <row r="2294" spans="13:20" x14ac:dyDescent="0.2">
      <c r="M2294" s="20">
        <v>1.4637253852239254E-2</v>
      </c>
      <c r="N2294" s="20">
        <v>2.593554025773609E-3</v>
      </c>
      <c r="O2294" s="20">
        <v>0.17718856637693953</v>
      </c>
      <c r="P2294" s="20">
        <v>1</v>
      </c>
      <c r="Q2294" s="20">
        <v>0</v>
      </c>
      <c r="R2294" s="20"/>
      <c r="S2294" s="20"/>
      <c r="T2294" s="20"/>
    </row>
    <row r="2295" spans="13:20" x14ac:dyDescent="0.2">
      <c r="M2295" s="20">
        <v>1.0649514419269838E-2</v>
      </c>
      <c r="N2295" s="20">
        <v>1.24564848377462E-3</v>
      </c>
      <c r="O2295" s="20">
        <v>0.11696763201904048</v>
      </c>
      <c r="P2295" s="20"/>
      <c r="Q2295" s="20"/>
      <c r="R2295" s="20">
        <v>0.64</v>
      </c>
      <c r="S2295" s="20">
        <v>0.04</v>
      </c>
      <c r="T2295" s="20">
        <v>0.31999999999999984</v>
      </c>
    </row>
    <row r="2296" spans="13:20" x14ac:dyDescent="0.2">
      <c r="M2296" s="20">
        <v>1.6001961399278085E-2</v>
      </c>
      <c r="N2296" s="20">
        <v>1.5516921638093388E-3</v>
      </c>
      <c r="O2296" s="20">
        <v>9.6968873070731321E-2</v>
      </c>
      <c r="P2296" s="20">
        <v>0.02</v>
      </c>
      <c r="Q2296" s="20">
        <v>1.0000000000000009E-2</v>
      </c>
      <c r="R2296" s="20"/>
      <c r="S2296" s="20"/>
      <c r="T2296" s="20">
        <v>0.97</v>
      </c>
    </row>
    <row r="2297" spans="13:20" x14ac:dyDescent="0.2">
      <c r="M2297" s="20">
        <v>1.0044882921374444E-2</v>
      </c>
      <c r="N2297" s="20">
        <v>9.8140557501063793E-4</v>
      </c>
      <c r="O2297" s="20">
        <v>9.7702042193275454E-2</v>
      </c>
      <c r="P2297" s="20">
        <v>5.9999999999999942E-2</v>
      </c>
      <c r="Q2297" s="20"/>
      <c r="R2297" s="20"/>
      <c r="S2297" s="20">
        <v>0.61</v>
      </c>
      <c r="T2297" s="20">
        <v>0.33</v>
      </c>
    </row>
    <row r="2298" spans="13:20" x14ac:dyDescent="0.2">
      <c r="M2298" s="20">
        <v>1.320033963082907E-2</v>
      </c>
      <c r="N2298" s="20">
        <v>1.9996609374939543E-3</v>
      </c>
      <c r="O2298" s="20">
        <v>0.15148556729735918</v>
      </c>
      <c r="P2298" s="20">
        <v>0.43999999999999995</v>
      </c>
      <c r="Q2298" s="20"/>
      <c r="R2298" s="20"/>
      <c r="S2298" s="20"/>
      <c r="T2298" s="20">
        <v>0.56000000000000005</v>
      </c>
    </row>
    <row r="2299" spans="13:20" x14ac:dyDescent="0.2">
      <c r="M2299" s="20">
        <v>1.4651822233877232E-2</v>
      </c>
      <c r="N2299" s="20">
        <v>1.790738959110414E-3</v>
      </c>
      <c r="O2299" s="20">
        <v>0.12221953901201138</v>
      </c>
      <c r="P2299" s="20">
        <v>0.38</v>
      </c>
      <c r="Q2299" s="20">
        <v>0.57000000000000006</v>
      </c>
      <c r="R2299" s="20"/>
      <c r="S2299" s="20"/>
      <c r="T2299" s="20">
        <v>0.05</v>
      </c>
    </row>
    <row r="2300" spans="13:20" x14ac:dyDescent="0.2">
      <c r="M2300" s="20">
        <v>1.4015612023787392E-2</v>
      </c>
      <c r="N2300" s="20">
        <v>1.011052788187923E-3</v>
      </c>
      <c r="O2300" s="20">
        <v>7.2137612433332013E-2</v>
      </c>
      <c r="P2300" s="20"/>
      <c r="Q2300" s="20">
        <v>0.53</v>
      </c>
      <c r="R2300" s="20">
        <v>0.14000000000000001</v>
      </c>
      <c r="S2300" s="20">
        <v>0.32999999999999996</v>
      </c>
      <c r="T2300" s="20"/>
    </row>
    <row r="2301" spans="13:20" x14ac:dyDescent="0.2">
      <c r="M2301" s="20">
        <v>1.5757614238489259E-2</v>
      </c>
      <c r="N2301" s="20">
        <v>1.6859148333769594E-3</v>
      </c>
      <c r="O2301" s="20">
        <v>0.10699048776425653</v>
      </c>
      <c r="P2301" s="20">
        <v>0.31</v>
      </c>
      <c r="Q2301" s="20">
        <v>0.69</v>
      </c>
      <c r="R2301" s="20"/>
      <c r="S2301" s="20"/>
      <c r="T2301" s="20"/>
    </row>
    <row r="2302" spans="13:20" x14ac:dyDescent="0.2">
      <c r="M2302" s="20">
        <v>1.1244101630738343E-2</v>
      </c>
      <c r="N2302" s="20">
        <v>2.0249466351573739E-3</v>
      </c>
      <c r="O2302" s="20">
        <v>0.18008967738442663</v>
      </c>
      <c r="P2302" s="20">
        <v>0.62</v>
      </c>
      <c r="Q2302" s="20"/>
      <c r="R2302" s="20">
        <v>0.22</v>
      </c>
      <c r="S2302" s="20">
        <v>0.08</v>
      </c>
      <c r="T2302" s="20">
        <v>0.08</v>
      </c>
    </row>
    <row r="2303" spans="13:20" x14ac:dyDescent="0.2">
      <c r="M2303" s="20">
        <v>1.3920174483762864E-2</v>
      </c>
      <c r="N2303" s="20">
        <v>2.1200031427840529E-3</v>
      </c>
      <c r="O2303" s="20">
        <v>0.15229716734204179</v>
      </c>
      <c r="P2303" s="20">
        <v>0.64</v>
      </c>
      <c r="Q2303" s="20">
        <v>0.36</v>
      </c>
      <c r="R2303" s="20"/>
      <c r="S2303" s="20"/>
      <c r="T2303" s="20"/>
    </row>
    <row r="2304" spans="13:20" x14ac:dyDescent="0.2">
      <c r="M2304" s="20">
        <v>1.3958733968459012E-2</v>
      </c>
      <c r="N2304" s="20">
        <v>2.3830869666671395E-3</v>
      </c>
      <c r="O2304" s="20">
        <v>0.17072371835812147</v>
      </c>
      <c r="P2304" s="20">
        <v>0.84</v>
      </c>
      <c r="Q2304" s="20">
        <v>0.16000000000000014</v>
      </c>
      <c r="R2304" s="20"/>
      <c r="S2304" s="20"/>
      <c r="T2304" s="20"/>
    </row>
    <row r="2305" spans="13:20" x14ac:dyDescent="0.2">
      <c r="M2305" s="20">
        <v>1.395575332880573E-2</v>
      </c>
      <c r="N2305" s="20">
        <v>2.4824037736310639E-3</v>
      </c>
      <c r="O2305" s="20">
        <v>0.17787673048843552</v>
      </c>
      <c r="P2305" s="20">
        <v>0.9</v>
      </c>
      <c r="Q2305" s="20">
        <v>1.9999999999999907E-2</v>
      </c>
      <c r="R2305" s="20"/>
      <c r="S2305" s="20"/>
      <c r="T2305" s="20">
        <v>0.08</v>
      </c>
    </row>
    <row r="2306" spans="13:20" x14ac:dyDescent="0.2">
      <c r="M2306" s="20">
        <v>1.7212436750593748E-2</v>
      </c>
      <c r="N2306" s="20">
        <v>1.4886019654646444E-3</v>
      </c>
      <c r="O2306" s="20">
        <v>8.6484092115155897E-2</v>
      </c>
      <c r="P2306" s="20">
        <v>0.16</v>
      </c>
      <c r="Q2306" s="20">
        <v>0.84000000000000008</v>
      </c>
      <c r="R2306" s="20"/>
      <c r="S2306" s="20"/>
      <c r="T2306" s="20"/>
    </row>
    <row r="2307" spans="13:20" x14ac:dyDescent="0.2">
      <c r="M2307" s="20">
        <v>1.2071617542513473E-2</v>
      </c>
      <c r="N2307" s="20">
        <v>1.1929196987740963E-3</v>
      </c>
      <c r="O2307" s="20">
        <v>9.8820203222385591E-2</v>
      </c>
      <c r="P2307" s="20"/>
      <c r="Q2307" s="20">
        <v>0.35</v>
      </c>
      <c r="R2307" s="20">
        <v>0.64999999999999991</v>
      </c>
      <c r="S2307" s="20"/>
      <c r="T2307" s="20"/>
    </row>
    <row r="2308" spans="13:20" x14ac:dyDescent="0.2">
      <c r="M2308" s="20">
        <v>1.339389290226113E-2</v>
      </c>
      <c r="N2308" s="20">
        <v>1.3212210455806617E-3</v>
      </c>
      <c r="O2308" s="20">
        <v>9.864354263707871E-2</v>
      </c>
      <c r="P2308" s="20"/>
      <c r="Q2308" s="20"/>
      <c r="R2308" s="20"/>
      <c r="S2308" s="20">
        <v>0.21</v>
      </c>
      <c r="T2308" s="20">
        <v>0.79</v>
      </c>
    </row>
    <row r="2309" spans="13:20" x14ac:dyDescent="0.2">
      <c r="M2309" s="20">
        <v>1.4430436359523981E-2</v>
      </c>
      <c r="N2309" s="20">
        <v>1.4642088020240351E-3</v>
      </c>
      <c r="O2309" s="20">
        <v>0.10146670312278312</v>
      </c>
      <c r="P2309" s="20">
        <v>0</v>
      </c>
      <c r="Q2309" s="20">
        <v>0.27</v>
      </c>
      <c r="R2309" s="20"/>
      <c r="S2309" s="20"/>
      <c r="T2309" s="20">
        <v>0.73</v>
      </c>
    </row>
    <row r="2310" spans="13:20" x14ac:dyDescent="0.2">
      <c r="M2310" s="20">
        <v>1.0226624994773982E-2</v>
      </c>
      <c r="N2310" s="20">
        <v>8.1691245447353578E-4</v>
      </c>
      <c r="O2310" s="20">
        <v>7.9880943604658916E-2</v>
      </c>
      <c r="P2310" s="20"/>
      <c r="Q2310" s="20"/>
      <c r="R2310" s="20"/>
      <c r="S2310" s="20">
        <v>0.71</v>
      </c>
      <c r="T2310" s="20">
        <v>0.29000000000000015</v>
      </c>
    </row>
    <row r="2311" spans="13:20" x14ac:dyDescent="0.2">
      <c r="M2311" s="20">
        <v>1.3857643765036315E-2</v>
      </c>
      <c r="N2311" s="20">
        <v>1.3664137129108787E-3</v>
      </c>
      <c r="O2311" s="20">
        <v>9.8603610835950636E-2</v>
      </c>
      <c r="P2311" s="20">
        <v>0.1</v>
      </c>
      <c r="Q2311" s="20">
        <v>0.56999999999999995</v>
      </c>
      <c r="R2311" s="20">
        <v>0.33000000000000018</v>
      </c>
      <c r="S2311" s="20"/>
      <c r="T2311" s="20"/>
    </row>
    <row r="2312" spans="13:20" x14ac:dyDescent="0.2">
      <c r="M2312" s="20">
        <v>1.3147947168640168E-2</v>
      </c>
      <c r="N2312" s="20">
        <v>1.3010487019363766E-3</v>
      </c>
      <c r="O2312" s="20">
        <v>9.895451246104589E-2</v>
      </c>
      <c r="P2312" s="20"/>
      <c r="Q2312" s="20"/>
      <c r="R2312" s="20"/>
      <c r="S2312" s="20">
        <v>0.23</v>
      </c>
      <c r="T2312" s="20">
        <v>0.77</v>
      </c>
    </row>
    <row r="2313" spans="13:20" x14ac:dyDescent="0.2">
      <c r="M2313" s="20">
        <v>1.1579199744869626E-2</v>
      </c>
      <c r="N2313" s="20">
        <v>5.7484433074211515E-4</v>
      </c>
      <c r="O2313" s="20">
        <v>4.9644564685639034E-2</v>
      </c>
      <c r="P2313" s="20"/>
      <c r="Q2313" s="20"/>
      <c r="R2313" s="20"/>
      <c r="S2313" s="20">
        <v>0.95</v>
      </c>
      <c r="T2313" s="20">
        <v>5.0000000000000155E-2</v>
      </c>
    </row>
    <row r="2314" spans="13:20" x14ac:dyDescent="0.2">
      <c r="M2314" s="20">
        <v>9.5799798832001421E-3</v>
      </c>
      <c r="N2314" s="20">
        <v>8.4817645162206133E-4</v>
      </c>
      <c r="O2314" s="20">
        <v>8.853634996765071E-2</v>
      </c>
      <c r="P2314" s="20"/>
      <c r="Q2314" s="20"/>
      <c r="R2314" s="20">
        <v>0.52</v>
      </c>
      <c r="S2314" s="20">
        <v>0.48</v>
      </c>
      <c r="T2314" s="20"/>
    </row>
    <row r="2315" spans="13:20" x14ac:dyDescent="0.2">
      <c r="M2315" s="20">
        <v>1.4548701404477725E-2</v>
      </c>
      <c r="N2315" s="20">
        <v>1.0824919220797967E-3</v>
      </c>
      <c r="O2315" s="20">
        <v>7.4404710907506347E-2</v>
      </c>
      <c r="P2315" s="20"/>
      <c r="Q2315" s="20">
        <v>0.6</v>
      </c>
      <c r="R2315" s="20">
        <v>0.17</v>
      </c>
      <c r="S2315" s="20">
        <v>0.22999999999999998</v>
      </c>
      <c r="T2315" s="20"/>
    </row>
    <row r="2316" spans="13:20" x14ac:dyDescent="0.2">
      <c r="M2316" s="20">
        <v>1.4148879873072288E-2</v>
      </c>
      <c r="N2316" s="20">
        <v>2.4620121138320657E-3</v>
      </c>
      <c r="O2316" s="20">
        <v>0.17400756356110503</v>
      </c>
      <c r="P2316" s="20">
        <v>0.9</v>
      </c>
      <c r="Q2316" s="20">
        <v>9.9999999999999978E-2</v>
      </c>
      <c r="R2316" s="20"/>
      <c r="S2316" s="20"/>
      <c r="T2316" s="20"/>
    </row>
    <row r="2317" spans="13:20" x14ac:dyDescent="0.2">
      <c r="M2317" s="20">
        <v>9.6947853400666199E-3</v>
      </c>
      <c r="N2317" s="20">
        <v>7.9836676239272925E-4</v>
      </c>
      <c r="O2317" s="20">
        <v>8.2350122709085483E-2</v>
      </c>
      <c r="P2317" s="20"/>
      <c r="Q2317" s="20"/>
      <c r="R2317" s="20">
        <v>0.44</v>
      </c>
      <c r="S2317" s="20">
        <v>0.55999999999999994</v>
      </c>
      <c r="T2317" s="20"/>
    </row>
    <row r="2318" spans="13:20" x14ac:dyDescent="0.2">
      <c r="M2318" s="20">
        <v>1.1805398178212714E-2</v>
      </c>
      <c r="N2318" s="20">
        <v>1.6874164324649707E-3</v>
      </c>
      <c r="O2318" s="20">
        <v>0.14293600325816694</v>
      </c>
      <c r="P2318" s="20">
        <v>0.24</v>
      </c>
      <c r="Q2318" s="20">
        <v>0.09</v>
      </c>
      <c r="R2318" s="20">
        <v>0.20000000000000018</v>
      </c>
      <c r="S2318" s="20"/>
      <c r="T2318" s="20">
        <v>0.47</v>
      </c>
    </row>
    <row r="2319" spans="13:20" x14ac:dyDescent="0.2">
      <c r="M2319" s="20">
        <v>9.6947853400666199E-3</v>
      </c>
      <c r="N2319" s="20">
        <v>7.9836676239272925E-4</v>
      </c>
      <c r="O2319" s="20">
        <v>8.2350122709085483E-2</v>
      </c>
      <c r="P2319" s="20"/>
      <c r="Q2319" s="20"/>
      <c r="R2319" s="20">
        <v>0.44</v>
      </c>
      <c r="S2319" s="20">
        <v>0.55999999999999994</v>
      </c>
      <c r="T2319" s="20"/>
    </row>
    <row r="2320" spans="13:20" x14ac:dyDescent="0.2">
      <c r="M2320" s="20">
        <v>9.717019206749786E-3</v>
      </c>
      <c r="N2320" s="20">
        <v>7.9214055123906274E-4</v>
      </c>
      <c r="O2320" s="20">
        <v>8.152094118418679E-2</v>
      </c>
      <c r="P2320" s="20"/>
      <c r="Q2320" s="20"/>
      <c r="R2320" s="20">
        <v>0.43</v>
      </c>
      <c r="S2320" s="20">
        <v>0.57000000000000006</v>
      </c>
      <c r="T2320" s="20"/>
    </row>
    <row r="2321" spans="13:20" x14ac:dyDescent="0.2">
      <c r="M2321" s="20">
        <v>1.8928536094734424E-2</v>
      </c>
      <c r="N2321" s="20">
        <v>1.2768239031645736E-3</v>
      </c>
      <c r="O2321" s="20">
        <v>6.7454973632100512E-2</v>
      </c>
      <c r="P2321" s="20"/>
      <c r="Q2321" s="20">
        <v>0.99</v>
      </c>
      <c r="R2321" s="20">
        <v>9.9999999999998979E-3</v>
      </c>
      <c r="S2321" s="20"/>
      <c r="T2321" s="20"/>
    </row>
    <row r="2322" spans="13:20" x14ac:dyDescent="0.2">
      <c r="M2322" s="20">
        <v>1.5049141803377429E-2</v>
      </c>
      <c r="N2322" s="20">
        <v>1.8043025541243487E-3</v>
      </c>
      <c r="O2322" s="20">
        <v>0.11989404962078402</v>
      </c>
      <c r="P2322" s="20">
        <v>0.4</v>
      </c>
      <c r="Q2322" s="20">
        <v>0.60000000000000009</v>
      </c>
      <c r="R2322" s="20"/>
      <c r="S2322" s="20"/>
      <c r="T2322" s="20"/>
    </row>
    <row r="2323" spans="13:20" x14ac:dyDescent="0.2">
      <c r="M2323" s="20">
        <v>1.5043829103151952E-2</v>
      </c>
      <c r="N2323" s="20">
        <v>1.4518497167856684E-3</v>
      </c>
      <c r="O2323" s="20">
        <v>9.6507990540884284E-2</v>
      </c>
      <c r="P2323" s="20">
        <v>0.15</v>
      </c>
      <c r="Q2323" s="20">
        <v>0.67</v>
      </c>
      <c r="R2323" s="20">
        <v>0.17999999999999994</v>
      </c>
      <c r="S2323" s="20"/>
      <c r="T2323" s="20"/>
    </row>
    <row r="2324" spans="13:20" x14ac:dyDescent="0.2">
      <c r="M2324" s="20">
        <v>1.474131942893179E-2</v>
      </c>
      <c r="N2324" s="20">
        <v>1.2322497945821324E-3</v>
      </c>
      <c r="O2324" s="20">
        <v>8.3591553695232954E-2</v>
      </c>
      <c r="P2324" s="20"/>
      <c r="Q2324" s="20">
        <v>0.65</v>
      </c>
      <c r="R2324" s="20">
        <v>0.34999999999999987</v>
      </c>
      <c r="S2324" s="20"/>
      <c r="T2324" s="20"/>
    </row>
    <row r="2325" spans="13:20" x14ac:dyDescent="0.2">
      <c r="M2325" s="20">
        <v>1.0909084634781437E-2</v>
      </c>
      <c r="N2325" s="20">
        <v>1.122129742383388E-3</v>
      </c>
      <c r="O2325" s="20">
        <v>0.10286195221235167</v>
      </c>
      <c r="P2325" s="20"/>
      <c r="Q2325" s="20"/>
      <c r="R2325" s="20">
        <v>0.96</v>
      </c>
      <c r="S2325" s="20">
        <v>3.9999999999999925E-2</v>
      </c>
      <c r="T2325" s="20"/>
    </row>
    <row r="2326" spans="13:20" x14ac:dyDescent="0.2">
      <c r="M2326" s="20">
        <v>1.320033963082907E-2</v>
      </c>
      <c r="N2326" s="20">
        <v>1.9996609374939548E-3</v>
      </c>
      <c r="O2326" s="20">
        <v>0.15148556729735921</v>
      </c>
      <c r="P2326" s="20">
        <v>0.44000000000000006</v>
      </c>
      <c r="Q2326" s="20"/>
      <c r="R2326" s="20"/>
      <c r="S2326" s="20"/>
      <c r="T2326" s="20">
        <v>0.56000000000000005</v>
      </c>
    </row>
    <row r="2327" spans="13:20" x14ac:dyDescent="0.2">
      <c r="M2327" s="20">
        <v>8.540503964919793E-3</v>
      </c>
      <c r="N2327" s="20">
        <v>1.081078777430822E-3</v>
      </c>
      <c r="O2327" s="20">
        <v>0.12658255085078868</v>
      </c>
      <c r="P2327" s="20">
        <v>0.09</v>
      </c>
      <c r="Q2327" s="20">
        <v>0.02</v>
      </c>
      <c r="R2327" s="20">
        <v>0.25</v>
      </c>
      <c r="S2327" s="20">
        <v>0.28999999999999998</v>
      </c>
      <c r="T2327" s="20">
        <v>0.25</v>
      </c>
    </row>
    <row r="2328" spans="13:20" x14ac:dyDescent="0.2">
      <c r="M2328" s="20">
        <v>1.2619275008995021E-2</v>
      </c>
      <c r="N2328" s="20">
        <v>1.7654055638198656E-3</v>
      </c>
      <c r="O2328" s="20">
        <v>0.13989754265292453</v>
      </c>
      <c r="P2328" s="20">
        <v>0.27</v>
      </c>
      <c r="Q2328" s="20">
        <v>0.03</v>
      </c>
      <c r="R2328" s="20">
        <v>0.11999999999999988</v>
      </c>
      <c r="S2328" s="20"/>
      <c r="T2328" s="20">
        <v>0.57999999999999996</v>
      </c>
    </row>
    <row r="2329" spans="13:20" x14ac:dyDescent="0.2">
      <c r="M2329" s="20">
        <v>9.858841158288013E-3</v>
      </c>
      <c r="N2329" s="20">
        <v>1.1751087565277484E-3</v>
      </c>
      <c r="O2329" s="20">
        <v>0.11919339582217248</v>
      </c>
      <c r="P2329" s="20">
        <v>3.0000000000000027E-2</v>
      </c>
      <c r="Q2329" s="20"/>
      <c r="R2329" s="20">
        <v>0.67</v>
      </c>
      <c r="S2329" s="20">
        <v>0.13</v>
      </c>
      <c r="T2329" s="20">
        <v>0.17</v>
      </c>
    </row>
    <row r="2330" spans="13:20" x14ac:dyDescent="0.2">
      <c r="M2330" s="20">
        <v>1.0331056360141123E-2</v>
      </c>
      <c r="N2330" s="20">
        <v>1.0713830654850676E-3</v>
      </c>
      <c r="O2330" s="20">
        <v>0.10370508379168618</v>
      </c>
      <c r="P2330" s="20"/>
      <c r="Q2330" s="20">
        <v>0.18</v>
      </c>
      <c r="R2330" s="20">
        <v>0.45</v>
      </c>
      <c r="S2330" s="20">
        <v>0.24</v>
      </c>
      <c r="T2330" s="20">
        <v>0.13</v>
      </c>
    </row>
    <row r="2331" spans="13:20" x14ac:dyDescent="0.2">
      <c r="M2331" s="20">
        <v>1.0054144903339482E-2</v>
      </c>
      <c r="N2331" s="20">
        <v>9.2556292690433237E-4</v>
      </c>
      <c r="O2331" s="20">
        <v>9.2057846371092864E-2</v>
      </c>
      <c r="P2331" s="20">
        <v>0.08</v>
      </c>
      <c r="Q2331" s="20">
        <v>0.06</v>
      </c>
      <c r="R2331" s="20">
        <v>0.16</v>
      </c>
      <c r="S2331" s="20">
        <v>0.61</v>
      </c>
      <c r="T2331" s="20">
        <v>9.000000000000008E-2</v>
      </c>
    </row>
    <row r="2332" spans="13:20" x14ac:dyDescent="0.2">
      <c r="M2332" s="20">
        <v>1.0444953040813672E-2</v>
      </c>
      <c r="N2332" s="20">
        <v>1.0723200531540561E-3</v>
      </c>
      <c r="O2332" s="20">
        <v>0.10266394199801222</v>
      </c>
      <c r="P2332" s="20"/>
      <c r="Q2332" s="20"/>
      <c r="R2332" s="20">
        <v>0.88</v>
      </c>
      <c r="S2332" s="20">
        <v>0.12000000000000011</v>
      </c>
      <c r="T2332" s="20"/>
    </row>
    <row r="2333" spans="13:20" x14ac:dyDescent="0.2">
      <c r="M2333" s="20">
        <v>1.2105905668207359E-2</v>
      </c>
      <c r="N2333" s="20">
        <v>2.1065131049594855E-3</v>
      </c>
      <c r="O2333" s="20">
        <v>0.17400706421260409</v>
      </c>
      <c r="P2333" s="20">
        <v>0.7</v>
      </c>
      <c r="Q2333" s="20">
        <v>7.0000000000000007E-2</v>
      </c>
      <c r="R2333" s="20">
        <v>0.13</v>
      </c>
      <c r="S2333" s="20">
        <v>0.10000000000000009</v>
      </c>
      <c r="T2333" s="20"/>
    </row>
    <row r="2334" spans="13:20" x14ac:dyDescent="0.2">
      <c r="M2334" s="20">
        <v>1.0977548684537796E-2</v>
      </c>
      <c r="N2334" s="20">
        <v>1.0791529218492409E-3</v>
      </c>
      <c r="O2334" s="20">
        <v>9.830545533077524E-2</v>
      </c>
      <c r="P2334" s="20"/>
      <c r="Q2334" s="20"/>
      <c r="R2334" s="20"/>
      <c r="S2334" s="20">
        <v>0.45</v>
      </c>
      <c r="T2334" s="20">
        <v>0.54999999999999993</v>
      </c>
    </row>
    <row r="2335" spans="13:20" x14ac:dyDescent="0.2">
      <c r="M2335" s="20">
        <v>9.9090188335902961E-3</v>
      </c>
      <c r="N2335" s="20">
        <v>1.5871696447739287E-3</v>
      </c>
      <c r="O2335" s="20">
        <v>0.16017424847287889</v>
      </c>
      <c r="P2335" s="20">
        <v>0.36</v>
      </c>
      <c r="Q2335" s="20">
        <v>0.05</v>
      </c>
      <c r="R2335" s="20">
        <v>0.45</v>
      </c>
      <c r="S2335" s="20">
        <v>0.14000000000000012</v>
      </c>
      <c r="T2335" s="20"/>
    </row>
    <row r="2336" spans="13:20" x14ac:dyDescent="0.2">
      <c r="M2336" s="20">
        <v>1.0507202556790394E-2</v>
      </c>
      <c r="N2336" s="20">
        <v>7.5904509871220667E-4</v>
      </c>
      <c r="O2336" s="20">
        <v>7.224045549799224E-2</v>
      </c>
      <c r="P2336" s="20"/>
      <c r="Q2336" s="20">
        <v>0.08</v>
      </c>
      <c r="R2336" s="20">
        <v>0.28000000000000003</v>
      </c>
      <c r="S2336" s="20">
        <v>0.6399999999999999</v>
      </c>
      <c r="T2336" s="20"/>
    </row>
    <row r="2337" spans="13:20" x14ac:dyDescent="0.2">
      <c r="M2337" s="20">
        <v>1.2711061811732781E-2</v>
      </c>
      <c r="N2337" s="20">
        <v>1.4060629153348982E-3</v>
      </c>
      <c r="O2337" s="20">
        <v>0.11061726676815073</v>
      </c>
      <c r="P2337" s="20">
        <v>8.0000000000000071E-2</v>
      </c>
      <c r="Q2337" s="20"/>
      <c r="R2337" s="20"/>
      <c r="S2337" s="20">
        <v>0.21</v>
      </c>
      <c r="T2337" s="20">
        <v>0.71</v>
      </c>
    </row>
    <row r="2338" spans="13:20" x14ac:dyDescent="0.2">
      <c r="M2338" s="20">
        <v>1.0476620356201099E-2</v>
      </c>
      <c r="N2338" s="20">
        <v>1.6063002364303958E-3</v>
      </c>
      <c r="O2338" s="20">
        <v>0.15332236750180878</v>
      </c>
      <c r="P2338" s="20">
        <v>0.43999999999999995</v>
      </c>
      <c r="Q2338" s="20"/>
      <c r="R2338" s="20"/>
      <c r="S2338" s="20">
        <v>0.39</v>
      </c>
      <c r="T2338" s="20">
        <v>0.17</v>
      </c>
    </row>
    <row r="2339" spans="13:20" x14ac:dyDescent="0.2">
      <c r="M2339" s="20">
        <v>1.4168542622972173E-2</v>
      </c>
      <c r="N2339" s="20">
        <v>1.3817380765135169E-3</v>
      </c>
      <c r="O2339" s="20">
        <v>9.7521538614228062E-2</v>
      </c>
      <c r="P2339" s="20"/>
      <c r="Q2339" s="20"/>
      <c r="R2339" s="20"/>
      <c r="S2339" s="20">
        <v>0.15</v>
      </c>
      <c r="T2339" s="20">
        <v>0.85000000000000009</v>
      </c>
    </row>
    <row r="2340" spans="13:20" x14ac:dyDescent="0.2">
      <c r="M2340" s="20">
        <v>1.2068147811239242E-2</v>
      </c>
      <c r="N2340" s="20">
        <v>1.8559742379637735E-3</v>
      </c>
      <c r="O2340" s="20">
        <v>0.15379114235204161</v>
      </c>
      <c r="P2340" s="20">
        <v>0.52</v>
      </c>
      <c r="Q2340" s="20">
        <v>0.24</v>
      </c>
      <c r="R2340" s="20">
        <v>0.12</v>
      </c>
      <c r="S2340" s="20">
        <v>0.12000000000000011</v>
      </c>
      <c r="T2340" s="20"/>
    </row>
    <row r="2341" spans="13:20" x14ac:dyDescent="0.2">
      <c r="M2341" s="20">
        <v>1.0555248049966059E-2</v>
      </c>
      <c r="N2341" s="20">
        <v>1.2881655362720398E-3</v>
      </c>
      <c r="O2341" s="20">
        <v>0.12204029030622184</v>
      </c>
      <c r="P2341" s="20">
        <v>8.9999999999999969E-2</v>
      </c>
      <c r="Q2341" s="20"/>
      <c r="R2341" s="20">
        <v>0.15</v>
      </c>
      <c r="S2341" s="20">
        <v>0.28000000000000003</v>
      </c>
      <c r="T2341" s="20">
        <v>0.48</v>
      </c>
    </row>
    <row r="2342" spans="13:20" x14ac:dyDescent="0.2">
      <c r="M2342" s="20">
        <v>1.0584480732840736E-2</v>
      </c>
      <c r="N2342" s="20">
        <v>1.377593345613933E-3</v>
      </c>
      <c r="O2342" s="20">
        <v>0.13015218983200935</v>
      </c>
      <c r="P2342" s="20">
        <v>0.36</v>
      </c>
      <c r="Q2342" s="20">
        <v>5.0000000000000044E-2</v>
      </c>
      <c r="R2342" s="20"/>
      <c r="S2342" s="20">
        <v>0.52</v>
      </c>
      <c r="T2342" s="20">
        <v>7.0000000000000007E-2</v>
      </c>
    </row>
    <row r="2343" spans="13:20" x14ac:dyDescent="0.2">
      <c r="M2343" s="20">
        <v>1.1422363775271905E-2</v>
      </c>
      <c r="N2343" s="20">
        <v>1.0140741613849373E-3</v>
      </c>
      <c r="O2343" s="20">
        <v>8.8779711567258113E-2</v>
      </c>
      <c r="P2343" s="20">
        <v>7.0000000000000007E-2</v>
      </c>
      <c r="Q2343" s="20">
        <v>0.22999999999999998</v>
      </c>
      <c r="R2343" s="20"/>
      <c r="S2343" s="20">
        <v>0.53</v>
      </c>
      <c r="T2343" s="20">
        <v>0.17</v>
      </c>
    </row>
    <row r="2344" spans="13:20" x14ac:dyDescent="0.2">
      <c r="M2344" s="20">
        <v>1.5761864063279733E-2</v>
      </c>
      <c r="N2344" s="20">
        <v>1.2440488233245435E-3</v>
      </c>
      <c r="O2344" s="20">
        <v>7.8927772649860145E-2</v>
      </c>
      <c r="P2344" s="20"/>
      <c r="Q2344" s="20">
        <v>0.74</v>
      </c>
      <c r="R2344" s="20">
        <v>0.26</v>
      </c>
      <c r="S2344" s="20"/>
      <c r="T2344" s="20"/>
    </row>
    <row r="2345" spans="13:20" x14ac:dyDescent="0.2">
      <c r="M2345" s="20">
        <v>1.4013216223519356E-2</v>
      </c>
      <c r="N2345" s="20">
        <v>2.4093953490554485E-3</v>
      </c>
      <c r="O2345" s="20">
        <v>0.17193735618034586</v>
      </c>
      <c r="P2345" s="20">
        <v>0.86</v>
      </c>
      <c r="Q2345" s="20">
        <v>0.14000000000000012</v>
      </c>
      <c r="R2345" s="20"/>
      <c r="S2345" s="20"/>
      <c r="T2345" s="20"/>
    </row>
    <row r="2346" spans="13:20" x14ac:dyDescent="0.2">
      <c r="M2346" s="20">
        <v>1.2479136611515082E-2</v>
      </c>
      <c r="N2346" s="20">
        <v>1.0389042279403743E-3</v>
      </c>
      <c r="O2346" s="20">
        <v>8.3251290556570129E-2</v>
      </c>
      <c r="P2346" s="20"/>
      <c r="Q2346" s="20">
        <v>0.41</v>
      </c>
      <c r="R2346" s="20">
        <v>0.33</v>
      </c>
      <c r="S2346" s="20">
        <v>0.26</v>
      </c>
      <c r="T2346" s="20"/>
    </row>
    <row r="2347" spans="13:20" x14ac:dyDescent="0.2">
      <c r="M2347" s="20">
        <v>1.1398615152969197E-2</v>
      </c>
      <c r="N2347" s="20">
        <v>1.7571064391547053E-3</v>
      </c>
      <c r="O2347" s="20">
        <v>0.15415086969551742</v>
      </c>
      <c r="P2347" s="20">
        <v>0.4</v>
      </c>
      <c r="Q2347" s="20">
        <v>0.24</v>
      </c>
      <c r="R2347" s="20">
        <v>0.36</v>
      </c>
      <c r="S2347" s="20"/>
      <c r="T2347" s="20"/>
    </row>
    <row r="2348" spans="13:20" x14ac:dyDescent="0.2">
      <c r="M2348" s="20">
        <v>1.5998727079513643E-2</v>
      </c>
      <c r="N2348" s="20">
        <v>1.246670829711746E-3</v>
      </c>
      <c r="O2348" s="20">
        <v>7.7923126228467712E-2</v>
      </c>
      <c r="P2348" s="20"/>
      <c r="Q2348" s="20">
        <v>0.76</v>
      </c>
      <c r="R2348" s="20">
        <v>0.24</v>
      </c>
      <c r="S2348" s="20"/>
      <c r="T2348" s="20"/>
    </row>
    <row r="2349" spans="13:20" x14ac:dyDescent="0.2">
      <c r="M2349" s="20">
        <v>1.3905988543486663E-2</v>
      </c>
      <c r="N2349" s="20">
        <v>1.2217617690333232E-3</v>
      </c>
      <c r="O2349" s="20">
        <v>8.785867795105988E-2</v>
      </c>
      <c r="P2349" s="20"/>
      <c r="Q2349" s="20">
        <v>0.56999999999999995</v>
      </c>
      <c r="R2349" s="20">
        <v>0.43</v>
      </c>
      <c r="S2349" s="20">
        <v>0</v>
      </c>
      <c r="T2349" s="20"/>
    </row>
    <row r="2350" spans="13:20" x14ac:dyDescent="0.2">
      <c r="M2350" s="20">
        <v>1.5879871097141299E-2</v>
      </c>
      <c r="N2350" s="20">
        <v>1.2453598265181449E-3</v>
      </c>
      <c r="O2350" s="20">
        <v>7.8423799469149041E-2</v>
      </c>
      <c r="P2350" s="20"/>
      <c r="Q2350" s="20">
        <v>0.75</v>
      </c>
      <c r="R2350" s="20">
        <v>0.25000000000000011</v>
      </c>
      <c r="S2350" s="20"/>
      <c r="T2350" s="20"/>
    </row>
    <row r="2351" spans="13:20" x14ac:dyDescent="0.2">
      <c r="M2351" s="20">
        <v>1.0342325803158048E-2</v>
      </c>
      <c r="N2351" s="20">
        <v>1.0598676308467231E-3</v>
      </c>
      <c r="O2351" s="20">
        <v>0.10247865432000708</v>
      </c>
      <c r="P2351" s="20"/>
      <c r="Q2351" s="20"/>
      <c r="R2351" s="20">
        <v>0.86</v>
      </c>
      <c r="S2351" s="20">
        <v>0.14000000000000012</v>
      </c>
      <c r="T2351" s="20"/>
    </row>
    <row r="2352" spans="13:20" x14ac:dyDescent="0.2">
      <c r="M2352" s="20">
        <v>9.7155981301437367E-3</v>
      </c>
      <c r="N2352" s="20">
        <v>9.540220412343921E-4</v>
      </c>
      <c r="O2352" s="20">
        <v>9.8194885014277325E-2</v>
      </c>
      <c r="P2352" s="20"/>
      <c r="Q2352" s="20"/>
      <c r="R2352" s="20">
        <v>0.69</v>
      </c>
      <c r="S2352" s="20">
        <v>0.31000000000000005</v>
      </c>
      <c r="T2352" s="20"/>
    </row>
    <row r="2353" spans="13:20" x14ac:dyDescent="0.2">
      <c r="M2353" s="20">
        <v>1.3570602348951239E-2</v>
      </c>
      <c r="N2353" s="20">
        <v>1.9042138340204387E-3</v>
      </c>
      <c r="O2353" s="20">
        <v>0.14031903559296319</v>
      </c>
      <c r="P2353" s="20">
        <v>0.35000000000000009</v>
      </c>
      <c r="Q2353" s="20"/>
      <c r="R2353" s="20"/>
      <c r="S2353" s="20"/>
      <c r="T2353" s="20">
        <v>0.65</v>
      </c>
    </row>
    <row r="2354" spans="13:20" x14ac:dyDescent="0.2">
      <c r="M2354" s="20">
        <v>1.3475117798662246E-2</v>
      </c>
      <c r="N2354" s="20">
        <v>1.0769191044910523E-3</v>
      </c>
      <c r="O2354" s="20">
        <v>7.9919086466016961E-2</v>
      </c>
      <c r="P2354" s="20"/>
      <c r="Q2354" s="20">
        <v>0.51</v>
      </c>
      <c r="R2354" s="20">
        <v>0.27</v>
      </c>
      <c r="S2354" s="20">
        <v>0.21999999999999997</v>
      </c>
      <c r="T2354" s="20"/>
    </row>
    <row r="2355" spans="13:20" x14ac:dyDescent="0.2">
      <c r="M2355" s="20">
        <v>1.441711545283081E-2</v>
      </c>
      <c r="N2355" s="20">
        <v>2.5409372609969914E-3</v>
      </c>
      <c r="O2355" s="20">
        <v>0.17624449698764649</v>
      </c>
      <c r="P2355" s="20">
        <v>0.96</v>
      </c>
      <c r="Q2355" s="20">
        <v>4.0000000000000036E-2</v>
      </c>
      <c r="R2355" s="20"/>
      <c r="S2355" s="20"/>
      <c r="T2355" s="20"/>
    </row>
    <row r="2356" spans="13:20" x14ac:dyDescent="0.2">
      <c r="M2356" s="20">
        <v>1.2108729476825474E-2</v>
      </c>
      <c r="N2356" s="20">
        <v>1.9382789163761563E-3</v>
      </c>
      <c r="O2356" s="20">
        <v>0.16007285653592054</v>
      </c>
      <c r="P2356" s="20">
        <v>0.53</v>
      </c>
      <c r="Q2356" s="20">
        <v>0.17999999999999994</v>
      </c>
      <c r="R2356" s="20"/>
      <c r="S2356" s="20">
        <v>0.11</v>
      </c>
      <c r="T2356" s="20">
        <v>0.18</v>
      </c>
    </row>
    <row r="2357" spans="13:20" x14ac:dyDescent="0.2">
      <c r="M2357" s="20">
        <v>9.3065685947860081E-3</v>
      </c>
      <c r="N2357" s="20">
        <v>9.6535055281929578E-4</v>
      </c>
      <c r="O2357" s="20">
        <v>0.10372787166261603</v>
      </c>
      <c r="P2357" s="20"/>
      <c r="Q2357" s="20"/>
      <c r="R2357" s="20">
        <v>0.53</v>
      </c>
      <c r="S2357" s="20">
        <v>0.36</v>
      </c>
      <c r="T2357" s="20">
        <v>0.1100000000000001</v>
      </c>
    </row>
    <row r="2358" spans="13:20" x14ac:dyDescent="0.2">
      <c r="M2358" s="20">
        <v>1.3824281704775376E-2</v>
      </c>
      <c r="N2358" s="20">
        <v>2.2252366723372876E-3</v>
      </c>
      <c r="O2358" s="20">
        <v>0.16096580783424108</v>
      </c>
      <c r="P2358" s="20">
        <v>0.72</v>
      </c>
      <c r="Q2358" s="20">
        <v>0.28000000000000014</v>
      </c>
      <c r="R2358" s="20"/>
      <c r="S2358" s="20"/>
      <c r="T2358" s="20"/>
    </row>
    <row r="2359" spans="13:20" x14ac:dyDescent="0.2">
      <c r="M2359" s="20">
        <v>1.020195687555365E-2</v>
      </c>
      <c r="N2359" s="20">
        <v>8.8871797422758426E-4</v>
      </c>
      <c r="O2359" s="20">
        <v>8.7112500578900395E-2</v>
      </c>
      <c r="P2359" s="20">
        <v>0.05</v>
      </c>
      <c r="Q2359" s="20">
        <v>0.09</v>
      </c>
      <c r="R2359" s="20">
        <v>0.31</v>
      </c>
      <c r="S2359" s="20">
        <v>0.54999999999999993</v>
      </c>
      <c r="T2359" s="20"/>
    </row>
    <row r="2360" spans="13:20" x14ac:dyDescent="0.2">
      <c r="M2360" s="20">
        <v>1.1970001500584901E-2</v>
      </c>
      <c r="N2360" s="20">
        <v>2.1148474485259325E-3</v>
      </c>
      <c r="O2360" s="20">
        <v>0.17667896269040509</v>
      </c>
      <c r="P2360" s="20">
        <v>0.66</v>
      </c>
      <c r="Q2360" s="20">
        <v>0.1</v>
      </c>
      <c r="R2360" s="20">
        <v>0.24</v>
      </c>
      <c r="S2360" s="20"/>
      <c r="T2360" s="20"/>
    </row>
    <row r="2361" spans="13:20" x14ac:dyDescent="0.2">
      <c r="M2361" s="20">
        <v>1.5761864063279733E-2</v>
      </c>
      <c r="N2361" s="20">
        <v>1.2440488233245435E-3</v>
      </c>
      <c r="O2361" s="20">
        <v>7.8927772649860145E-2</v>
      </c>
      <c r="P2361" s="20"/>
      <c r="Q2361" s="20">
        <v>0.74</v>
      </c>
      <c r="R2361" s="20">
        <v>0.26</v>
      </c>
      <c r="S2361" s="20"/>
      <c r="T2361" s="20"/>
    </row>
    <row r="2362" spans="13:20" x14ac:dyDescent="0.2">
      <c r="M2362" s="20">
        <v>1.2712651553740751E-2</v>
      </c>
      <c r="N2362" s="20">
        <v>1.3757563187346074E-3</v>
      </c>
      <c r="O2362" s="20">
        <v>0.10821946255026436</v>
      </c>
      <c r="P2362" s="20">
        <v>0.04</v>
      </c>
      <c r="Q2362" s="20">
        <v>0.42</v>
      </c>
      <c r="R2362" s="20">
        <v>0.2400000000000001</v>
      </c>
      <c r="S2362" s="20"/>
      <c r="T2362" s="20">
        <v>0.3</v>
      </c>
    </row>
    <row r="2363" spans="13:20" x14ac:dyDescent="0.2">
      <c r="M2363" s="20">
        <v>1.2968557061063663E-2</v>
      </c>
      <c r="N2363" s="20">
        <v>2.2011603781602659E-3</v>
      </c>
      <c r="O2363" s="20">
        <v>0.1697305542780046</v>
      </c>
      <c r="P2363" s="20">
        <v>0.63</v>
      </c>
      <c r="Q2363" s="20"/>
      <c r="R2363" s="20"/>
      <c r="S2363" s="20"/>
      <c r="T2363" s="20">
        <v>0.37</v>
      </c>
    </row>
    <row r="2364" spans="13:20" x14ac:dyDescent="0.2">
      <c r="M2364" s="20">
        <v>1.5344006605141125E-2</v>
      </c>
      <c r="N2364" s="20">
        <v>1.6390829910384497E-3</v>
      </c>
      <c r="O2364" s="20">
        <v>0.1068223595843124</v>
      </c>
      <c r="P2364" s="20">
        <v>9.9999999999999867E-2</v>
      </c>
      <c r="Q2364" s="20"/>
      <c r="R2364" s="20"/>
      <c r="S2364" s="20"/>
      <c r="T2364" s="20">
        <v>0.9</v>
      </c>
    </row>
    <row r="2365" spans="13:20" x14ac:dyDescent="0.2">
      <c r="M2365" s="20">
        <v>9.6934705756580048E-3</v>
      </c>
      <c r="N2365" s="20">
        <v>9.477958300807257E-4</v>
      </c>
      <c r="O2365" s="20">
        <v>9.7776727404610506E-2</v>
      </c>
      <c r="P2365" s="20"/>
      <c r="Q2365" s="20"/>
      <c r="R2365" s="20">
        <v>0.68</v>
      </c>
      <c r="S2365" s="20">
        <v>0.31999999999999995</v>
      </c>
      <c r="T2365" s="20"/>
    </row>
    <row r="2366" spans="13:20" x14ac:dyDescent="0.2">
      <c r="M2366" s="20">
        <v>1.1214886936722263E-2</v>
      </c>
      <c r="N2366" s="20">
        <v>1.5253157957326579E-3</v>
      </c>
      <c r="O2366" s="20">
        <v>0.13600812958159494</v>
      </c>
      <c r="P2366" s="20">
        <v>0.24</v>
      </c>
      <c r="Q2366" s="20"/>
      <c r="R2366" s="20"/>
      <c r="S2366" s="20">
        <v>0.26</v>
      </c>
      <c r="T2366" s="20">
        <v>0.5</v>
      </c>
    </row>
    <row r="2367" spans="13:20" x14ac:dyDescent="0.2">
      <c r="M2367" s="20">
        <v>1.5712515718385011E-2</v>
      </c>
      <c r="N2367" s="20">
        <v>1.5966620561613323E-3</v>
      </c>
      <c r="O2367" s="20">
        <v>0.1016172129771109</v>
      </c>
      <c r="P2367" s="20">
        <v>6.0000000000000164E-2</v>
      </c>
      <c r="Q2367" s="20"/>
      <c r="R2367" s="20"/>
      <c r="S2367" s="20"/>
      <c r="T2367" s="20">
        <v>0.94</v>
      </c>
    </row>
    <row r="2368" spans="13:20" x14ac:dyDescent="0.2">
      <c r="M2368" s="20">
        <v>1.2071580208830594E-2</v>
      </c>
      <c r="N2368" s="20">
        <v>1.9455311463079171E-3</v>
      </c>
      <c r="O2368" s="20">
        <v>0.16116623612248576</v>
      </c>
      <c r="P2368" s="20">
        <v>0.46</v>
      </c>
      <c r="Q2368" s="20">
        <v>0.15</v>
      </c>
      <c r="R2368" s="20">
        <v>7.0000000000000007E-2</v>
      </c>
      <c r="S2368" s="20">
        <v>9.9999999999998979E-3</v>
      </c>
      <c r="T2368" s="20">
        <v>0.31</v>
      </c>
    </row>
    <row r="2369" spans="13:20" x14ac:dyDescent="0.2">
      <c r="M2369" s="20">
        <v>1.6301847562708853E-2</v>
      </c>
      <c r="N2369" s="20">
        <v>1.6069896862120335E-3</v>
      </c>
      <c r="O2369" s="20">
        <v>9.8577150843201872E-2</v>
      </c>
      <c r="P2369" s="20">
        <v>0.25</v>
      </c>
      <c r="Q2369" s="20">
        <v>0.74999999999999989</v>
      </c>
      <c r="R2369" s="20"/>
      <c r="S2369" s="20"/>
      <c r="T2369" s="20"/>
    </row>
    <row r="2370" spans="13:20" x14ac:dyDescent="0.2">
      <c r="M2370" s="20">
        <v>1.4265946702981518E-2</v>
      </c>
      <c r="N2370" s="20">
        <v>1.5300163671598361E-3</v>
      </c>
      <c r="O2370" s="20">
        <v>0.10724955020616118</v>
      </c>
      <c r="P2370" s="20">
        <v>5.0000000000000044E-2</v>
      </c>
      <c r="Q2370" s="20">
        <v>0.15</v>
      </c>
      <c r="R2370" s="20">
        <v>0.02</v>
      </c>
      <c r="S2370" s="20">
        <v>0.01</v>
      </c>
      <c r="T2370" s="20">
        <v>0.77</v>
      </c>
    </row>
    <row r="2371" spans="13:20" x14ac:dyDescent="0.2">
      <c r="M2371" s="20">
        <v>1.0500565917555851E-2</v>
      </c>
      <c r="N2371" s="20">
        <v>8.3831334843647133E-4</v>
      </c>
      <c r="O2371" s="20">
        <v>7.9835063654512081E-2</v>
      </c>
      <c r="P2371" s="20">
        <v>0.10999999999999999</v>
      </c>
      <c r="Q2371" s="20"/>
      <c r="R2371" s="20">
        <v>0.09</v>
      </c>
      <c r="S2371" s="20">
        <v>0.77</v>
      </c>
      <c r="T2371" s="20">
        <v>0.03</v>
      </c>
    </row>
    <row r="2372" spans="13:20" x14ac:dyDescent="0.2">
      <c r="M2372" s="20">
        <v>1.4688522082506449E-2</v>
      </c>
      <c r="N2372" s="20">
        <v>1.6926282215319849E-3</v>
      </c>
      <c r="O2372" s="20">
        <v>0.11523475350510926</v>
      </c>
      <c r="P2372" s="20">
        <v>0.16000000000000014</v>
      </c>
      <c r="Q2372" s="20"/>
      <c r="R2372" s="20"/>
      <c r="S2372" s="20">
        <v>0.01</v>
      </c>
      <c r="T2372" s="20">
        <v>0.83</v>
      </c>
    </row>
    <row r="2373" spans="13:20" x14ac:dyDescent="0.2">
      <c r="M2373" s="20">
        <v>1.798915162531552E-2</v>
      </c>
      <c r="N2373" s="20">
        <v>1.3965226271055642E-3</v>
      </c>
      <c r="O2373" s="20">
        <v>7.7631377854433414E-2</v>
      </c>
      <c r="P2373" s="20">
        <v>0.09</v>
      </c>
      <c r="Q2373" s="20">
        <v>0.91</v>
      </c>
      <c r="R2373" s="20"/>
      <c r="S2373" s="20"/>
      <c r="T2373" s="20"/>
    </row>
    <row r="2374" spans="13:20" x14ac:dyDescent="0.2">
      <c r="M2374" s="20">
        <v>1.1488893362622824E-2</v>
      </c>
      <c r="N2374" s="20">
        <v>1.1463854094968889E-3</v>
      </c>
      <c r="O2374" s="20">
        <v>9.9782056749387213E-2</v>
      </c>
      <c r="P2374" s="20"/>
      <c r="Q2374" s="20">
        <v>0.28000000000000003</v>
      </c>
      <c r="R2374" s="20">
        <v>0.66</v>
      </c>
      <c r="S2374" s="20">
        <v>5.9999999999999942E-2</v>
      </c>
      <c r="T2374" s="20"/>
    </row>
    <row r="2375" spans="13:20" x14ac:dyDescent="0.2">
      <c r="M2375" s="20">
        <v>1.0220621362782867E-2</v>
      </c>
      <c r="N2375" s="20">
        <v>9.0768800087281834E-4</v>
      </c>
      <c r="O2375" s="20">
        <v>8.8809473382709628E-2</v>
      </c>
      <c r="P2375" s="20"/>
      <c r="Q2375" s="20"/>
      <c r="R2375" s="20"/>
      <c r="S2375" s="20">
        <v>0.62</v>
      </c>
      <c r="T2375" s="20">
        <v>0.38</v>
      </c>
    </row>
    <row r="2376" spans="13:20" x14ac:dyDescent="0.2">
      <c r="M2376" s="20">
        <v>1.5255066422544934E-2</v>
      </c>
      <c r="N2376" s="20">
        <v>1.6496882247577292E-3</v>
      </c>
      <c r="O2376" s="20">
        <v>0.10814035016718852</v>
      </c>
      <c r="P2376" s="20">
        <v>0.10999999999999988</v>
      </c>
      <c r="Q2376" s="20"/>
      <c r="R2376" s="20"/>
      <c r="S2376" s="20"/>
      <c r="T2376" s="20">
        <v>0.89</v>
      </c>
    </row>
    <row r="2377" spans="13:20" x14ac:dyDescent="0.2">
      <c r="M2377" s="20">
        <v>1.0196705760860779E-2</v>
      </c>
      <c r="N2377" s="20">
        <v>8.8751565722853306E-4</v>
      </c>
      <c r="O2377" s="20">
        <v>8.7039449606871017E-2</v>
      </c>
      <c r="P2377" s="20"/>
      <c r="Q2377" s="20"/>
      <c r="R2377" s="20"/>
      <c r="S2377" s="20">
        <v>0.64</v>
      </c>
      <c r="T2377" s="20">
        <v>0.36</v>
      </c>
    </row>
    <row r="2378" spans="13:20" x14ac:dyDescent="0.2">
      <c r="M2378" s="20">
        <v>1.4006666312249947E-2</v>
      </c>
      <c r="N2378" s="20">
        <v>1.9591944871595454E-3</v>
      </c>
      <c r="O2378" s="20">
        <v>0.13987585935748847</v>
      </c>
      <c r="P2378" s="20">
        <v>0.51</v>
      </c>
      <c r="Q2378" s="20">
        <v>0.44999999999999996</v>
      </c>
      <c r="R2378" s="20"/>
      <c r="S2378" s="20"/>
      <c r="T2378" s="20">
        <v>0.04</v>
      </c>
    </row>
    <row r="2379" spans="13:20" x14ac:dyDescent="0.2">
      <c r="M2379" s="20">
        <v>1.0912978398749273E-2</v>
      </c>
      <c r="N2379" s="20">
        <v>6.2403285009006665E-4</v>
      </c>
      <c r="O2379" s="20">
        <v>5.7182634042562255E-2</v>
      </c>
      <c r="P2379" s="20"/>
      <c r="Q2379" s="20"/>
      <c r="R2379" s="20">
        <v>0.16</v>
      </c>
      <c r="S2379" s="20">
        <v>0.84</v>
      </c>
      <c r="T2379" s="20"/>
    </row>
    <row r="2380" spans="13:20" x14ac:dyDescent="0.2">
      <c r="M2380" s="20">
        <v>1.1004230292705927E-2</v>
      </c>
      <c r="N2380" s="20">
        <v>6.4544753349711243E-4</v>
      </c>
      <c r="O2380" s="20">
        <v>5.865449162082173E-2</v>
      </c>
      <c r="P2380" s="20"/>
      <c r="Q2380" s="20"/>
      <c r="R2380" s="20"/>
      <c r="S2380" s="20">
        <v>0.88</v>
      </c>
      <c r="T2380" s="20">
        <v>0.11999999999999988</v>
      </c>
    </row>
    <row r="2381" spans="13:20" x14ac:dyDescent="0.2">
      <c r="M2381" s="20">
        <v>9.281192807567111E-3</v>
      </c>
      <c r="N2381" s="20">
        <v>9.1168090292148714E-4</v>
      </c>
      <c r="O2381" s="20">
        <v>9.8228850733299983E-2</v>
      </c>
      <c r="P2381" s="20"/>
      <c r="Q2381" s="20"/>
      <c r="R2381" s="20">
        <v>0.46</v>
      </c>
      <c r="S2381" s="20">
        <v>0.44</v>
      </c>
      <c r="T2381" s="20">
        <v>9.9999999999999867E-2</v>
      </c>
    </row>
    <row r="2382" spans="13:20" x14ac:dyDescent="0.2">
      <c r="M2382" s="20">
        <v>1.1102743687968868E-2</v>
      </c>
      <c r="N2382" s="20">
        <v>1.5269743321442175E-3</v>
      </c>
      <c r="O2382" s="20">
        <v>0.13753126029549564</v>
      </c>
      <c r="P2382" s="20">
        <v>0.24</v>
      </c>
      <c r="Q2382" s="20">
        <v>0.25</v>
      </c>
      <c r="R2382" s="20">
        <v>0.51000000000000012</v>
      </c>
      <c r="S2382" s="20"/>
      <c r="T2382" s="20"/>
    </row>
    <row r="2383" spans="13:20" x14ac:dyDescent="0.2">
      <c r="M2383" s="20">
        <v>1.1914588792090822E-2</v>
      </c>
      <c r="N2383" s="20">
        <v>1.2490011487266781E-3</v>
      </c>
      <c r="O2383" s="20">
        <v>0.10482956403462232</v>
      </c>
      <c r="P2383" s="20">
        <v>0.08</v>
      </c>
      <c r="Q2383" s="20">
        <v>0.37</v>
      </c>
      <c r="R2383" s="20">
        <v>0.45</v>
      </c>
      <c r="S2383" s="20">
        <v>0.10000000000000009</v>
      </c>
      <c r="T2383" s="20"/>
    </row>
    <row r="2384" spans="13:20" x14ac:dyDescent="0.2">
      <c r="M2384" s="20">
        <v>1.0712848267462575E-2</v>
      </c>
      <c r="N2384" s="20">
        <v>1.4413233975723531E-3</v>
      </c>
      <c r="O2384" s="20">
        <v>0.13454156743263032</v>
      </c>
      <c r="P2384" s="20">
        <v>0.11</v>
      </c>
      <c r="Q2384" s="20">
        <v>0.03</v>
      </c>
      <c r="R2384" s="20">
        <v>0.52</v>
      </c>
      <c r="S2384" s="20"/>
      <c r="T2384" s="20">
        <v>0.34</v>
      </c>
    </row>
    <row r="2385" spans="13:20" x14ac:dyDescent="0.2">
      <c r="M2385" s="20">
        <v>9.8536848161496909E-3</v>
      </c>
      <c r="N2385" s="20">
        <v>7.6100949547073008E-4</v>
      </c>
      <c r="O2385" s="20">
        <v>7.7230955695221148E-2</v>
      </c>
      <c r="P2385" s="20"/>
      <c r="Q2385" s="20"/>
      <c r="R2385" s="20">
        <v>0.38</v>
      </c>
      <c r="S2385" s="20">
        <v>0.62</v>
      </c>
      <c r="T2385" s="20"/>
    </row>
    <row r="2386" spans="13:20" x14ac:dyDescent="0.2">
      <c r="M2386" s="20">
        <v>9.8860185038424538E-3</v>
      </c>
      <c r="N2386" s="20">
        <v>7.5478328431706357E-4</v>
      </c>
      <c r="O2386" s="20">
        <v>7.6348560750083339E-2</v>
      </c>
      <c r="P2386" s="20"/>
      <c r="Q2386" s="20"/>
      <c r="R2386" s="20">
        <v>0.37</v>
      </c>
      <c r="S2386" s="20">
        <v>0.63000000000000012</v>
      </c>
      <c r="T2386" s="20"/>
    </row>
    <row r="2387" spans="13:20" x14ac:dyDescent="0.2">
      <c r="M2387" s="20">
        <v>1.8132536690980538E-2</v>
      </c>
      <c r="N2387" s="20">
        <v>1.2689578840029666E-3</v>
      </c>
      <c r="O2387" s="20">
        <v>6.998236957293294E-2</v>
      </c>
      <c r="P2387" s="20"/>
      <c r="Q2387" s="20">
        <v>0.93</v>
      </c>
      <c r="R2387" s="20">
        <v>6.9999999999999951E-2</v>
      </c>
      <c r="S2387" s="20"/>
      <c r="T2387" s="20"/>
    </row>
    <row r="2388" spans="13:20" x14ac:dyDescent="0.2">
      <c r="M2388" s="20">
        <v>1.4807664375462442E-2</v>
      </c>
      <c r="N2388" s="20">
        <v>1.7329512304717193E-3</v>
      </c>
      <c r="O2388" s="20">
        <v>0.1170306934659707</v>
      </c>
      <c r="P2388" s="20">
        <v>0.34</v>
      </c>
      <c r="Q2388" s="20">
        <v>0.6</v>
      </c>
      <c r="R2388" s="20">
        <v>0.02</v>
      </c>
      <c r="S2388" s="20">
        <v>0</v>
      </c>
      <c r="T2388" s="20">
        <v>4.0000000000000036E-2</v>
      </c>
    </row>
    <row r="2389" spans="13:20" x14ac:dyDescent="0.2">
      <c r="M2389" s="20">
        <v>9.8898306209774696E-3</v>
      </c>
      <c r="N2389" s="20">
        <v>1.1768864792437339E-3</v>
      </c>
      <c r="O2389" s="20">
        <v>0.11899965978663196</v>
      </c>
      <c r="P2389" s="20">
        <v>4.9999999999999933E-2</v>
      </c>
      <c r="Q2389" s="20"/>
      <c r="R2389" s="20">
        <v>0.25</v>
      </c>
      <c r="S2389" s="20">
        <v>0.31</v>
      </c>
      <c r="T2389" s="20">
        <v>0.39</v>
      </c>
    </row>
    <row r="2390" spans="13:20" x14ac:dyDescent="0.2">
      <c r="M2390" s="20">
        <v>1.073791125316164E-2</v>
      </c>
      <c r="N2390" s="20">
        <v>1.2356361181527491E-3</v>
      </c>
      <c r="O2390" s="20">
        <v>0.11507229749071841</v>
      </c>
      <c r="P2390" s="20">
        <v>9.9999999999999978E-2</v>
      </c>
      <c r="Q2390" s="20"/>
      <c r="R2390" s="20"/>
      <c r="S2390" s="20">
        <v>0.4</v>
      </c>
      <c r="T2390" s="20">
        <v>0.5</v>
      </c>
    </row>
    <row r="2391" spans="13:20" x14ac:dyDescent="0.2">
      <c r="M2391" s="20">
        <v>1.6360203031018032E-2</v>
      </c>
      <c r="N2391" s="20">
        <v>1.2506038392925496E-3</v>
      </c>
      <c r="O2391" s="20">
        <v>7.6441828803803624E-2</v>
      </c>
      <c r="P2391" s="20"/>
      <c r="Q2391" s="20">
        <v>0.79</v>
      </c>
      <c r="R2391" s="20">
        <v>0.21000000000000008</v>
      </c>
      <c r="S2391" s="20"/>
      <c r="T2391" s="20"/>
    </row>
    <row r="2392" spans="13:20" x14ac:dyDescent="0.2">
      <c r="M2392" s="20">
        <v>1.3817706763828257E-2</v>
      </c>
      <c r="N2392" s="20">
        <v>2.4662912211422545E-3</v>
      </c>
      <c r="O2392" s="20">
        <v>0.17848773774809487</v>
      </c>
      <c r="P2392" s="20">
        <v>0.88</v>
      </c>
      <c r="Q2392" s="20"/>
      <c r="R2392" s="20"/>
      <c r="S2392" s="20"/>
      <c r="T2392" s="20">
        <v>0.12</v>
      </c>
    </row>
    <row r="2393" spans="13:20" x14ac:dyDescent="0.2">
      <c r="M2393" s="20">
        <v>1.0503447111689088E-2</v>
      </c>
      <c r="N2393" s="20">
        <v>6.7981738005254053E-4</v>
      </c>
      <c r="O2393" s="20">
        <v>6.4723263974546474E-2</v>
      </c>
      <c r="P2393" s="20"/>
      <c r="Q2393" s="20"/>
      <c r="R2393" s="20">
        <v>0.12</v>
      </c>
      <c r="S2393" s="20">
        <v>0.8</v>
      </c>
      <c r="T2393" s="20">
        <v>7.9999999999999849E-2</v>
      </c>
    </row>
    <row r="2394" spans="13:20" x14ac:dyDescent="0.2">
      <c r="M2394" s="20">
        <v>1.4469126985004868E-2</v>
      </c>
      <c r="N2394" s="20">
        <v>2.5540914521911462E-3</v>
      </c>
      <c r="O2394" s="20">
        <v>0.17652007994940455</v>
      </c>
      <c r="P2394" s="20">
        <v>0.97</v>
      </c>
      <c r="Q2394" s="20">
        <v>2.9999999999999916E-2</v>
      </c>
      <c r="R2394" s="20"/>
      <c r="S2394" s="20"/>
      <c r="T2394" s="20"/>
    </row>
    <row r="2395" spans="13:20" x14ac:dyDescent="0.2">
      <c r="M2395" s="20">
        <v>1.100981778965179E-2</v>
      </c>
      <c r="N2395" s="20">
        <v>1.897869532709599E-3</v>
      </c>
      <c r="O2395" s="20">
        <v>0.17237974042526125</v>
      </c>
      <c r="P2395" s="20">
        <v>0.51</v>
      </c>
      <c r="Q2395" s="20">
        <v>0.1</v>
      </c>
      <c r="R2395" s="20">
        <v>0.3899999999999999</v>
      </c>
      <c r="S2395" s="20"/>
      <c r="T2395" s="20"/>
    </row>
    <row r="2396" spans="13:20" x14ac:dyDescent="0.2">
      <c r="M2396" s="20">
        <v>1.0376190289103924E-2</v>
      </c>
      <c r="N2396" s="20">
        <v>1.1742135659465035E-3</v>
      </c>
      <c r="O2396" s="20">
        <v>0.11316422822156122</v>
      </c>
      <c r="P2396" s="20"/>
      <c r="Q2396" s="20">
        <v>0.12</v>
      </c>
      <c r="R2396" s="20">
        <v>0.38</v>
      </c>
      <c r="S2396" s="20">
        <v>0.18</v>
      </c>
      <c r="T2396" s="20">
        <v>0.32000000000000006</v>
      </c>
    </row>
    <row r="2397" spans="13:20" x14ac:dyDescent="0.2">
      <c r="M2397" s="20">
        <v>1.6001662566933018E-2</v>
      </c>
      <c r="N2397" s="20">
        <v>1.5648463550034933E-3</v>
      </c>
      <c r="O2397" s="20">
        <v>9.7792735502197373E-2</v>
      </c>
      <c r="P2397" s="20">
        <v>3.0000000000000027E-2</v>
      </c>
      <c r="Q2397" s="20"/>
      <c r="R2397" s="20"/>
      <c r="S2397" s="20"/>
      <c r="T2397" s="20">
        <v>0.97</v>
      </c>
    </row>
    <row r="2398" spans="13:20" x14ac:dyDescent="0.2">
      <c r="M2398" s="20">
        <v>9.9158357900278205E-3</v>
      </c>
      <c r="N2398" s="20">
        <v>8.1243132392367918E-4</v>
      </c>
      <c r="O2398" s="20">
        <v>8.19327125950116E-2</v>
      </c>
      <c r="P2398" s="20"/>
      <c r="Q2398" s="20"/>
      <c r="R2398" s="20">
        <v>0.09</v>
      </c>
      <c r="S2398" s="20">
        <v>0.68</v>
      </c>
      <c r="T2398" s="20">
        <v>0.23000000000000009</v>
      </c>
    </row>
    <row r="2399" spans="13:20" x14ac:dyDescent="0.2">
      <c r="M2399" s="20">
        <v>1.1369993683639858E-2</v>
      </c>
      <c r="N2399" s="20">
        <v>1.1295837809599538E-3</v>
      </c>
      <c r="O2399" s="20">
        <v>9.9347793181740973E-2</v>
      </c>
      <c r="P2399" s="20"/>
      <c r="Q2399" s="20"/>
      <c r="R2399" s="20"/>
      <c r="S2399" s="20">
        <v>0.4</v>
      </c>
      <c r="T2399" s="20">
        <v>0.6</v>
      </c>
    </row>
    <row r="2400" spans="13:20" x14ac:dyDescent="0.2">
      <c r="M2400" s="20">
        <v>1.4367156485985239E-2</v>
      </c>
      <c r="N2400" s="20">
        <v>2.5277830698028371E-3</v>
      </c>
      <c r="O2400" s="20">
        <v>0.17594177889470466</v>
      </c>
      <c r="P2400" s="20">
        <v>0.95</v>
      </c>
      <c r="Q2400" s="20">
        <v>5.0000000000000044E-2</v>
      </c>
      <c r="R2400" s="20"/>
      <c r="S2400" s="20"/>
      <c r="T2400" s="20"/>
    </row>
    <row r="2401" spans="13:20" x14ac:dyDescent="0.2">
      <c r="M2401" s="20">
        <v>1.7871638832514841E-2</v>
      </c>
      <c r="N2401" s="20">
        <v>1.2663358776157641E-3</v>
      </c>
      <c r="O2401" s="20">
        <v>7.0857288997573667E-2</v>
      </c>
      <c r="P2401" s="20"/>
      <c r="Q2401" s="20">
        <v>0.91</v>
      </c>
      <c r="R2401" s="20">
        <v>8.9999999999999969E-2</v>
      </c>
      <c r="S2401" s="20"/>
      <c r="T2401" s="20"/>
    </row>
    <row r="2402" spans="13:20" x14ac:dyDescent="0.2">
      <c r="M2402" s="20">
        <v>1.3612880609491219E-2</v>
      </c>
      <c r="N2402" s="20">
        <v>1.2178287594525193E-3</v>
      </c>
      <c r="O2402" s="20">
        <v>8.9461502997640385E-2</v>
      </c>
      <c r="P2402" s="20"/>
      <c r="Q2402" s="20">
        <v>0.54</v>
      </c>
      <c r="R2402" s="20">
        <v>0.45999999999999985</v>
      </c>
      <c r="S2402" s="20"/>
      <c r="T2402" s="20"/>
    </row>
    <row r="2403" spans="13:20" x14ac:dyDescent="0.2">
      <c r="M2403" s="20">
        <v>1.8928536094734424E-2</v>
      </c>
      <c r="N2403" s="20">
        <v>1.2768239031645738E-3</v>
      </c>
      <c r="O2403" s="20">
        <v>6.745497363210054E-2</v>
      </c>
      <c r="P2403" s="20"/>
      <c r="Q2403" s="20">
        <v>0.99</v>
      </c>
      <c r="R2403" s="20">
        <v>1.0000000000000009E-2</v>
      </c>
      <c r="S2403" s="20"/>
      <c r="T2403" s="20"/>
    </row>
    <row r="2404" spans="13:20" x14ac:dyDescent="0.2">
      <c r="M2404" s="20">
        <v>1.060425586229344E-2</v>
      </c>
      <c r="N2404" s="20">
        <v>6.7646454570660132E-4</v>
      </c>
      <c r="O2404" s="20">
        <v>6.3791797792428842E-2</v>
      </c>
      <c r="P2404" s="20"/>
      <c r="Q2404" s="20">
        <v>0.02</v>
      </c>
      <c r="R2404" s="20">
        <v>0.22</v>
      </c>
      <c r="S2404" s="20">
        <v>0.76000000000000012</v>
      </c>
      <c r="T2404" s="20"/>
    </row>
    <row r="2405" spans="13:20" x14ac:dyDescent="0.2">
      <c r="M2405" s="20">
        <v>1.2530721152727511E-2</v>
      </c>
      <c r="N2405" s="20">
        <v>1.5386770286476155E-3</v>
      </c>
      <c r="O2405" s="20">
        <v>0.12279237642381802</v>
      </c>
      <c r="P2405" s="20">
        <v>0.16</v>
      </c>
      <c r="Q2405" s="20">
        <v>5.0000000000000044E-2</v>
      </c>
      <c r="R2405" s="20"/>
      <c r="S2405" s="20">
        <v>0.15</v>
      </c>
      <c r="T2405" s="20">
        <v>0.64</v>
      </c>
    </row>
    <row r="2406" spans="13:20" x14ac:dyDescent="0.2">
      <c r="M2406" s="20">
        <v>1.4123718142303425E-2</v>
      </c>
      <c r="N2406" s="20">
        <v>2.027923804424972E-3</v>
      </c>
      <c r="O2406" s="20">
        <v>0.14358285714800023</v>
      </c>
      <c r="P2406" s="20">
        <v>0.56999999999999995</v>
      </c>
      <c r="Q2406" s="20">
        <v>0.42999999999999994</v>
      </c>
      <c r="R2406" s="20"/>
      <c r="S2406" s="20"/>
      <c r="T2406" s="20"/>
    </row>
    <row r="2407" spans="13:20" x14ac:dyDescent="0.2">
      <c r="M2407" s="20">
        <v>1.1287998316155281E-2</v>
      </c>
      <c r="N2407" s="20">
        <v>5.9053554383654361E-4</v>
      </c>
      <c r="O2407" s="20">
        <v>5.2315346556295501E-2</v>
      </c>
      <c r="P2407" s="20"/>
      <c r="Q2407" s="20"/>
      <c r="R2407" s="20">
        <v>0.09</v>
      </c>
      <c r="S2407" s="20">
        <v>0.9</v>
      </c>
      <c r="T2407" s="20">
        <v>1.0000000000000009E-2</v>
      </c>
    </row>
    <row r="2408" spans="13:20" x14ac:dyDescent="0.2">
      <c r="M2408" s="20">
        <v>1.446912698500487E-2</v>
      </c>
      <c r="N2408" s="20">
        <v>2.5540914521911462E-3</v>
      </c>
      <c r="O2408" s="20">
        <v>0.17652007994940452</v>
      </c>
      <c r="P2408" s="20">
        <v>0.97</v>
      </c>
      <c r="Q2408" s="20">
        <v>3.0000000000000027E-2</v>
      </c>
      <c r="R2408" s="20"/>
      <c r="S2408" s="20"/>
      <c r="T2408" s="20"/>
    </row>
    <row r="2409" spans="13:20" x14ac:dyDescent="0.2">
      <c r="M2409" s="20">
        <v>1.4267112810062082E-2</v>
      </c>
      <c r="N2409" s="20">
        <v>1.8095907261568957E-3</v>
      </c>
      <c r="O2409" s="20">
        <v>0.12683650506223351</v>
      </c>
      <c r="P2409" s="20">
        <v>0.41</v>
      </c>
      <c r="Q2409" s="20">
        <v>0.53</v>
      </c>
      <c r="R2409" s="20">
        <v>6.0000000000000053E-2</v>
      </c>
      <c r="S2409" s="20"/>
      <c r="T2409" s="20"/>
    </row>
    <row r="2410" spans="13:20" x14ac:dyDescent="0.2">
      <c r="M2410" s="20">
        <v>9.2627884578536934E-3</v>
      </c>
      <c r="N2410" s="20">
        <v>9.069484019511066E-4</v>
      </c>
      <c r="O2410" s="20">
        <v>9.7913107492174994E-2</v>
      </c>
      <c r="P2410" s="20"/>
      <c r="Q2410" s="20"/>
      <c r="R2410" s="20">
        <v>0.42</v>
      </c>
      <c r="S2410" s="20">
        <v>0.46</v>
      </c>
      <c r="T2410" s="20">
        <v>0.12000000000000011</v>
      </c>
    </row>
    <row r="2411" spans="13:20" x14ac:dyDescent="0.2">
      <c r="M2411" s="20">
        <v>9.3821978072528983E-3</v>
      </c>
      <c r="N2411" s="20">
        <v>8.8659335131713703E-4</v>
      </c>
      <c r="O2411" s="20">
        <v>9.4497405568635215E-2</v>
      </c>
      <c r="P2411" s="20"/>
      <c r="Q2411" s="20">
        <v>0.01</v>
      </c>
      <c r="R2411" s="20">
        <v>0.44</v>
      </c>
      <c r="S2411" s="20">
        <v>0.47</v>
      </c>
      <c r="T2411" s="20">
        <v>7.999999999999996E-2</v>
      </c>
    </row>
    <row r="2412" spans="13:20" x14ac:dyDescent="0.2">
      <c r="M2412" s="20">
        <v>1.4705500628470931E-2</v>
      </c>
      <c r="N2412" s="20">
        <v>1.46238190159262E-3</v>
      </c>
      <c r="O2412" s="20">
        <v>9.9444550616749561E-2</v>
      </c>
      <c r="P2412" s="20">
        <v>0.16</v>
      </c>
      <c r="Q2412" s="20">
        <v>0.64</v>
      </c>
      <c r="R2412" s="20">
        <v>0.19999999999999984</v>
      </c>
      <c r="S2412" s="20"/>
      <c r="T2412" s="20"/>
    </row>
    <row r="2413" spans="13:20" x14ac:dyDescent="0.2">
      <c r="M2413" s="20">
        <v>1.0201929652973661E-2</v>
      </c>
      <c r="N2413" s="20">
        <v>7.0497359508773139E-4</v>
      </c>
      <c r="O2413" s="20">
        <v>6.9101985513323499E-2</v>
      </c>
      <c r="P2413" s="20"/>
      <c r="Q2413" s="20"/>
      <c r="R2413" s="20">
        <v>0.28999999999999998</v>
      </c>
      <c r="S2413" s="20">
        <v>0.71</v>
      </c>
      <c r="T2413" s="20"/>
    </row>
    <row r="2414" spans="13:20" x14ac:dyDescent="0.2">
      <c r="M2414" s="20">
        <v>1.1579199744869626E-2</v>
      </c>
      <c r="N2414" s="20">
        <v>5.7484433074211515E-4</v>
      </c>
      <c r="O2414" s="20">
        <v>4.9644564685639034E-2</v>
      </c>
      <c r="P2414" s="20"/>
      <c r="Q2414" s="20"/>
      <c r="R2414" s="20"/>
      <c r="S2414" s="20">
        <v>0.95</v>
      </c>
      <c r="T2414" s="20">
        <v>5.0000000000000155E-2</v>
      </c>
    </row>
    <row r="2415" spans="13:20" x14ac:dyDescent="0.2">
      <c r="M2415" s="20">
        <v>1.107899643424921E-2</v>
      </c>
      <c r="N2415" s="20">
        <v>1.1936082660631722E-3</v>
      </c>
      <c r="O2415" s="20">
        <v>0.10773613595300877</v>
      </c>
      <c r="P2415" s="20">
        <v>0.14000000000000001</v>
      </c>
      <c r="Q2415" s="20">
        <v>0.26</v>
      </c>
      <c r="R2415" s="20">
        <v>0.23</v>
      </c>
      <c r="S2415" s="20">
        <v>0.33</v>
      </c>
      <c r="T2415" s="20">
        <v>0.04</v>
      </c>
    </row>
    <row r="2416" spans="13:20" x14ac:dyDescent="0.2">
      <c r="M2416" s="20">
        <v>1.1247768536987354E-2</v>
      </c>
      <c r="N2416" s="20">
        <v>1.3027157151705721E-3</v>
      </c>
      <c r="O2416" s="20">
        <v>0.11581992560450544</v>
      </c>
      <c r="P2416" s="20">
        <v>0.19</v>
      </c>
      <c r="Q2416" s="20">
        <v>0.22999999999999998</v>
      </c>
      <c r="R2416" s="20"/>
      <c r="S2416" s="20">
        <v>0.37</v>
      </c>
      <c r="T2416" s="20">
        <v>0.21</v>
      </c>
    </row>
    <row r="2417" spans="13:20" x14ac:dyDescent="0.2">
      <c r="M2417" s="20">
        <v>1.2086426985467219E-2</v>
      </c>
      <c r="N2417" s="20">
        <v>8.8259133947003222E-4</v>
      </c>
      <c r="O2417" s="20">
        <v>7.3023345983992183E-2</v>
      </c>
      <c r="P2417" s="20"/>
      <c r="Q2417" s="20">
        <v>0.31</v>
      </c>
      <c r="R2417" s="20">
        <v>0.2</v>
      </c>
      <c r="S2417" s="20">
        <v>0.49</v>
      </c>
      <c r="T2417" s="20"/>
    </row>
    <row r="2418" spans="13:20" x14ac:dyDescent="0.2">
      <c r="M2418" s="20">
        <v>1.3253436773710979E-2</v>
      </c>
      <c r="N2418" s="20">
        <v>2.3390284165108999E-3</v>
      </c>
      <c r="O2418" s="20">
        <v>0.17648467008576291</v>
      </c>
      <c r="P2418" s="20">
        <v>0.76</v>
      </c>
      <c r="Q2418" s="20"/>
      <c r="R2418" s="20"/>
      <c r="S2418" s="20"/>
      <c r="T2418" s="20">
        <v>0.24</v>
      </c>
    </row>
    <row r="2419" spans="13:20" x14ac:dyDescent="0.2">
      <c r="M2419" s="20">
        <v>1.2727914869352489E-2</v>
      </c>
      <c r="N2419" s="20">
        <v>1.2047187275165073E-3</v>
      </c>
      <c r="O2419" s="20">
        <v>9.4651695889115844E-2</v>
      </c>
      <c r="P2419" s="20"/>
      <c r="Q2419" s="20">
        <v>0.44</v>
      </c>
      <c r="R2419" s="20">
        <v>0.55999999999999994</v>
      </c>
      <c r="S2419" s="20"/>
      <c r="T2419" s="20"/>
    </row>
    <row r="2420" spans="13:20" x14ac:dyDescent="0.2">
      <c r="M2420" s="20">
        <v>1.258382032641641E-2</v>
      </c>
      <c r="N2420" s="20">
        <v>1.1722766685545736E-3</v>
      </c>
      <c r="O2420" s="20">
        <v>9.3157454425321709E-2</v>
      </c>
      <c r="P2420" s="20"/>
      <c r="Q2420" s="20">
        <v>0.43</v>
      </c>
      <c r="R2420" s="20">
        <v>0.52</v>
      </c>
      <c r="S2420" s="20">
        <v>5.0000000000000044E-2</v>
      </c>
      <c r="T2420" s="20"/>
    </row>
    <row r="2421" spans="13:20" x14ac:dyDescent="0.2">
      <c r="M2421" s="20">
        <v>9.3803609921091595E-3</v>
      </c>
      <c r="N2421" s="20">
        <v>1.3166874931105771E-3</v>
      </c>
      <c r="O2421" s="20">
        <v>0.14036639892837663</v>
      </c>
      <c r="P2421" s="20">
        <v>0.14999999999999991</v>
      </c>
      <c r="Q2421" s="20"/>
      <c r="R2421" s="20">
        <v>0.45</v>
      </c>
      <c r="S2421" s="20">
        <v>0.2</v>
      </c>
      <c r="T2421" s="20">
        <v>0.2</v>
      </c>
    </row>
    <row r="2422" spans="13:20" x14ac:dyDescent="0.2">
      <c r="M2422" s="20">
        <v>1.4148879873072288E-2</v>
      </c>
      <c r="N2422" s="20">
        <v>2.4620121138320657E-3</v>
      </c>
      <c r="O2422" s="20">
        <v>0.17400756356110503</v>
      </c>
      <c r="P2422" s="20">
        <v>0.9</v>
      </c>
      <c r="Q2422" s="20">
        <v>9.9999999999999978E-2</v>
      </c>
      <c r="R2422" s="20"/>
      <c r="S2422" s="20"/>
      <c r="T2422" s="20"/>
    </row>
    <row r="2423" spans="13:20" x14ac:dyDescent="0.2">
      <c r="M2423" s="20">
        <v>1.3183505771747737E-2</v>
      </c>
      <c r="N2423" s="20">
        <v>1.8735801617765586E-3</v>
      </c>
      <c r="O2423" s="20">
        <v>0.14211547324472998</v>
      </c>
      <c r="P2423" s="20">
        <v>0.46</v>
      </c>
      <c r="Q2423" s="20">
        <v>0.37999999999999989</v>
      </c>
      <c r="R2423" s="20"/>
      <c r="S2423" s="20">
        <v>0.05</v>
      </c>
      <c r="T2423" s="20">
        <v>0.11</v>
      </c>
    </row>
    <row r="2424" spans="13:20" x14ac:dyDescent="0.2">
      <c r="M2424" s="20">
        <v>9.4508110421944094E-3</v>
      </c>
      <c r="N2424" s="20">
        <v>1.0629734802536253E-3</v>
      </c>
      <c r="O2424" s="20">
        <v>0.11247431310475241</v>
      </c>
      <c r="P2424" s="20"/>
      <c r="Q2424" s="20"/>
      <c r="R2424" s="20">
        <v>0.46</v>
      </c>
      <c r="S2424" s="20">
        <v>0.28999999999999998</v>
      </c>
      <c r="T2424" s="20">
        <v>0.25000000000000011</v>
      </c>
    </row>
    <row r="2425" spans="13:20" x14ac:dyDescent="0.2">
      <c r="M2425" s="20">
        <v>1.3882356534975663E-2</v>
      </c>
      <c r="N2425" s="20">
        <v>2.1463115251723615E-3</v>
      </c>
      <c r="O2425" s="20">
        <v>0.15460714611131574</v>
      </c>
      <c r="P2425" s="20">
        <v>0.66</v>
      </c>
      <c r="Q2425" s="20">
        <v>0.34000000000000008</v>
      </c>
      <c r="R2425" s="20"/>
      <c r="S2425" s="20"/>
      <c r="T2425" s="20"/>
    </row>
    <row r="2426" spans="13:20" x14ac:dyDescent="0.2">
      <c r="M2426" s="20">
        <v>1.4579219008078452E-2</v>
      </c>
      <c r="N2426" s="20">
        <v>2.5803998345794547E-3</v>
      </c>
      <c r="O2426" s="20">
        <v>0.17699163673648338</v>
      </c>
      <c r="P2426" s="20">
        <v>0.99</v>
      </c>
      <c r="Q2426" s="20">
        <v>1.0000000000000009E-2</v>
      </c>
      <c r="R2426" s="20"/>
      <c r="S2426" s="20"/>
      <c r="T2426" s="20"/>
    </row>
    <row r="2427" spans="13:20" x14ac:dyDescent="0.2">
      <c r="M2427" s="20">
        <v>1.0656930623754711E-2</v>
      </c>
      <c r="N2427" s="20">
        <v>8.3258953926454405E-4</v>
      </c>
      <c r="O2427" s="20">
        <v>7.8126579655934864E-2</v>
      </c>
      <c r="P2427" s="20">
        <v>0.03</v>
      </c>
      <c r="Q2427" s="20">
        <v>0.11999999999999988</v>
      </c>
      <c r="R2427" s="20">
        <v>0.25</v>
      </c>
      <c r="S2427" s="20">
        <v>0.6</v>
      </c>
      <c r="T2427" s="20">
        <v>0</v>
      </c>
    </row>
    <row r="2428" spans="13:20" x14ac:dyDescent="0.2">
      <c r="M2428" s="20">
        <v>1.4961254683134249E-2</v>
      </c>
      <c r="N2428" s="20">
        <v>1.2348718009693349E-3</v>
      </c>
      <c r="O2428" s="20">
        <v>8.2537984087751676E-2</v>
      </c>
      <c r="P2428" s="20"/>
      <c r="Q2428" s="20">
        <v>0.67</v>
      </c>
      <c r="R2428" s="20">
        <v>0.32999999999999996</v>
      </c>
      <c r="S2428" s="20"/>
      <c r="T2428" s="20"/>
    </row>
    <row r="2429" spans="13:20" x14ac:dyDescent="0.2">
      <c r="M2429" s="20">
        <v>1.390452838941523E-2</v>
      </c>
      <c r="N2429" s="20">
        <v>1.3615657328692316E-3</v>
      </c>
      <c r="O2429" s="20">
        <v>9.7922467755592352E-2</v>
      </c>
      <c r="P2429" s="20"/>
      <c r="Q2429" s="20"/>
      <c r="R2429" s="20"/>
      <c r="S2429" s="20">
        <v>0.17</v>
      </c>
      <c r="T2429" s="20">
        <v>0.83</v>
      </c>
    </row>
    <row r="2430" spans="13:20" x14ac:dyDescent="0.2">
      <c r="M2430" s="20">
        <v>9.73533600225851E-3</v>
      </c>
      <c r="N2430" s="20">
        <v>1.0953468757847191E-3</v>
      </c>
      <c r="O2430" s="20">
        <v>0.11251248806724376</v>
      </c>
      <c r="P2430" s="20"/>
      <c r="Q2430" s="20"/>
      <c r="R2430" s="20">
        <v>0.35</v>
      </c>
      <c r="S2430" s="20">
        <v>0.3</v>
      </c>
      <c r="T2430" s="20">
        <v>0.3500000000000002</v>
      </c>
    </row>
    <row r="2431" spans="13:20" x14ac:dyDescent="0.2">
      <c r="M2431" s="20">
        <v>1.4749960029107695E-2</v>
      </c>
      <c r="N2431" s="20">
        <v>1.7133196270734065E-3</v>
      </c>
      <c r="O2431" s="20">
        <v>0.11615757762680896</v>
      </c>
      <c r="P2431" s="20">
        <v>0.16999999999999993</v>
      </c>
      <c r="Q2431" s="20"/>
      <c r="R2431" s="20"/>
      <c r="S2431" s="20"/>
      <c r="T2431" s="20">
        <v>0.83</v>
      </c>
    </row>
    <row r="2432" spans="13:20" x14ac:dyDescent="0.2">
      <c r="M2432" s="20">
        <v>1.1155032780301371E-2</v>
      </c>
      <c r="N2432" s="20">
        <v>6.2527518985282748E-4</v>
      </c>
      <c r="O2432" s="20">
        <v>5.605319161024775E-2</v>
      </c>
      <c r="P2432" s="20"/>
      <c r="Q2432" s="20"/>
      <c r="R2432" s="20"/>
      <c r="S2432" s="20">
        <v>0.9</v>
      </c>
      <c r="T2432" s="20">
        <v>9.9999999999999867E-2</v>
      </c>
    </row>
    <row r="2433" spans="13:20" x14ac:dyDescent="0.2">
      <c r="M2433" s="20">
        <v>1.396711256181948E-2</v>
      </c>
      <c r="N2433" s="20">
        <v>2.0936947603957439E-3</v>
      </c>
      <c r="O2433" s="20">
        <v>0.14990176037666303</v>
      </c>
      <c r="P2433" s="20">
        <v>0.62</v>
      </c>
      <c r="Q2433" s="20">
        <v>0.37999999999999989</v>
      </c>
      <c r="R2433" s="20"/>
      <c r="S2433" s="20"/>
      <c r="T2433" s="20"/>
    </row>
    <row r="2434" spans="13:20" x14ac:dyDescent="0.2">
      <c r="M2434" s="20">
        <v>1.1126261192309094E-2</v>
      </c>
      <c r="N2434" s="20">
        <v>1.0993252654935262E-3</v>
      </c>
      <c r="O2434" s="20">
        <v>9.8804553164132336E-2</v>
      </c>
      <c r="P2434" s="20"/>
      <c r="Q2434" s="20"/>
      <c r="R2434" s="20"/>
      <c r="S2434" s="20">
        <v>0.43</v>
      </c>
      <c r="T2434" s="20">
        <v>0.56999999999999995</v>
      </c>
    </row>
    <row r="2435" spans="13:20" x14ac:dyDescent="0.2">
      <c r="M2435" s="20">
        <v>1.1401739475669198E-2</v>
      </c>
      <c r="N2435" s="20">
        <v>5.9501667438639988E-4</v>
      </c>
      <c r="O2435" s="20">
        <v>5.2186482216695002E-2</v>
      </c>
      <c r="P2435" s="20"/>
      <c r="Q2435" s="20"/>
      <c r="R2435" s="20"/>
      <c r="S2435" s="20">
        <v>0.93</v>
      </c>
      <c r="T2435" s="20">
        <v>6.999999999999984E-2</v>
      </c>
    </row>
    <row r="2436" spans="13:20" x14ac:dyDescent="0.2">
      <c r="M2436" s="20">
        <v>1.6611768868410374E-2</v>
      </c>
      <c r="N2436" s="20">
        <v>1.2817392805423691E-3</v>
      </c>
      <c r="O2436" s="20">
        <v>7.715850676081687E-2</v>
      </c>
      <c r="P2436" s="20"/>
      <c r="Q2436" s="20">
        <v>0.81</v>
      </c>
      <c r="R2436" s="20">
        <v>0.09</v>
      </c>
      <c r="S2436" s="20">
        <v>0.01</v>
      </c>
      <c r="T2436" s="20">
        <v>8.9999999999999858E-2</v>
      </c>
    </row>
    <row r="2437" spans="13:20" x14ac:dyDescent="0.2">
      <c r="M2437" s="20">
        <v>1.3501322527238957E-2</v>
      </c>
      <c r="N2437" s="20">
        <v>2.402659818826577E-3</v>
      </c>
      <c r="O2437" s="20">
        <v>0.17795736780446536</v>
      </c>
      <c r="P2437" s="20">
        <v>0.82</v>
      </c>
      <c r="Q2437" s="20">
        <v>0</v>
      </c>
      <c r="R2437" s="20"/>
      <c r="S2437" s="20"/>
      <c r="T2437" s="20">
        <v>0.18</v>
      </c>
    </row>
    <row r="2438" spans="13:20" x14ac:dyDescent="0.2">
      <c r="M2438" s="20">
        <v>1.3102028074088135E-2</v>
      </c>
      <c r="N2438" s="20">
        <v>2.2860022479145019E-3</v>
      </c>
      <c r="O2438" s="20">
        <v>0.17447697676938473</v>
      </c>
      <c r="P2438" s="20">
        <v>0.71</v>
      </c>
      <c r="Q2438" s="20"/>
      <c r="R2438" s="20"/>
      <c r="S2438" s="20"/>
      <c r="T2438" s="20">
        <v>0.28999999999999998</v>
      </c>
    </row>
    <row r="2439" spans="13:20" x14ac:dyDescent="0.2">
      <c r="M2439" s="20">
        <v>1.0609343074313528E-2</v>
      </c>
      <c r="N2439" s="20">
        <v>1.2156413387287173E-3</v>
      </c>
      <c r="O2439" s="20">
        <v>0.11458214992330001</v>
      </c>
      <c r="P2439" s="20"/>
      <c r="Q2439" s="20"/>
      <c r="R2439" s="20">
        <v>0.77</v>
      </c>
      <c r="S2439" s="20">
        <v>0.02</v>
      </c>
      <c r="T2439" s="20">
        <v>0.20999999999999996</v>
      </c>
    </row>
    <row r="2440" spans="13:20" x14ac:dyDescent="0.2">
      <c r="M2440" s="20">
        <v>1.384281010373742E-2</v>
      </c>
      <c r="N2440" s="20">
        <v>1.8511876654240412E-3</v>
      </c>
      <c r="O2440" s="20">
        <v>0.13372918154271574</v>
      </c>
      <c r="P2440" s="20">
        <v>0.30000000000000016</v>
      </c>
      <c r="Q2440" s="20"/>
      <c r="R2440" s="20"/>
      <c r="S2440" s="20"/>
      <c r="T2440" s="20">
        <v>0.7</v>
      </c>
    </row>
    <row r="2441" spans="13:20" x14ac:dyDescent="0.2">
      <c r="M2441" s="20">
        <v>1.1671651481763246E-2</v>
      </c>
      <c r="N2441" s="20">
        <v>5.6475815891997251E-4</v>
      </c>
      <c r="O2441" s="20">
        <v>4.8387167814460307E-2</v>
      </c>
      <c r="P2441" s="20"/>
      <c r="Q2441" s="20"/>
      <c r="R2441" s="20"/>
      <c r="S2441" s="20">
        <v>0.96</v>
      </c>
      <c r="T2441" s="20">
        <v>4.0000000000000036E-2</v>
      </c>
    </row>
    <row r="2442" spans="13:20" x14ac:dyDescent="0.2">
      <c r="M2442" s="20">
        <v>1.6207445807770234E-2</v>
      </c>
      <c r="N2442" s="20">
        <v>1.6201438774061877E-3</v>
      </c>
      <c r="O2442" s="20">
        <v>9.9962936580016357E-2</v>
      </c>
      <c r="P2442" s="20">
        <v>0.26</v>
      </c>
      <c r="Q2442" s="20">
        <v>0.74</v>
      </c>
      <c r="R2442" s="20"/>
      <c r="S2442" s="20"/>
      <c r="T2442" s="20"/>
    </row>
    <row r="2443" spans="13:20" x14ac:dyDescent="0.2">
      <c r="M2443" s="20">
        <v>1.7357097322569404E-2</v>
      </c>
      <c r="N2443" s="20">
        <v>1.2610918648413593E-3</v>
      </c>
      <c r="O2443" s="20">
        <v>7.2655688990207121E-2</v>
      </c>
      <c r="P2443" s="20"/>
      <c r="Q2443" s="20">
        <v>0.87</v>
      </c>
      <c r="R2443" s="20">
        <v>0.13</v>
      </c>
      <c r="S2443" s="20"/>
      <c r="T2443" s="20"/>
    </row>
    <row r="2444" spans="13:20" x14ac:dyDescent="0.2">
      <c r="M2444" s="20">
        <v>1.3882356534975663E-2</v>
      </c>
      <c r="N2444" s="20">
        <v>2.1463115251723615E-3</v>
      </c>
      <c r="O2444" s="20">
        <v>0.15460714611131574</v>
      </c>
      <c r="P2444" s="20">
        <v>0.66</v>
      </c>
      <c r="Q2444" s="20">
        <v>0.34000000000000008</v>
      </c>
      <c r="R2444" s="20"/>
      <c r="S2444" s="20"/>
      <c r="T2444" s="20"/>
    </row>
    <row r="2445" spans="13:20" x14ac:dyDescent="0.2">
      <c r="M2445" s="20">
        <v>9.6730729121530835E-3</v>
      </c>
      <c r="N2445" s="20">
        <v>9.4156961892705919E-4</v>
      </c>
      <c r="O2445" s="20">
        <v>9.7339245499130603E-2</v>
      </c>
      <c r="P2445" s="20"/>
      <c r="Q2445" s="20"/>
      <c r="R2445" s="20">
        <v>0.67</v>
      </c>
      <c r="S2445" s="20">
        <v>0.32999999999999996</v>
      </c>
      <c r="T2445" s="20"/>
    </row>
    <row r="2446" spans="13:20" x14ac:dyDescent="0.2">
      <c r="M2446" s="20">
        <v>1.4076638263943286E-2</v>
      </c>
      <c r="N2446" s="20">
        <v>2.4357037314437571E-3</v>
      </c>
      <c r="O2446" s="20">
        <v>0.17303163481033032</v>
      </c>
      <c r="P2446" s="20">
        <v>0.88</v>
      </c>
      <c r="Q2446" s="20">
        <v>0.12</v>
      </c>
      <c r="R2446" s="20"/>
      <c r="S2446" s="20"/>
      <c r="T2446" s="20"/>
    </row>
    <row r="2447" spans="13:20" x14ac:dyDescent="0.2">
      <c r="M2447" s="20">
        <v>1.0258850148799391E-2</v>
      </c>
      <c r="N2447" s="20">
        <v>9.2786034451710307E-4</v>
      </c>
      <c r="O2447" s="20">
        <v>9.0444867705343379E-2</v>
      </c>
      <c r="P2447" s="20"/>
      <c r="Q2447" s="20"/>
      <c r="R2447" s="20"/>
      <c r="S2447" s="20">
        <v>0.6</v>
      </c>
      <c r="T2447" s="20">
        <v>0.39999999999999991</v>
      </c>
    </row>
    <row r="2448" spans="13:20" x14ac:dyDescent="0.2">
      <c r="M2448" s="20">
        <v>1.0444953040813672E-2</v>
      </c>
      <c r="N2448" s="20">
        <v>1.0723200531540559E-3</v>
      </c>
      <c r="O2448" s="20">
        <v>0.1026639419980122</v>
      </c>
      <c r="P2448" s="20"/>
      <c r="Q2448" s="20"/>
      <c r="R2448" s="20">
        <v>0.88</v>
      </c>
      <c r="S2448" s="20">
        <v>0.11999999999999988</v>
      </c>
      <c r="T2448" s="20"/>
    </row>
    <row r="2449" spans="13:20" x14ac:dyDescent="0.2">
      <c r="M2449" s="20">
        <v>1.0912978398749273E-2</v>
      </c>
      <c r="N2449" s="20">
        <v>6.2403285009006665E-4</v>
      </c>
      <c r="O2449" s="20">
        <v>5.7182634042562255E-2</v>
      </c>
      <c r="P2449" s="20"/>
      <c r="Q2449" s="20"/>
      <c r="R2449" s="20">
        <v>0.16</v>
      </c>
      <c r="S2449" s="20">
        <v>0.84</v>
      </c>
      <c r="T2449" s="20"/>
    </row>
    <row r="2450" spans="13:20" x14ac:dyDescent="0.2">
      <c r="M2450" s="20">
        <v>1.0622417067170096E-2</v>
      </c>
      <c r="N2450" s="20">
        <v>7.0596456442996772E-4</v>
      </c>
      <c r="O2450" s="20">
        <v>6.6459880078691233E-2</v>
      </c>
      <c r="P2450" s="20"/>
      <c r="Q2450" s="20"/>
      <c r="R2450" s="20"/>
      <c r="S2450" s="20">
        <v>0.82</v>
      </c>
      <c r="T2450" s="20">
        <v>0.17999999999999994</v>
      </c>
    </row>
    <row r="2451" spans="13:20" x14ac:dyDescent="0.2">
      <c r="M2451" s="20">
        <v>9.3126479968672956E-3</v>
      </c>
      <c r="N2451" s="20">
        <v>1.0093038303558171E-3</v>
      </c>
      <c r="O2451" s="20">
        <v>0.10837989696328471</v>
      </c>
      <c r="P2451" s="20"/>
      <c r="Q2451" s="20"/>
      <c r="R2451" s="20">
        <v>0.39</v>
      </c>
      <c r="S2451" s="20">
        <v>0.37</v>
      </c>
      <c r="T2451" s="20">
        <v>0.24</v>
      </c>
    </row>
    <row r="2452" spans="13:20" x14ac:dyDescent="0.2">
      <c r="M2452" s="20">
        <v>1.0729928702979804E-2</v>
      </c>
      <c r="N2452" s="20">
        <v>1.4310061434624759E-3</v>
      </c>
      <c r="O2452" s="20">
        <v>0.13336585760025335</v>
      </c>
      <c r="P2452" s="20">
        <v>0.18</v>
      </c>
      <c r="Q2452" s="20">
        <v>0.18</v>
      </c>
      <c r="R2452" s="20">
        <v>0.64000000000000012</v>
      </c>
      <c r="S2452" s="20"/>
      <c r="T2452" s="20"/>
    </row>
    <row r="2453" spans="13:20" x14ac:dyDescent="0.2">
      <c r="M2453" s="20">
        <v>1.1556210822378815E-2</v>
      </c>
      <c r="N2453" s="20">
        <v>1.0153545457774517E-3</v>
      </c>
      <c r="O2453" s="20">
        <v>8.7862238010680702E-2</v>
      </c>
      <c r="P2453" s="20">
        <v>0.01</v>
      </c>
      <c r="Q2453" s="20">
        <v>0.31</v>
      </c>
      <c r="R2453" s="20">
        <v>0.38</v>
      </c>
      <c r="S2453" s="20">
        <v>0.30000000000000004</v>
      </c>
      <c r="T2453" s="20"/>
    </row>
    <row r="2454" spans="13:20" x14ac:dyDescent="0.2">
      <c r="M2454" s="20">
        <v>1.4293254517721555E-2</v>
      </c>
      <c r="N2454" s="20">
        <v>1.5094955636396159E-3</v>
      </c>
      <c r="O2454" s="20">
        <v>0.10560894733722548</v>
      </c>
      <c r="P2454" s="20">
        <v>0.11</v>
      </c>
      <c r="Q2454" s="20">
        <v>0.55000000000000004</v>
      </c>
      <c r="R2454" s="20"/>
      <c r="S2454" s="20"/>
      <c r="T2454" s="20">
        <v>0.34</v>
      </c>
    </row>
    <row r="2455" spans="13:20" x14ac:dyDescent="0.2">
      <c r="M2455" s="20">
        <v>1.4850768084664567E-2</v>
      </c>
      <c r="N2455" s="20">
        <v>1.2335607977757338E-3</v>
      </c>
      <c r="O2455" s="20">
        <v>8.3063770893409397E-2</v>
      </c>
      <c r="P2455" s="20"/>
      <c r="Q2455" s="20">
        <v>0.66</v>
      </c>
      <c r="R2455" s="20">
        <v>0.33999999999999997</v>
      </c>
      <c r="S2455" s="20"/>
      <c r="T2455" s="20"/>
    </row>
    <row r="2456" spans="13:20" x14ac:dyDescent="0.2">
      <c r="M2456" s="20">
        <v>1.5998727079513646E-2</v>
      </c>
      <c r="N2456" s="20">
        <v>1.246670829711746E-3</v>
      </c>
      <c r="O2456" s="20">
        <v>7.7923126228467698E-2</v>
      </c>
      <c r="P2456" s="20"/>
      <c r="Q2456" s="20">
        <v>0.76</v>
      </c>
      <c r="R2456" s="20">
        <v>0.2400000000000001</v>
      </c>
      <c r="S2456" s="20"/>
      <c r="T2456" s="20"/>
    </row>
    <row r="2457" spans="13:20" x14ac:dyDescent="0.2">
      <c r="M2457" s="20">
        <v>1.3530030108669471E-2</v>
      </c>
      <c r="N2457" s="20">
        <v>1.7883750707479247E-3</v>
      </c>
      <c r="O2457" s="20">
        <v>0.13217820332875752</v>
      </c>
      <c r="P2457" s="20">
        <v>0.26</v>
      </c>
      <c r="Q2457" s="20">
        <v>8.0000000000000071E-2</v>
      </c>
      <c r="R2457" s="20"/>
      <c r="S2457" s="20"/>
      <c r="T2457" s="20">
        <v>0.66</v>
      </c>
    </row>
    <row r="2458" spans="13:20" x14ac:dyDescent="0.2">
      <c r="M2458" s="20">
        <v>1.4629353581355038E-2</v>
      </c>
      <c r="N2458" s="20">
        <v>1.6587145944367623E-3</v>
      </c>
      <c r="O2458" s="20">
        <v>0.11338263069605325</v>
      </c>
      <c r="P2458" s="20">
        <v>0.27</v>
      </c>
      <c r="Q2458" s="20">
        <v>0.6</v>
      </c>
      <c r="R2458" s="20">
        <v>0.02</v>
      </c>
      <c r="S2458" s="20">
        <v>0</v>
      </c>
      <c r="T2458" s="20">
        <v>0.10999999999999988</v>
      </c>
    </row>
    <row r="2459" spans="13:20" x14ac:dyDescent="0.2">
      <c r="M2459" s="20">
        <v>9.968657470737663E-3</v>
      </c>
      <c r="N2459" s="20">
        <v>1.4659226755222329E-3</v>
      </c>
      <c r="O2459" s="20">
        <v>0.14705316937866028</v>
      </c>
      <c r="P2459" s="20">
        <v>0.2400000000000001</v>
      </c>
      <c r="Q2459" s="20"/>
      <c r="R2459" s="20">
        <v>0.18</v>
      </c>
      <c r="S2459" s="20">
        <v>0.25</v>
      </c>
      <c r="T2459" s="20">
        <v>0.33</v>
      </c>
    </row>
    <row r="2460" spans="13:20" x14ac:dyDescent="0.2">
      <c r="M2460" s="20">
        <v>9.2989298434311488E-3</v>
      </c>
      <c r="N2460" s="20">
        <v>9.7194656343381806E-4</v>
      </c>
      <c r="O2460" s="20">
        <v>0.104522410621305</v>
      </c>
      <c r="P2460" s="20"/>
      <c r="Q2460" s="20"/>
      <c r="R2460" s="20">
        <v>0.33</v>
      </c>
      <c r="S2460" s="20">
        <v>0.43</v>
      </c>
      <c r="T2460" s="20">
        <v>0.24</v>
      </c>
    </row>
    <row r="2461" spans="13:20" x14ac:dyDescent="0.2">
      <c r="M2461" s="20">
        <v>1.3822732602834389E-2</v>
      </c>
      <c r="N2461" s="20">
        <v>2.2383908635314419E-3</v>
      </c>
      <c r="O2461" s="20">
        <v>0.16193548177821612</v>
      </c>
      <c r="P2461" s="20">
        <v>0.73</v>
      </c>
      <c r="Q2461" s="20">
        <v>0.27000000000000013</v>
      </c>
      <c r="R2461" s="20"/>
      <c r="S2461" s="20"/>
      <c r="T2461" s="20"/>
    </row>
    <row r="2462" spans="13:20" x14ac:dyDescent="0.2">
      <c r="M2462" s="20">
        <v>1.3662889720974567E-2</v>
      </c>
      <c r="N2462" s="20">
        <v>2.381366559653758E-3</v>
      </c>
      <c r="O2462" s="20">
        <v>0.17429450198942953</v>
      </c>
      <c r="P2462" s="20">
        <v>0.83</v>
      </c>
      <c r="Q2462" s="20">
        <v>0.11</v>
      </c>
      <c r="R2462" s="20">
        <v>1.0000000000000009E-2</v>
      </c>
      <c r="S2462" s="20"/>
      <c r="T2462" s="20">
        <v>0.05</v>
      </c>
    </row>
    <row r="2463" spans="13:20" x14ac:dyDescent="0.2">
      <c r="M2463" s="20">
        <v>1.3822732602834386E-2</v>
      </c>
      <c r="N2463" s="20">
        <v>2.2383908635314415E-3</v>
      </c>
      <c r="O2463" s="20">
        <v>0.16193548177821612</v>
      </c>
      <c r="P2463" s="20">
        <v>0.73</v>
      </c>
      <c r="Q2463" s="20">
        <v>0.26999999999999991</v>
      </c>
      <c r="R2463" s="20"/>
      <c r="S2463" s="20"/>
      <c r="T2463" s="20"/>
    </row>
    <row r="2464" spans="13:20" x14ac:dyDescent="0.2">
      <c r="M2464" s="20">
        <v>1.3388915534961418E-2</v>
      </c>
      <c r="N2464" s="20">
        <v>9.8862621430620282E-4</v>
      </c>
      <c r="O2464" s="20">
        <v>7.3839155361364497E-2</v>
      </c>
      <c r="P2464" s="20">
        <v>0.04</v>
      </c>
      <c r="Q2464" s="20">
        <v>0.44000000000000006</v>
      </c>
      <c r="R2464" s="20">
        <v>0.08</v>
      </c>
      <c r="S2464" s="20">
        <v>0.44</v>
      </c>
      <c r="T2464" s="20">
        <v>0</v>
      </c>
    </row>
    <row r="2465" spans="13:20" x14ac:dyDescent="0.2">
      <c r="M2465" s="20">
        <v>1.2285065207425365E-2</v>
      </c>
      <c r="N2465" s="20">
        <v>9.3001246679414395E-4</v>
      </c>
      <c r="O2465" s="20">
        <v>7.5702688678609867E-2</v>
      </c>
      <c r="P2465" s="20">
        <v>0.05</v>
      </c>
      <c r="Q2465" s="20">
        <v>0.31</v>
      </c>
      <c r="R2465" s="20">
        <v>0.11</v>
      </c>
      <c r="S2465" s="20">
        <v>0.53</v>
      </c>
      <c r="T2465" s="20"/>
    </row>
    <row r="2466" spans="13:20" x14ac:dyDescent="0.2">
      <c r="M2466" s="20">
        <v>1.5344006605141125E-2</v>
      </c>
      <c r="N2466" s="20">
        <v>1.6390829910384501E-3</v>
      </c>
      <c r="O2466" s="20">
        <v>0.10682235958431242</v>
      </c>
      <c r="P2466" s="20">
        <v>9.9999999999999978E-2</v>
      </c>
      <c r="Q2466" s="20"/>
      <c r="R2466" s="20"/>
      <c r="S2466" s="20"/>
      <c r="T2466" s="20">
        <v>0.9</v>
      </c>
    </row>
    <row r="2467" spans="13:20" x14ac:dyDescent="0.2">
      <c r="M2467" s="20">
        <v>1.0081385286938228E-2</v>
      </c>
      <c r="N2467" s="20">
        <v>9.0619429068953259E-4</v>
      </c>
      <c r="O2467" s="20">
        <v>8.9887874026958123E-2</v>
      </c>
      <c r="P2467" s="20"/>
      <c r="Q2467" s="20"/>
      <c r="R2467" s="20">
        <v>0.03</v>
      </c>
      <c r="S2467" s="20">
        <v>0.61</v>
      </c>
      <c r="T2467" s="20">
        <v>0.35999999999999988</v>
      </c>
    </row>
    <row r="2468" spans="13:20" x14ac:dyDescent="0.2">
      <c r="M2468" s="20">
        <v>9.4643963122513809E-3</v>
      </c>
      <c r="N2468" s="20">
        <v>8.3074015792382295E-4</v>
      </c>
      <c r="O2468" s="20">
        <v>8.7775292846565864E-2</v>
      </c>
      <c r="P2468" s="20"/>
      <c r="Q2468" s="20"/>
      <c r="R2468" s="20">
        <v>0.33</v>
      </c>
      <c r="S2468" s="20">
        <v>0.56999999999999995</v>
      </c>
      <c r="T2468" s="20">
        <v>0.1000000000000002</v>
      </c>
    </row>
    <row r="2469" spans="13:20" x14ac:dyDescent="0.2">
      <c r="M2469" s="20">
        <v>1.4367156485985239E-2</v>
      </c>
      <c r="N2469" s="20">
        <v>2.5277830698028371E-3</v>
      </c>
      <c r="O2469" s="20">
        <v>0.17594177889470466</v>
      </c>
      <c r="P2469" s="20">
        <v>0.95</v>
      </c>
      <c r="Q2469" s="20">
        <v>4.9999999999999933E-2</v>
      </c>
      <c r="R2469" s="20"/>
      <c r="S2469" s="20"/>
      <c r="T2469" s="20"/>
    </row>
    <row r="2470" spans="13:20" x14ac:dyDescent="0.2">
      <c r="M2470" s="20">
        <v>1.0937632444288031E-2</v>
      </c>
      <c r="N2470" s="20">
        <v>1.3672121076711925E-3</v>
      </c>
      <c r="O2470" s="20">
        <v>0.12500073618630264</v>
      </c>
      <c r="P2470" s="20">
        <v>0.16</v>
      </c>
      <c r="Q2470" s="20">
        <v>4.9999999999999933E-2</v>
      </c>
      <c r="R2470" s="20"/>
      <c r="S2470" s="20">
        <v>0.32</v>
      </c>
      <c r="T2470" s="20">
        <v>0.47</v>
      </c>
    </row>
    <row r="2471" spans="13:20" x14ac:dyDescent="0.2">
      <c r="M2471" s="20">
        <v>1.8132536690980538E-2</v>
      </c>
      <c r="N2471" s="20">
        <v>1.2689578840029666E-3</v>
      </c>
      <c r="O2471" s="20">
        <v>6.998236957293294E-2</v>
      </c>
      <c r="P2471" s="20"/>
      <c r="Q2471" s="20">
        <v>0.93</v>
      </c>
      <c r="R2471" s="20">
        <v>6.9999999999999951E-2</v>
      </c>
      <c r="S2471" s="20"/>
      <c r="T2471" s="20"/>
    </row>
    <row r="2472" spans="13:20" x14ac:dyDescent="0.2">
      <c r="M2472" s="20">
        <v>1.8528130402520309E-2</v>
      </c>
      <c r="N2472" s="20">
        <v>1.2728908935837702E-3</v>
      </c>
      <c r="O2472" s="20">
        <v>6.8700449852761386E-2</v>
      </c>
      <c r="P2472" s="20"/>
      <c r="Q2472" s="20">
        <v>0.96</v>
      </c>
      <c r="R2472" s="20">
        <v>4.0000000000000147E-2</v>
      </c>
      <c r="S2472" s="20"/>
      <c r="T2472" s="20"/>
    </row>
    <row r="2473" spans="13:20" x14ac:dyDescent="0.2">
      <c r="M2473" s="20">
        <v>1.393487870060163E-2</v>
      </c>
      <c r="N2473" s="20">
        <v>2.3699327754729852E-3</v>
      </c>
      <c r="O2473" s="20">
        <v>0.17007200610728421</v>
      </c>
      <c r="P2473" s="20">
        <v>0.83</v>
      </c>
      <c r="Q2473" s="20">
        <v>0.17000000000000004</v>
      </c>
      <c r="R2473" s="20"/>
      <c r="S2473" s="20"/>
      <c r="T2473" s="20"/>
    </row>
    <row r="2474" spans="13:20" x14ac:dyDescent="0.2">
      <c r="M2474" s="20">
        <v>1.2542076480767978E-2</v>
      </c>
      <c r="N2474" s="20">
        <v>2.0201019445215073E-3</v>
      </c>
      <c r="O2474" s="20">
        <v>0.16106598836477612</v>
      </c>
      <c r="P2474" s="20">
        <v>0.57999999999999996</v>
      </c>
      <c r="Q2474" s="20">
        <v>0.26</v>
      </c>
      <c r="R2474" s="20">
        <v>0.16000000000000014</v>
      </c>
      <c r="S2474" s="20"/>
      <c r="T2474" s="20"/>
    </row>
    <row r="2475" spans="13:20" x14ac:dyDescent="0.2">
      <c r="M2475" s="20">
        <v>1.2580023617299657E-2</v>
      </c>
      <c r="N2475" s="20">
        <v>1.9746539848950447E-3</v>
      </c>
      <c r="O2475" s="20">
        <v>0.1569674306636088</v>
      </c>
      <c r="P2475" s="20">
        <v>0.44999999999999984</v>
      </c>
      <c r="Q2475" s="20"/>
      <c r="R2475" s="20">
        <v>0.04</v>
      </c>
      <c r="S2475" s="20">
        <v>0.02</v>
      </c>
      <c r="T2475" s="20">
        <v>0.49</v>
      </c>
    </row>
    <row r="2476" spans="13:20" x14ac:dyDescent="0.2">
      <c r="M2476" s="20">
        <v>1.4008711437082941E-2</v>
      </c>
      <c r="N2476" s="20">
        <v>1.5222403510139898E-3</v>
      </c>
      <c r="O2476" s="20">
        <v>0.10866383805896773</v>
      </c>
      <c r="P2476" s="20">
        <v>0.11</v>
      </c>
      <c r="Q2476" s="20">
        <v>0.5</v>
      </c>
      <c r="R2476" s="20"/>
      <c r="S2476" s="20"/>
      <c r="T2476" s="20">
        <v>0.39</v>
      </c>
    </row>
    <row r="2477" spans="13:20" x14ac:dyDescent="0.2">
      <c r="M2477" s="20">
        <v>1.3261565933931428E-2</v>
      </c>
      <c r="N2477" s="20">
        <v>1.6887176928604879E-3</v>
      </c>
      <c r="O2477" s="20">
        <v>0.12733923740783021</v>
      </c>
      <c r="P2477" s="20">
        <v>0.35</v>
      </c>
      <c r="Q2477" s="20">
        <v>0.46</v>
      </c>
      <c r="R2477" s="20">
        <v>0.15</v>
      </c>
      <c r="S2477" s="20">
        <v>3.9999999999999925E-2</v>
      </c>
      <c r="T2477" s="20"/>
    </row>
    <row r="2478" spans="13:20" x14ac:dyDescent="0.2">
      <c r="M2478" s="20">
        <v>1.2977494831131907E-2</v>
      </c>
      <c r="N2478" s="20">
        <v>1.208651737097311E-3</v>
      </c>
      <c r="O2478" s="20">
        <v>9.31344418028862E-2</v>
      </c>
      <c r="P2478" s="20"/>
      <c r="Q2478" s="20">
        <v>0.47</v>
      </c>
      <c r="R2478" s="20">
        <v>0.53000000000000014</v>
      </c>
      <c r="S2478" s="20"/>
      <c r="T2478" s="20"/>
    </row>
    <row r="2479" spans="13:20" x14ac:dyDescent="0.2">
      <c r="M2479" s="20">
        <v>1.8395715759419593E-2</v>
      </c>
      <c r="N2479" s="20">
        <v>1.2715798903901688E-3</v>
      </c>
      <c r="O2479" s="20">
        <v>6.9123697442381477E-2</v>
      </c>
      <c r="P2479" s="20"/>
      <c r="Q2479" s="20">
        <v>0.95</v>
      </c>
      <c r="R2479" s="20">
        <v>4.9999999999999933E-2</v>
      </c>
      <c r="S2479" s="20"/>
      <c r="T2479" s="20"/>
    </row>
    <row r="2480" spans="13:20" x14ac:dyDescent="0.2">
      <c r="M2480" s="20">
        <v>1.3310222834203609E-2</v>
      </c>
      <c r="N2480" s="20">
        <v>9.493754067853397E-4</v>
      </c>
      <c r="O2480" s="20">
        <v>7.1326785329672043E-2</v>
      </c>
      <c r="P2480" s="20">
        <v>0</v>
      </c>
      <c r="Q2480" s="20">
        <v>0.43000000000000005</v>
      </c>
      <c r="R2480" s="20"/>
      <c r="S2480" s="20">
        <v>0.47</v>
      </c>
      <c r="T2480" s="20">
        <v>0.1</v>
      </c>
    </row>
    <row r="2481" spans="13:20" x14ac:dyDescent="0.2">
      <c r="M2481" s="20">
        <v>1.4331328245721685E-2</v>
      </c>
      <c r="N2481" s="20">
        <v>1.2021009371930617E-3</v>
      </c>
      <c r="O2481" s="20">
        <v>8.3879241099088189E-2</v>
      </c>
      <c r="P2481" s="20"/>
      <c r="Q2481" s="20">
        <v>0.61</v>
      </c>
      <c r="R2481" s="20">
        <v>0.35</v>
      </c>
      <c r="S2481" s="20">
        <v>4.0000000000000036E-2</v>
      </c>
      <c r="T2481" s="20"/>
    </row>
    <row r="2482" spans="13:20" x14ac:dyDescent="0.2">
      <c r="M2482" s="20">
        <v>1.1078226110210934E-2</v>
      </c>
      <c r="N2482" s="20">
        <v>6.3536136167497022E-4</v>
      </c>
      <c r="O2482" s="20">
        <v>5.7352265187054642E-2</v>
      </c>
      <c r="P2482" s="20"/>
      <c r="Q2482" s="20"/>
      <c r="R2482" s="20"/>
      <c r="S2482" s="20">
        <v>0.89</v>
      </c>
      <c r="T2482" s="20">
        <v>0.1100000000000001</v>
      </c>
    </row>
    <row r="2483" spans="13:20" x14ac:dyDescent="0.2">
      <c r="M2483" s="20">
        <v>1.0946377624686272E-2</v>
      </c>
      <c r="N2483" s="20">
        <v>1.146654491261093E-3</v>
      </c>
      <c r="O2483" s="20">
        <v>0.10475195818890422</v>
      </c>
      <c r="P2483" s="20"/>
      <c r="Q2483" s="20">
        <v>0.19</v>
      </c>
      <c r="R2483" s="20">
        <v>0.17</v>
      </c>
      <c r="S2483" s="20">
        <v>0.27</v>
      </c>
      <c r="T2483" s="20">
        <v>0.36999999999999988</v>
      </c>
    </row>
    <row r="2484" spans="13:20" x14ac:dyDescent="0.2">
      <c r="M2484" s="20">
        <v>1.0081838169449964E-2</v>
      </c>
      <c r="N2484" s="20">
        <v>1.1342008480838988E-3</v>
      </c>
      <c r="O2484" s="20">
        <v>0.11249941022865849</v>
      </c>
      <c r="P2484" s="20">
        <v>1.0000000000000009E-2</v>
      </c>
      <c r="Q2484" s="20">
        <v>0.11</v>
      </c>
      <c r="R2484" s="20">
        <v>0.56999999999999995</v>
      </c>
      <c r="S2484" s="20">
        <v>0.16</v>
      </c>
      <c r="T2484" s="20">
        <v>0.15</v>
      </c>
    </row>
    <row r="2485" spans="13:20" x14ac:dyDescent="0.2">
      <c r="M2485" s="20">
        <v>1.2006696559515199E-2</v>
      </c>
      <c r="N2485" s="20">
        <v>8.2753763746629518E-4</v>
      </c>
      <c r="O2485" s="20">
        <v>6.8923007537029748E-2</v>
      </c>
      <c r="P2485" s="20"/>
      <c r="Q2485" s="20">
        <v>0.27</v>
      </c>
      <c r="R2485" s="20">
        <v>0.16</v>
      </c>
      <c r="S2485" s="20">
        <v>0.56999999999999995</v>
      </c>
      <c r="T2485" s="20"/>
    </row>
    <row r="2486" spans="13:20" x14ac:dyDescent="0.2">
      <c r="M2486" s="20">
        <v>1.3076966787683192E-2</v>
      </c>
      <c r="N2486" s="20">
        <v>1.3843333859992017E-3</v>
      </c>
      <c r="O2486" s="20">
        <v>0.1058604344933463</v>
      </c>
      <c r="P2486" s="20">
        <v>4.9999999999999933E-2</v>
      </c>
      <c r="Q2486" s="20"/>
      <c r="R2486" s="20"/>
      <c r="S2486" s="20">
        <v>0.2</v>
      </c>
      <c r="T2486" s="20">
        <v>0.75</v>
      </c>
    </row>
    <row r="2487" spans="13:20" x14ac:dyDescent="0.2">
      <c r="M2487" s="20">
        <v>9.4025070697224804E-3</v>
      </c>
      <c r="N2487" s="20">
        <v>1.3035058025736778E-3</v>
      </c>
      <c r="O2487" s="20">
        <v>0.13863385508862491</v>
      </c>
      <c r="P2487" s="20">
        <v>0.21999999999999997</v>
      </c>
      <c r="Q2487" s="20"/>
      <c r="R2487" s="20">
        <v>0.18</v>
      </c>
      <c r="S2487" s="20">
        <v>0.39</v>
      </c>
      <c r="T2487" s="20">
        <v>0.21</v>
      </c>
    </row>
    <row r="2488" spans="13:20" x14ac:dyDescent="0.2">
      <c r="M2488" s="20">
        <v>1.5072756399316824E-2</v>
      </c>
      <c r="N2488" s="20">
        <v>1.2361828041629363E-3</v>
      </c>
      <c r="O2488" s="20">
        <v>8.2014382201451005E-2</v>
      </c>
      <c r="P2488" s="20"/>
      <c r="Q2488" s="20">
        <v>0.68</v>
      </c>
      <c r="R2488" s="20">
        <v>0.31999999999999995</v>
      </c>
      <c r="S2488" s="20"/>
      <c r="T2488" s="20"/>
    </row>
    <row r="2489" spans="13:20" x14ac:dyDescent="0.2">
      <c r="M2489" s="20">
        <v>1.5303357528099196E-2</v>
      </c>
      <c r="N2489" s="20">
        <v>1.4689369175606261E-3</v>
      </c>
      <c r="O2489" s="20">
        <v>9.5987884675859114E-2</v>
      </c>
      <c r="P2489" s="20">
        <v>0.16</v>
      </c>
      <c r="Q2489" s="20">
        <v>0.69</v>
      </c>
      <c r="R2489" s="20">
        <v>0.15000000000000002</v>
      </c>
      <c r="S2489" s="20"/>
      <c r="T2489" s="20"/>
    </row>
    <row r="2490" spans="13:20" x14ac:dyDescent="0.2">
      <c r="M2490" s="20">
        <v>1.1377346603453225E-2</v>
      </c>
      <c r="N2490" s="20">
        <v>1.9825525666233527E-3</v>
      </c>
      <c r="O2490" s="20">
        <v>0.17425438775167607</v>
      </c>
      <c r="P2490" s="20">
        <v>0.61</v>
      </c>
      <c r="Q2490" s="20">
        <v>7.0000000000000007E-2</v>
      </c>
      <c r="R2490" s="20">
        <v>0.22999999999999998</v>
      </c>
      <c r="S2490" s="20">
        <v>0.09</v>
      </c>
      <c r="T2490" s="20">
        <v>0</v>
      </c>
    </row>
    <row r="2491" spans="13:20" x14ac:dyDescent="0.2">
      <c r="M2491" s="20">
        <v>9.6375102621556533E-3</v>
      </c>
      <c r="N2491" s="20">
        <v>9.2911719661972606E-4</v>
      </c>
      <c r="O2491" s="20">
        <v>9.6406350950220154E-2</v>
      </c>
      <c r="P2491" s="20"/>
      <c r="Q2491" s="20"/>
      <c r="R2491" s="20">
        <v>0.65</v>
      </c>
      <c r="S2491" s="20">
        <v>0.35</v>
      </c>
      <c r="T2491" s="20"/>
    </row>
    <row r="2492" spans="13:20" x14ac:dyDescent="0.2">
      <c r="M2492" s="20">
        <v>1.1490811259078616E-2</v>
      </c>
      <c r="N2492" s="20">
        <v>1.4929810326776824E-3</v>
      </c>
      <c r="O2492" s="20">
        <v>0.12992825302026553</v>
      </c>
      <c r="P2492" s="20">
        <v>0.19999999999999996</v>
      </c>
      <c r="Q2492" s="20"/>
      <c r="R2492" s="20"/>
      <c r="S2492" s="20">
        <v>0.25</v>
      </c>
      <c r="T2492" s="20">
        <v>0.55000000000000004</v>
      </c>
    </row>
    <row r="2493" spans="13:20" x14ac:dyDescent="0.2">
      <c r="M2493" s="20">
        <v>1.4276901268105184E-2</v>
      </c>
      <c r="N2493" s="20">
        <v>1.5325287154696813E-3</v>
      </c>
      <c r="O2493" s="20">
        <v>0.10734323132803153</v>
      </c>
      <c r="P2493" s="20">
        <v>0.05</v>
      </c>
      <c r="Q2493" s="20">
        <v>0.20999999999999996</v>
      </c>
      <c r="R2493" s="20"/>
      <c r="S2493" s="20"/>
      <c r="T2493" s="20">
        <v>0.74</v>
      </c>
    </row>
    <row r="2494" spans="13:20" x14ac:dyDescent="0.2">
      <c r="M2494" s="20">
        <v>9.492338848731581E-3</v>
      </c>
      <c r="N2494" s="20">
        <v>9.0109199025829585E-4</v>
      </c>
      <c r="O2494" s="20">
        <v>9.49283421734049E-2</v>
      </c>
      <c r="P2494" s="20"/>
      <c r="Q2494" s="20"/>
      <c r="R2494" s="20">
        <v>0.2</v>
      </c>
      <c r="S2494" s="20">
        <v>0.55000000000000004</v>
      </c>
      <c r="T2494" s="20">
        <v>0.25</v>
      </c>
    </row>
    <row r="2495" spans="13:20" x14ac:dyDescent="0.2">
      <c r="M2495" s="20">
        <v>1.4637253852239256E-2</v>
      </c>
      <c r="N2495" s="20">
        <v>2.593554025773609E-3</v>
      </c>
      <c r="O2495" s="20">
        <v>0.17718856637693953</v>
      </c>
      <c r="P2495" s="20">
        <v>1</v>
      </c>
      <c r="Q2495" s="20">
        <v>1.1102230246251565E-16</v>
      </c>
      <c r="R2495" s="20"/>
      <c r="S2495" s="20"/>
      <c r="T2495" s="20"/>
    </row>
    <row r="2496" spans="13:20" x14ac:dyDescent="0.2">
      <c r="M2496" s="20">
        <v>1.4702540258630888E-2</v>
      </c>
      <c r="N2496" s="20">
        <v>1.5154122862289262E-3</v>
      </c>
      <c r="O2496" s="20">
        <v>0.10307145973222744</v>
      </c>
      <c r="P2496" s="20">
        <v>0.13</v>
      </c>
      <c r="Q2496" s="20">
        <v>0.6100000000000001</v>
      </c>
      <c r="R2496" s="20"/>
      <c r="S2496" s="20"/>
      <c r="T2496" s="20">
        <v>0.26</v>
      </c>
    </row>
    <row r="2497" spans="13:20" x14ac:dyDescent="0.2">
      <c r="M2497" s="20">
        <v>1.8395715759419593E-2</v>
      </c>
      <c r="N2497" s="20">
        <v>1.2715798903901688E-3</v>
      </c>
      <c r="O2497" s="20">
        <v>6.9123697442381477E-2</v>
      </c>
      <c r="P2497" s="20"/>
      <c r="Q2497" s="20">
        <v>0.95</v>
      </c>
      <c r="R2497" s="20">
        <v>5.0000000000000044E-2</v>
      </c>
      <c r="S2497" s="20"/>
      <c r="T2497" s="20"/>
    </row>
    <row r="2498" spans="13:20" x14ac:dyDescent="0.2">
      <c r="M2498" s="20">
        <v>1.3186728509027308E-2</v>
      </c>
      <c r="N2498" s="20">
        <v>2.3178179490723409E-3</v>
      </c>
      <c r="O2498" s="20">
        <v>0.17576898982075956</v>
      </c>
      <c r="P2498" s="20">
        <v>0.74</v>
      </c>
      <c r="Q2498" s="20"/>
      <c r="R2498" s="20"/>
      <c r="S2498" s="20"/>
      <c r="T2498" s="20">
        <v>0.26</v>
      </c>
    </row>
    <row r="2499" spans="13:20" x14ac:dyDescent="0.2">
      <c r="M2499" s="20">
        <v>1.0520100903489368E-2</v>
      </c>
      <c r="N2499" s="20">
        <v>7.2613690807425257E-4</v>
      </c>
      <c r="O2499" s="20">
        <v>6.9023758872255994E-2</v>
      </c>
      <c r="P2499" s="20"/>
      <c r="Q2499" s="20"/>
      <c r="R2499" s="20"/>
      <c r="S2499" s="20">
        <v>0.8</v>
      </c>
      <c r="T2499" s="20">
        <v>0.19999999999999984</v>
      </c>
    </row>
    <row r="2500" spans="13:20" x14ac:dyDescent="0.2">
      <c r="M2500" s="20">
        <v>9.5662104058997343E-3</v>
      </c>
      <c r="N2500" s="20">
        <v>8.7930750739039398E-4</v>
      </c>
      <c r="O2500" s="20">
        <v>9.1918060556989395E-2</v>
      </c>
      <c r="P2500" s="20"/>
      <c r="Q2500" s="20"/>
      <c r="R2500" s="20">
        <v>0.56999999999999995</v>
      </c>
      <c r="S2500" s="20">
        <v>0.43000000000000005</v>
      </c>
      <c r="T2500" s="20"/>
    </row>
    <row r="2501" spans="13:20" x14ac:dyDescent="0.2">
      <c r="M2501" s="20">
        <v>1.1654316640715178E-2</v>
      </c>
      <c r="N2501" s="20">
        <v>1.8695788276003758E-3</v>
      </c>
      <c r="O2501" s="20">
        <v>0.16041942957589381</v>
      </c>
      <c r="P2501" s="20">
        <v>0.45999999999999996</v>
      </c>
      <c r="Q2501" s="20"/>
      <c r="R2501" s="20"/>
      <c r="S2501" s="20">
        <v>0.15</v>
      </c>
      <c r="T2501" s="20">
        <v>0.39</v>
      </c>
    </row>
    <row r="2502" spans="13:20" x14ac:dyDescent="0.2">
      <c r="M2502" s="20">
        <v>1.4830630810695749E-2</v>
      </c>
      <c r="N2502" s="20">
        <v>1.7027143933541276E-3</v>
      </c>
      <c r="O2502" s="20">
        <v>0.11481065202743378</v>
      </c>
      <c r="P2502" s="20">
        <v>0.16000000000000014</v>
      </c>
      <c r="Q2502" s="20"/>
      <c r="R2502" s="20"/>
      <c r="S2502" s="20"/>
      <c r="T2502" s="20">
        <v>0.84</v>
      </c>
    </row>
    <row r="2503" spans="13:20" x14ac:dyDescent="0.2">
      <c r="M2503" s="20">
        <v>1.27438321674989E-2</v>
      </c>
      <c r="N2503" s="20">
        <v>1.2849240444790847E-3</v>
      </c>
      <c r="O2503" s="20">
        <v>0.10082713171286714</v>
      </c>
      <c r="P2503" s="20">
        <v>0.05</v>
      </c>
      <c r="Q2503" s="20">
        <v>0.3899999999999999</v>
      </c>
      <c r="R2503" s="20"/>
      <c r="S2503" s="20">
        <v>0.2</v>
      </c>
      <c r="T2503" s="20">
        <v>0.36</v>
      </c>
    </row>
    <row r="2504" spans="13:20" x14ac:dyDescent="0.2">
      <c r="M2504" s="20">
        <v>1.3826620564832233E-2</v>
      </c>
      <c r="N2504" s="20">
        <v>2.2646992459197505E-3</v>
      </c>
      <c r="O2504" s="20">
        <v>0.16379268059759833</v>
      </c>
      <c r="P2504" s="20">
        <v>0.75</v>
      </c>
      <c r="Q2504" s="20">
        <v>0.25</v>
      </c>
      <c r="R2504" s="20"/>
      <c r="S2504" s="20"/>
      <c r="T2504" s="20"/>
    </row>
    <row r="2505" spans="13:20" x14ac:dyDescent="0.2">
      <c r="M2505" s="20">
        <v>1.3849894403893379E-2</v>
      </c>
      <c r="N2505" s="20">
        <v>2.3041618195022134E-3</v>
      </c>
      <c r="O2505" s="20">
        <v>0.16636674275686061</v>
      </c>
      <c r="P2505" s="20">
        <v>0.78</v>
      </c>
      <c r="Q2505" s="20">
        <v>0.21999999999999997</v>
      </c>
      <c r="R2505" s="20"/>
      <c r="S2505" s="20"/>
      <c r="T2505" s="20"/>
    </row>
    <row r="2506" spans="13:20" x14ac:dyDescent="0.2">
      <c r="M2506" s="20">
        <v>1.5525756402284051E-2</v>
      </c>
      <c r="N2506" s="20">
        <v>1.6178725235998909E-3</v>
      </c>
      <c r="O2506" s="20">
        <v>0.10420571350468179</v>
      </c>
      <c r="P2506" s="20">
        <v>7.999999999999996E-2</v>
      </c>
      <c r="Q2506" s="20"/>
      <c r="R2506" s="20"/>
      <c r="S2506" s="20"/>
      <c r="T2506" s="20">
        <v>0.92</v>
      </c>
    </row>
    <row r="2507" spans="13:20" x14ac:dyDescent="0.2">
      <c r="M2507" s="20">
        <v>1.2729269205409699E-2</v>
      </c>
      <c r="N2507" s="20">
        <v>1.9347087891627434E-3</v>
      </c>
      <c r="O2507" s="20">
        <v>0.15198899150789652</v>
      </c>
      <c r="P2507" s="20">
        <v>0.41</v>
      </c>
      <c r="Q2507" s="20">
        <v>0.13</v>
      </c>
      <c r="R2507" s="20"/>
      <c r="S2507" s="20"/>
      <c r="T2507" s="20">
        <v>0.46</v>
      </c>
    </row>
    <row r="2508" spans="13:20" x14ac:dyDescent="0.2">
      <c r="M2508" s="20">
        <v>1.0785346482839398E-2</v>
      </c>
      <c r="N2508" s="20">
        <v>1.109677320076055E-3</v>
      </c>
      <c r="O2508" s="20">
        <v>0.1028874985000868</v>
      </c>
      <c r="P2508" s="20"/>
      <c r="Q2508" s="20"/>
      <c r="R2508" s="20">
        <v>0.94</v>
      </c>
      <c r="S2508" s="20">
        <v>5.9999999999999942E-2</v>
      </c>
      <c r="T2508" s="20"/>
    </row>
    <row r="2509" spans="13:20" x14ac:dyDescent="0.2">
      <c r="M2509" s="20">
        <v>9.9894402387009865E-3</v>
      </c>
      <c r="N2509" s="20">
        <v>1.0465941630177266E-3</v>
      </c>
      <c r="O2509" s="20">
        <v>0.10477005097473054</v>
      </c>
      <c r="P2509" s="20">
        <v>0.15000000000000013</v>
      </c>
      <c r="Q2509" s="20"/>
      <c r="R2509" s="20"/>
      <c r="S2509" s="20">
        <v>0.64</v>
      </c>
      <c r="T2509" s="20">
        <v>0.21</v>
      </c>
    </row>
    <row r="2510" spans="13:20" x14ac:dyDescent="0.2">
      <c r="M2510" s="20">
        <v>1.5712515718385011E-2</v>
      </c>
      <c r="N2510" s="20">
        <v>1.5966620561613323E-3</v>
      </c>
      <c r="O2510" s="20">
        <v>0.1016172129771109</v>
      </c>
      <c r="P2510" s="20">
        <v>6.0000000000000164E-2</v>
      </c>
      <c r="Q2510" s="20"/>
      <c r="R2510" s="20"/>
      <c r="S2510" s="20"/>
      <c r="T2510" s="20">
        <v>0.94</v>
      </c>
    </row>
    <row r="2511" spans="13:20" x14ac:dyDescent="0.2">
      <c r="M2511" s="20">
        <v>1.1243555625401903E-2</v>
      </c>
      <c r="N2511" s="20">
        <v>5.9290179432173399E-4</v>
      </c>
      <c r="O2511" s="20">
        <v>5.2732588700164021E-2</v>
      </c>
      <c r="P2511" s="20"/>
      <c r="Q2511" s="20"/>
      <c r="R2511" s="20">
        <v>0.11</v>
      </c>
      <c r="S2511" s="20">
        <v>0.8899999999999999</v>
      </c>
      <c r="T2511" s="20"/>
    </row>
    <row r="2512" spans="13:20" x14ac:dyDescent="0.2">
      <c r="M2512" s="20">
        <v>1.0602495561197555E-2</v>
      </c>
      <c r="N2512" s="20">
        <v>1.018635890916386E-3</v>
      </c>
      <c r="O2512" s="20">
        <v>9.6075106566828952E-2</v>
      </c>
      <c r="P2512" s="20"/>
      <c r="Q2512" s="20"/>
      <c r="R2512" s="20"/>
      <c r="S2512" s="20">
        <v>0.51</v>
      </c>
      <c r="T2512" s="20">
        <v>0.49</v>
      </c>
    </row>
    <row r="2513" spans="13:20" x14ac:dyDescent="0.2">
      <c r="M2513" s="20">
        <v>1.4368030558458979E-2</v>
      </c>
      <c r="N2513" s="20">
        <v>1.6216496925341071E-3</v>
      </c>
      <c r="O2513" s="20">
        <v>0.11286513387733459</v>
      </c>
      <c r="P2513" s="20">
        <v>0.11</v>
      </c>
      <c r="Q2513" s="20">
        <v>0.1100000000000001</v>
      </c>
      <c r="R2513" s="20"/>
      <c r="S2513" s="20"/>
      <c r="T2513" s="20">
        <v>0.78</v>
      </c>
    </row>
    <row r="2514" spans="13:20" x14ac:dyDescent="0.2">
      <c r="M2514" s="20">
        <v>1.0377555350026029E-2</v>
      </c>
      <c r="N2514" s="20">
        <v>9.6820503180567309E-4</v>
      </c>
      <c r="O2514" s="20">
        <v>9.3297987738821808E-2</v>
      </c>
      <c r="P2514" s="20"/>
      <c r="Q2514" s="20"/>
      <c r="R2514" s="20"/>
      <c r="S2514" s="20">
        <v>0.56000000000000005</v>
      </c>
      <c r="T2514" s="20">
        <v>0.43999999999999984</v>
      </c>
    </row>
    <row r="2515" spans="13:20" x14ac:dyDescent="0.2">
      <c r="M2515" s="20">
        <v>1.6852964635850839E-2</v>
      </c>
      <c r="N2515" s="20">
        <v>1.2558478520669546E-3</v>
      </c>
      <c r="O2515" s="20">
        <v>7.4517918906411559E-2</v>
      </c>
      <c r="P2515" s="20"/>
      <c r="Q2515" s="20">
        <v>0.83</v>
      </c>
      <c r="R2515" s="20">
        <v>0.17000000000000015</v>
      </c>
      <c r="S2515" s="20"/>
      <c r="T2515" s="20"/>
    </row>
    <row r="2516" spans="13:20" x14ac:dyDescent="0.2">
      <c r="M2516" s="20">
        <v>1.0597061084906611E-2</v>
      </c>
      <c r="N2516" s="20">
        <v>6.8666476108758751E-4</v>
      </c>
      <c r="O2516" s="20">
        <v>6.479765999137288E-2</v>
      </c>
      <c r="P2516" s="20"/>
      <c r="Q2516" s="20"/>
      <c r="R2516" s="20">
        <v>0.05</v>
      </c>
      <c r="S2516" s="20">
        <v>0.82</v>
      </c>
      <c r="T2516" s="20">
        <v>0.12999999999999989</v>
      </c>
    </row>
    <row r="2517" spans="13:20" x14ac:dyDescent="0.2">
      <c r="M2517" s="20">
        <v>1.329821212832802E-2</v>
      </c>
      <c r="N2517" s="20">
        <v>2.0174357788761629E-3</v>
      </c>
      <c r="O2517" s="20">
        <v>0.15170729413908171</v>
      </c>
      <c r="P2517" s="20">
        <v>0.56999999999999995</v>
      </c>
      <c r="Q2517" s="20">
        <v>0.35</v>
      </c>
      <c r="R2517" s="20">
        <v>8.0000000000000182E-2</v>
      </c>
      <c r="S2517" s="20"/>
      <c r="T2517" s="20"/>
    </row>
    <row r="2518" spans="13:20" x14ac:dyDescent="0.2">
      <c r="M2518" s="20">
        <v>1.1406154864287345E-2</v>
      </c>
      <c r="N2518" s="20">
        <v>1.2783916787665697E-3</v>
      </c>
      <c r="O2518" s="20">
        <v>0.11207910939112463</v>
      </c>
      <c r="P2518" s="20"/>
      <c r="Q2518" s="20"/>
      <c r="R2518" s="20">
        <v>0.32</v>
      </c>
      <c r="S2518" s="20">
        <v>0.13</v>
      </c>
      <c r="T2518" s="20">
        <v>0.55000000000000004</v>
      </c>
    </row>
    <row r="2519" spans="13:20" x14ac:dyDescent="0.2">
      <c r="M2519" s="20">
        <v>1.4437932783201683E-2</v>
      </c>
      <c r="N2519" s="20">
        <v>1.4019104201578019E-3</v>
      </c>
      <c r="O2519" s="20">
        <v>9.7099109769294922E-2</v>
      </c>
      <c r="P2519" s="20"/>
      <c r="Q2519" s="20"/>
      <c r="R2519" s="20"/>
      <c r="S2519" s="20">
        <v>0.13</v>
      </c>
      <c r="T2519" s="20">
        <v>0.87000000000000011</v>
      </c>
    </row>
    <row r="2520" spans="13:20" x14ac:dyDescent="0.2">
      <c r="M2520" s="20">
        <v>1.8528130402520309E-2</v>
      </c>
      <c r="N2520" s="20">
        <v>1.2728908935837702E-3</v>
      </c>
      <c r="O2520" s="20">
        <v>6.8700449852761386E-2</v>
      </c>
      <c r="P2520" s="20"/>
      <c r="Q2520" s="20">
        <v>0.96</v>
      </c>
      <c r="R2520" s="20">
        <v>4.0000000000000036E-2</v>
      </c>
      <c r="S2520" s="20"/>
      <c r="T2520" s="20"/>
    </row>
    <row r="2521" spans="13:20" x14ac:dyDescent="0.2">
      <c r="M2521" s="20">
        <v>1.280950118159367E-2</v>
      </c>
      <c r="N2521" s="20">
        <v>1.2060297307101087E-3</v>
      </c>
      <c r="O2521" s="20">
        <v>9.4151186186944305E-2</v>
      </c>
      <c r="P2521" s="20"/>
      <c r="Q2521" s="20">
        <v>0.45</v>
      </c>
      <c r="R2521" s="20">
        <v>0.55000000000000004</v>
      </c>
      <c r="S2521" s="20"/>
      <c r="T2521" s="20"/>
    </row>
    <row r="2522" spans="13:20" x14ac:dyDescent="0.2">
      <c r="M2522" s="20">
        <v>1.3053192888412812E-2</v>
      </c>
      <c r="N2522" s="20">
        <v>2.1024334892769869E-3</v>
      </c>
      <c r="O2522" s="20">
        <v>0.16106660701714565</v>
      </c>
      <c r="P2522" s="20">
        <v>0.62</v>
      </c>
      <c r="Q2522" s="20">
        <v>0.27</v>
      </c>
      <c r="R2522" s="20">
        <v>5.0000000000000044E-2</v>
      </c>
      <c r="S2522" s="20"/>
      <c r="T2522" s="20">
        <v>0.06</v>
      </c>
    </row>
    <row r="2523" spans="13:20" x14ac:dyDescent="0.2">
      <c r="M2523" s="20">
        <v>1.5413130945862857E-2</v>
      </c>
      <c r="N2523" s="20">
        <v>1.2401158137437399E-3</v>
      </c>
      <c r="O2523" s="20">
        <v>8.0458397330141915E-2</v>
      </c>
      <c r="P2523" s="20"/>
      <c r="Q2523" s="20">
        <v>0.71</v>
      </c>
      <c r="R2523" s="20">
        <v>0.28999999999999992</v>
      </c>
      <c r="S2523" s="20"/>
      <c r="T2523" s="20"/>
    </row>
    <row r="2524" spans="13:20" x14ac:dyDescent="0.2">
      <c r="M2524" s="20">
        <v>1.3372134718446595E-2</v>
      </c>
      <c r="N2524" s="20">
        <v>1.7124082848776533E-3</v>
      </c>
      <c r="O2524" s="20">
        <v>0.12805795940085915</v>
      </c>
      <c r="P2524" s="20">
        <v>0.21</v>
      </c>
      <c r="Q2524" s="20">
        <v>0.16999999999999993</v>
      </c>
      <c r="R2524" s="20"/>
      <c r="S2524" s="20"/>
      <c r="T2524" s="20">
        <v>0.62</v>
      </c>
    </row>
    <row r="2525" spans="13:20" x14ac:dyDescent="0.2">
      <c r="M2525" s="20">
        <v>1.2837505339332395E-2</v>
      </c>
      <c r="N2525" s="20">
        <v>1.981316296793858E-3</v>
      </c>
      <c r="O2525" s="20">
        <v>0.15433810887878432</v>
      </c>
      <c r="P2525" s="20">
        <v>0.49</v>
      </c>
      <c r="Q2525" s="20">
        <v>0.28000000000000014</v>
      </c>
      <c r="R2525" s="20"/>
      <c r="S2525" s="20"/>
      <c r="T2525" s="20">
        <v>0.23</v>
      </c>
    </row>
    <row r="2526" spans="13:20" x14ac:dyDescent="0.2">
      <c r="M2526" s="20">
        <v>1.0909084634781437E-2</v>
      </c>
      <c r="N2526" s="20">
        <v>1.122129742383388E-3</v>
      </c>
      <c r="O2526" s="20">
        <v>0.10286195221235167</v>
      </c>
      <c r="P2526" s="20"/>
      <c r="Q2526" s="20"/>
      <c r="R2526" s="20">
        <v>0.96</v>
      </c>
      <c r="S2526" s="20">
        <v>3.9999999999999925E-2</v>
      </c>
      <c r="T2526" s="20"/>
    </row>
    <row r="2527" spans="13:20" x14ac:dyDescent="0.2">
      <c r="M2527" s="20">
        <v>1.3184430635172514E-2</v>
      </c>
      <c r="N2527" s="20">
        <v>1.0605336726029156E-3</v>
      </c>
      <c r="O2527" s="20">
        <v>8.043833684965486E-2</v>
      </c>
      <c r="P2527" s="20"/>
      <c r="Q2527" s="20">
        <v>0.48</v>
      </c>
      <c r="R2527" s="20">
        <v>0.28000000000000003</v>
      </c>
      <c r="S2527" s="20">
        <v>0.24</v>
      </c>
      <c r="T2527" s="20"/>
    </row>
    <row r="2528" spans="13:20" x14ac:dyDescent="0.2">
      <c r="M2528" s="20">
        <v>9.5246772009719219E-3</v>
      </c>
      <c r="N2528" s="20">
        <v>1.027731093396292E-3</v>
      </c>
      <c r="O2528" s="20">
        <v>0.10790193428197438</v>
      </c>
      <c r="P2528" s="20"/>
      <c r="Q2528" s="20"/>
      <c r="R2528" s="20">
        <v>0.28999999999999998</v>
      </c>
      <c r="S2528" s="20">
        <v>0.39</v>
      </c>
      <c r="T2528" s="20">
        <v>0.32000000000000006</v>
      </c>
    </row>
    <row r="2529" spans="13:20" x14ac:dyDescent="0.2">
      <c r="M2529" s="20">
        <v>1.3842888435093081E-2</v>
      </c>
      <c r="N2529" s="20">
        <v>2.1857740987548243E-3</v>
      </c>
      <c r="O2529" s="20">
        <v>0.15789870076635684</v>
      </c>
      <c r="P2529" s="20">
        <v>0.69</v>
      </c>
      <c r="Q2529" s="20">
        <v>0.31000000000000005</v>
      </c>
      <c r="R2529" s="20"/>
      <c r="S2529" s="20"/>
      <c r="T2529" s="20"/>
    </row>
    <row r="2530" spans="13:20" x14ac:dyDescent="0.2">
      <c r="M2530" s="20">
        <v>1.3485857369708526E-2</v>
      </c>
      <c r="N2530" s="20">
        <v>2.3896130929809602E-3</v>
      </c>
      <c r="O2530" s="20">
        <v>0.17719400609622549</v>
      </c>
      <c r="P2530" s="20">
        <v>0.85</v>
      </c>
      <c r="Q2530" s="20">
        <v>7.0000000000000007E-2</v>
      </c>
      <c r="R2530" s="20">
        <v>6.9999999999999951E-2</v>
      </c>
      <c r="S2530" s="20"/>
      <c r="T2530" s="20">
        <v>0.01</v>
      </c>
    </row>
    <row r="2531" spans="13:20" x14ac:dyDescent="0.2">
      <c r="M2531" s="20">
        <v>1.3842888435093079E-2</v>
      </c>
      <c r="N2531" s="20">
        <v>2.1857740987548243E-3</v>
      </c>
      <c r="O2531" s="20">
        <v>0.15789870076635687</v>
      </c>
      <c r="P2531" s="20">
        <v>0.69</v>
      </c>
      <c r="Q2531" s="20">
        <v>0.30999999999999994</v>
      </c>
      <c r="R2531" s="20"/>
      <c r="S2531" s="20"/>
      <c r="T2531" s="20"/>
    </row>
    <row r="2532" spans="13:20" x14ac:dyDescent="0.2">
      <c r="M2532" s="20">
        <v>1.102296697914755E-2</v>
      </c>
      <c r="N2532" s="20">
        <v>1.1141439382860497E-3</v>
      </c>
      <c r="O2532" s="20">
        <v>0.10107477781560141</v>
      </c>
      <c r="P2532" s="20"/>
      <c r="Q2532" s="20"/>
      <c r="R2532" s="20">
        <v>0.04</v>
      </c>
      <c r="S2532" s="20">
        <v>0.4</v>
      </c>
      <c r="T2532" s="20">
        <v>0.56000000000000005</v>
      </c>
    </row>
    <row r="2533" spans="13:20" x14ac:dyDescent="0.2">
      <c r="M2533" s="20">
        <v>6.5618186042070504E-3</v>
      </c>
      <c r="N2533" s="20">
        <v>7.2601009518012466E-4</v>
      </c>
      <c r="O2533" s="20">
        <v>0.11064159785134108</v>
      </c>
      <c r="P2533" s="20">
        <v>0.11</v>
      </c>
      <c r="Q2533" s="20">
        <v>0.27</v>
      </c>
      <c r="R2533" s="20">
        <v>7.0000000000000007E-2</v>
      </c>
      <c r="S2533" s="20">
        <v>0</v>
      </c>
      <c r="T2533" s="20">
        <v>0.01</v>
      </c>
    </row>
    <row r="2534" spans="13:20" x14ac:dyDescent="0.2">
      <c r="M2534" s="20">
        <v>1.3728471703233706E-2</v>
      </c>
      <c r="N2534" s="20">
        <v>1.8723981328626E-3</v>
      </c>
      <c r="O2534" s="20">
        <v>0.13638795150239202</v>
      </c>
      <c r="P2534" s="20">
        <v>0.31999999999999995</v>
      </c>
      <c r="Q2534" s="20"/>
      <c r="R2534" s="20"/>
      <c r="S2534" s="20"/>
      <c r="T2534" s="20">
        <v>0.68</v>
      </c>
    </row>
    <row r="2535" spans="13:20" x14ac:dyDescent="0.2">
      <c r="M2535" s="20">
        <v>1.5344006605141125E-2</v>
      </c>
      <c r="N2535" s="20">
        <v>1.6390829910384497E-3</v>
      </c>
      <c r="O2535" s="20">
        <v>0.1068223595843124</v>
      </c>
      <c r="P2535" s="20">
        <v>9.9999999999999867E-2</v>
      </c>
      <c r="Q2535" s="20"/>
      <c r="R2535" s="20"/>
      <c r="S2535" s="20"/>
      <c r="T2535" s="20">
        <v>0.9</v>
      </c>
    </row>
    <row r="2536" spans="13:20" x14ac:dyDescent="0.2">
      <c r="M2536" s="20">
        <v>9.9336763487368699E-3</v>
      </c>
      <c r="N2536" s="20">
        <v>1.1065921320534446E-3</v>
      </c>
      <c r="O2536" s="20">
        <v>0.11139804571890997</v>
      </c>
      <c r="P2536" s="20">
        <v>0.14000000000000012</v>
      </c>
      <c r="Q2536" s="20"/>
      <c r="R2536" s="20"/>
      <c r="S2536" s="20">
        <v>0.56999999999999995</v>
      </c>
      <c r="T2536" s="20">
        <v>0.28999999999999998</v>
      </c>
    </row>
    <row r="2537" spans="13:20" x14ac:dyDescent="0.2">
      <c r="M2537" s="20">
        <v>1.3088010981072573E-2</v>
      </c>
      <c r="N2537" s="20">
        <v>2.0420818723710724E-3</v>
      </c>
      <c r="O2537" s="20">
        <v>0.15602690701621968</v>
      </c>
      <c r="P2537" s="20">
        <v>0.47999999999999987</v>
      </c>
      <c r="Q2537" s="20"/>
      <c r="R2537" s="20"/>
      <c r="S2537" s="20"/>
      <c r="T2537" s="20">
        <v>0.52</v>
      </c>
    </row>
    <row r="2538" spans="13:20" x14ac:dyDescent="0.2">
      <c r="M2538" s="20">
        <v>1.1671651481763246E-2</v>
      </c>
      <c r="N2538" s="20">
        <v>5.6475815891997251E-4</v>
      </c>
      <c r="O2538" s="20">
        <v>4.8387167814460307E-2</v>
      </c>
      <c r="P2538" s="20"/>
      <c r="Q2538" s="20"/>
      <c r="R2538" s="20"/>
      <c r="S2538" s="20">
        <v>0.96</v>
      </c>
      <c r="T2538" s="20">
        <v>4.0000000000000036E-2</v>
      </c>
    </row>
    <row r="2539" spans="13:20" x14ac:dyDescent="0.2">
      <c r="M2539" s="20">
        <v>9.7976607698238658E-3</v>
      </c>
      <c r="N2539" s="20">
        <v>1.131461802943957E-3</v>
      </c>
      <c r="O2539" s="20">
        <v>0.11548285141988004</v>
      </c>
      <c r="P2539" s="20"/>
      <c r="Q2539" s="20"/>
      <c r="R2539" s="20">
        <v>0.56999999999999995</v>
      </c>
      <c r="S2539" s="20">
        <v>0.18</v>
      </c>
      <c r="T2539" s="20">
        <v>0.25000000000000011</v>
      </c>
    </row>
    <row r="2540" spans="13:20" x14ac:dyDescent="0.2">
      <c r="M2540" s="20">
        <v>1.7613123556929056E-2</v>
      </c>
      <c r="N2540" s="20">
        <v>1.2637138712285616E-3</v>
      </c>
      <c r="O2540" s="20">
        <v>7.1748424811986997E-2</v>
      </c>
      <c r="P2540" s="20"/>
      <c r="Q2540" s="20">
        <v>0.89</v>
      </c>
      <c r="R2540" s="20">
        <v>0.10999999999999999</v>
      </c>
      <c r="S2540" s="20"/>
      <c r="T2540" s="20"/>
    </row>
    <row r="2541" spans="13:20" x14ac:dyDescent="0.2">
      <c r="M2541" s="20">
        <v>1.4229806726489979E-2</v>
      </c>
      <c r="N2541" s="20">
        <v>2.4883204962203747E-3</v>
      </c>
      <c r="O2541" s="20">
        <v>0.17486678097940414</v>
      </c>
      <c r="P2541" s="20">
        <v>0.92</v>
      </c>
      <c r="Q2541" s="20">
        <v>7.999999999999996E-2</v>
      </c>
      <c r="R2541" s="20"/>
      <c r="S2541" s="20"/>
      <c r="T2541" s="20"/>
    </row>
    <row r="2542" spans="13:20" x14ac:dyDescent="0.2">
      <c r="M2542" s="20">
        <v>1.386228907498102E-2</v>
      </c>
      <c r="N2542" s="20">
        <v>2.3173160106963677E-3</v>
      </c>
      <c r="O2542" s="20">
        <v>0.16716690859366892</v>
      </c>
      <c r="P2542" s="20">
        <v>0.79</v>
      </c>
      <c r="Q2542" s="20">
        <v>0.20999999999999996</v>
      </c>
      <c r="R2542" s="20"/>
      <c r="S2542" s="20"/>
      <c r="T2542" s="20"/>
    </row>
    <row r="2543" spans="13:20" x14ac:dyDescent="0.2">
      <c r="M2543" s="20">
        <v>1.1893113697909664E-2</v>
      </c>
      <c r="N2543" s="20">
        <v>1.942531959808325E-3</v>
      </c>
      <c r="O2543" s="20">
        <v>0.16333249720380164</v>
      </c>
      <c r="P2543" s="20">
        <v>0.53</v>
      </c>
      <c r="Q2543" s="20">
        <v>0.22</v>
      </c>
      <c r="R2543" s="20">
        <v>0.25</v>
      </c>
      <c r="S2543" s="20"/>
      <c r="T2543" s="20"/>
    </row>
    <row r="2544" spans="13:20" x14ac:dyDescent="0.2">
      <c r="M2544" s="20">
        <v>1.2351557765181917E-2</v>
      </c>
      <c r="N2544" s="20">
        <v>1.8831303175981307E-3</v>
      </c>
      <c r="O2544" s="20">
        <v>0.15246095702248416</v>
      </c>
      <c r="P2544" s="20">
        <v>0.39</v>
      </c>
      <c r="Q2544" s="20"/>
      <c r="R2544" s="20">
        <v>0.06</v>
      </c>
      <c r="S2544" s="20">
        <v>0.04</v>
      </c>
      <c r="T2544" s="20">
        <v>0.51</v>
      </c>
    </row>
    <row r="2545" spans="13:20" x14ac:dyDescent="0.2">
      <c r="M2545" s="20">
        <v>1.4576987451591781E-2</v>
      </c>
      <c r="N2545" s="20">
        <v>1.4594277563378733E-3</v>
      </c>
      <c r="O2545" s="20">
        <v>0.10011861238026286</v>
      </c>
      <c r="P2545" s="20">
        <v>7.0000000000000007E-2</v>
      </c>
      <c r="Q2545" s="20">
        <v>0.58000000000000007</v>
      </c>
      <c r="R2545" s="20"/>
      <c r="S2545" s="20"/>
      <c r="T2545" s="20">
        <v>0.35</v>
      </c>
    </row>
    <row r="2546" spans="13:20" x14ac:dyDescent="0.2">
      <c r="M2546" s="20">
        <v>1.1544577945224241E-2</v>
      </c>
      <c r="N2546" s="20">
        <v>1.8873415639425553E-3</v>
      </c>
      <c r="O2546" s="20">
        <v>0.16348294176690195</v>
      </c>
      <c r="P2546" s="20">
        <v>0.42</v>
      </c>
      <c r="Q2546" s="20">
        <v>0.1</v>
      </c>
      <c r="R2546" s="20">
        <v>0.17000000000000015</v>
      </c>
      <c r="S2546" s="20"/>
      <c r="T2546" s="20">
        <v>0.31</v>
      </c>
    </row>
    <row r="2547" spans="13:20" x14ac:dyDescent="0.2">
      <c r="M2547" s="20">
        <v>1.2647977234014287E-2</v>
      </c>
      <c r="N2547" s="20">
        <v>1.203407724322906E-3</v>
      </c>
      <c r="O2547" s="20">
        <v>9.5146259520974927E-2</v>
      </c>
      <c r="P2547" s="20"/>
      <c r="Q2547" s="20">
        <v>0.43</v>
      </c>
      <c r="R2547" s="20">
        <v>0.56999999999999995</v>
      </c>
      <c r="S2547" s="20"/>
      <c r="T2547" s="20"/>
    </row>
    <row r="2548" spans="13:20" x14ac:dyDescent="0.2">
      <c r="M2548" s="20">
        <v>1.4188266558946014E-2</v>
      </c>
      <c r="N2548" s="20">
        <v>2.47516630502622E-3</v>
      </c>
      <c r="O2548" s="20">
        <v>0.1744516354230442</v>
      </c>
      <c r="P2548" s="20">
        <v>0.91</v>
      </c>
      <c r="Q2548" s="20">
        <v>8.9999999999999969E-2</v>
      </c>
      <c r="R2548" s="20"/>
      <c r="S2548" s="20"/>
      <c r="T2548" s="20"/>
    </row>
    <row r="2549" spans="13:20" x14ac:dyDescent="0.2">
      <c r="M2549" s="20">
        <v>1.0824708676105669E-2</v>
      </c>
      <c r="N2549" s="20">
        <v>1.6401921851767829E-3</v>
      </c>
      <c r="O2549" s="20">
        <v>0.15152298636889169</v>
      </c>
      <c r="P2549" s="20">
        <v>0.51</v>
      </c>
      <c r="Q2549" s="20"/>
      <c r="R2549" s="20"/>
      <c r="S2549" s="20">
        <v>0.43</v>
      </c>
      <c r="T2549" s="20">
        <v>0.06</v>
      </c>
    </row>
    <row r="2550" spans="13:20" x14ac:dyDescent="0.2">
      <c r="M2550" s="20">
        <v>9.8157632441974799E-3</v>
      </c>
      <c r="N2550" s="20">
        <v>1.1368154737957186E-3</v>
      </c>
      <c r="O2550" s="20">
        <v>0.11581529072308658</v>
      </c>
      <c r="P2550" s="20"/>
      <c r="Q2550" s="20"/>
      <c r="R2550" s="20">
        <v>0.53</v>
      </c>
      <c r="S2550" s="20">
        <v>0.19</v>
      </c>
      <c r="T2550" s="20">
        <v>0.28000000000000003</v>
      </c>
    </row>
    <row r="2551" spans="13:20" x14ac:dyDescent="0.2">
      <c r="M2551" s="20">
        <v>1.3784746290399722E-2</v>
      </c>
      <c r="N2551" s="20">
        <v>1.8617928991433203E-3</v>
      </c>
      <c r="O2551" s="20">
        <v>0.13506181832595288</v>
      </c>
      <c r="P2551" s="20">
        <v>0.30999999999999994</v>
      </c>
      <c r="Q2551" s="20"/>
      <c r="R2551" s="20"/>
      <c r="S2551" s="20"/>
      <c r="T2551" s="20">
        <v>0.69</v>
      </c>
    </row>
    <row r="2552" spans="13:20" x14ac:dyDescent="0.2">
      <c r="M2552" s="20">
        <v>1.0595590861497351E-2</v>
      </c>
      <c r="N2552" s="20">
        <v>1.4646115029109006E-3</v>
      </c>
      <c r="O2552" s="20">
        <v>0.13822839349460539</v>
      </c>
      <c r="P2552" s="20">
        <v>0.24</v>
      </c>
      <c r="Q2552" s="20">
        <v>0.16</v>
      </c>
      <c r="R2552" s="20">
        <v>0.13</v>
      </c>
      <c r="S2552" s="20">
        <v>0.23</v>
      </c>
      <c r="T2552" s="20">
        <v>0.24</v>
      </c>
    </row>
    <row r="2553" spans="13:20" x14ac:dyDescent="0.2">
      <c r="M2553" s="20">
        <v>1.0181242440432413E-2</v>
      </c>
      <c r="N2553" s="20">
        <v>1.2667419124842885E-3</v>
      </c>
      <c r="O2553" s="20">
        <v>0.1244191875299738</v>
      </c>
      <c r="P2553" s="20">
        <v>8.9999999999999969E-2</v>
      </c>
      <c r="Q2553" s="20">
        <v>0.13</v>
      </c>
      <c r="R2553" s="20">
        <v>0.59</v>
      </c>
      <c r="S2553" s="20">
        <v>0.1</v>
      </c>
      <c r="T2553" s="20">
        <v>0.09</v>
      </c>
    </row>
    <row r="2554" spans="13:20" x14ac:dyDescent="0.2">
      <c r="M2554" s="20">
        <v>1.1192416186184499E-2</v>
      </c>
      <c r="N2554" s="20">
        <v>8.6231389264760836E-4</v>
      </c>
      <c r="O2554" s="20">
        <v>7.7044480682555067E-2</v>
      </c>
      <c r="P2554" s="20">
        <v>0</v>
      </c>
      <c r="Q2554" s="20">
        <v>0.2</v>
      </c>
      <c r="R2554" s="20">
        <v>0.09</v>
      </c>
      <c r="S2554" s="20">
        <v>0.57999999999999996</v>
      </c>
      <c r="T2554" s="20">
        <v>0.13</v>
      </c>
    </row>
    <row r="2555" spans="13:20" x14ac:dyDescent="0.2">
      <c r="M2555" s="20">
        <v>1.5547056802993744E-2</v>
      </c>
      <c r="N2555" s="20">
        <v>1.1191957954368736E-3</v>
      </c>
      <c r="O2555" s="20">
        <v>7.1987631460982429E-2</v>
      </c>
      <c r="P2555" s="20"/>
      <c r="Q2555" s="20">
        <v>0.69</v>
      </c>
      <c r="R2555" s="20">
        <v>0.12</v>
      </c>
      <c r="S2555" s="20">
        <v>0.18999999999999995</v>
      </c>
      <c r="T2555" s="20"/>
    </row>
    <row r="2556" spans="13:20" x14ac:dyDescent="0.2">
      <c r="M2556" s="20">
        <v>1.2727204059789336E-2</v>
      </c>
      <c r="N2556" s="20">
        <v>1.6794481359252381E-3</v>
      </c>
      <c r="O2556" s="20">
        <v>0.13195735120106472</v>
      </c>
      <c r="P2556" s="20">
        <v>0.33</v>
      </c>
      <c r="Q2556" s="20">
        <v>0.42</v>
      </c>
      <c r="R2556" s="20">
        <v>0.24999999999999989</v>
      </c>
      <c r="S2556" s="20"/>
      <c r="T2556" s="20"/>
    </row>
    <row r="2557" spans="13:20" x14ac:dyDescent="0.2">
      <c r="M2557" s="20">
        <v>1.2817445103249541E-2</v>
      </c>
      <c r="N2557" s="20">
        <v>1.3208509072843446E-3</v>
      </c>
      <c r="O2557" s="20">
        <v>0.10305102901899507</v>
      </c>
      <c r="P2557" s="20"/>
      <c r="Q2557" s="20">
        <v>0.34</v>
      </c>
      <c r="R2557" s="20">
        <v>0.09</v>
      </c>
      <c r="S2557" s="20">
        <v>0.09</v>
      </c>
      <c r="T2557" s="20">
        <v>0.47999999999999987</v>
      </c>
    </row>
    <row r="2558" spans="13:20" x14ac:dyDescent="0.2">
      <c r="M2558" s="20">
        <v>1.386228907498102E-2</v>
      </c>
      <c r="N2558" s="20">
        <v>2.3173160106963681E-3</v>
      </c>
      <c r="O2558" s="20">
        <v>0.16716690859366895</v>
      </c>
      <c r="P2558" s="20">
        <v>0.79</v>
      </c>
      <c r="Q2558" s="20">
        <v>0.21000000000000008</v>
      </c>
      <c r="R2558" s="20"/>
      <c r="S2558" s="20"/>
      <c r="T2558" s="20"/>
    </row>
    <row r="2559" spans="13:20" x14ac:dyDescent="0.2">
      <c r="M2559" s="20">
        <v>1.0984586739622933E-2</v>
      </c>
      <c r="N2559" s="20">
        <v>1.1663343903404344E-3</v>
      </c>
      <c r="O2559" s="20">
        <v>0.10617917796882645</v>
      </c>
      <c r="P2559" s="20"/>
      <c r="Q2559" s="20"/>
      <c r="R2559" s="20">
        <v>0.95</v>
      </c>
      <c r="S2559" s="20">
        <v>0</v>
      </c>
      <c r="T2559" s="20">
        <v>5.0000000000000155E-2</v>
      </c>
    </row>
    <row r="2560" spans="13:20" x14ac:dyDescent="0.2">
      <c r="M2560" s="20">
        <v>1.4169065335155748E-2</v>
      </c>
      <c r="N2560" s="20">
        <v>1.1621216638838603E-3</v>
      </c>
      <c r="O2560" s="20">
        <v>8.2018230306303133E-2</v>
      </c>
      <c r="P2560" s="20"/>
      <c r="Q2560" s="20">
        <v>0.59</v>
      </c>
      <c r="R2560" s="20">
        <v>0.31</v>
      </c>
      <c r="S2560" s="20">
        <v>0.10000000000000009</v>
      </c>
      <c r="T2560" s="20"/>
    </row>
    <row r="2561" spans="13:20" x14ac:dyDescent="0.2">
      <c r="M2561" s="20">
        <v>9.5875674124176469E-3</v>
      </c>
      <c r="N2561" s="20">
        <v>9.0421235200505992E-4</v>
      </c>
      <c r="O2561" s="20">
        <v>9.4310925087623385E-2</v>
      </c>
      <c r="P2561" s="20"/>
      <c r="Q2561" s="20"/>
      <c r="R2561" s="20">
        <v>0.61</v>
      </c>
      <c r="S2561" s="20">
        <v>0.3899999999999999</v>
      </c>
      <c r="T2561" s="20"/>
    </row>
    <row r="2562" spans="13:20" x14ac:dyDescent="0.2">
      <c r="M2562" s="20">
        <v>1.3674008432626254E-2</v>
      </c>
      <c r="N2562" s="20">
        <v>1.8830033665818799E-3</v>
      </c>
      <c r="O2562" s="20">
        <v>0.1377067577411335</v>
      </c>
      <c r="P2562" s="20">
        <v>0.33000000000000007</v>
      </c>
      <c r="Q2562" s="20"/>
      <c r="R2562" s="20"/>
      <c r="S2562" s="20"/>
      <c r="T2562" s="20">
        <v>0.67</v>
      </c>
    </row>
    <row r="2563" spans="13:20" x14ac:dyDescent="0.2">
      <c r="M2563" s="20">
        <v>1.4229806726489977E-2</v>
      </c>
      <c r="N2563" s="20">
        <v>2.4883204962203743E-3</v>
      </c>
      <c r="O2563" s="20">
        <v>0.17486678097940409</v>
      </c>
      <c r="P2563" s="20">
        <v>0.92</v>
      </c>
      <c r="Q2563" s="20">
        <v>7.9999999999999849E-2</v>
      </c>
      <c r="R2563" s="20"/>
      <c r="S2563" s="20"/>
      <c r="T2563" s="20"/>
    </row>
    <row r="2564" spans="13:20" x14ac:dyDescent="0.2">
      <c r="M2564" s="20">
        <v>1.3025664141353187E-2</v>
      </c>
      <c r="N2564" s="20">
        <v>2.0738975735289118E-3</v>
      </c>
      <c r="O2564" s="20">
        <v>0.1592162634490791</v>
      </c>
      <c r="P2564" s="20">
        <v>0.51000000000000012</v>
      </c>
      <c r="Q2564" s="20"/>
      <c r="R2564" s="20"/>
      <c r="S2564" s="20"/>
      <c r="T2564" s="20">
        <v>0.49</v>
      </c>
    </row>
    <row r="2565" spans="13:20" x14ac:dyDescent="0.2">
      <c r="M2565" s="20">
        <v>1.2398507132343244E-2</v>
      </c>
      <c r="N2565" s="20">
        <v>1.2888476500495681E-3</v>
      </c>
      <c r="O2565" s="20">
        <v>0.10395184164450155</v>
      </c>
      <c r="P2565" s="20"/>
      <c r="Q2565" s="20"/>
      <c r="R2565" s="20">
        <v>0.11</v>
      </c>
      <c r="S2565" s="20">
        <v>0.2</v>
      </c>
      <c r="T2565" s="20">
        <v>0.69</v>
      </c>
    </row>
    <row r="2566" spans="13:20" x14ac:dyDescent="0.2">
      <c r="M2566" s="20">
        <v>1.4437932783201681E-2</v>
      </c>
      <c r="N2566" s="20">
        <v>1.4019104201578019E-3</v>
      </c>
      <c r="O2566" s="20">
        <v>9.7099109769294922E-2</v>
      </c>
      <c r="P2566" s="20"/>
      <c r="Q2566" s="20"/>
      <c r="R2566" s="20"/>
      <c r="S2566" s="20">
        <v>0.13</v>
      </c>
      <c r="T2566" s="20">
        <v>0.87</v>
      </c>
    </row>
    <row r="2567" spans="13:20" x14ac:dyDescent="0.2">
      <c r="M2567" s="20">
        <v>1.1257646204755263E-2</v>
      </c>
      <c r="N2567" s="20">
        <v>1.2386681613593801E-3</v>
      </c>
      <c r="O2567" s="20">
        <v>0.1100290539274687</v>
      </c>
      <c r="P2567" s="20"/>
      <c r="Q2567" s="20"/>
      <c r="R2567" s="20">
        <v>0.24</v>
      </c>
      <c r="S2567" s="20">
        <v>0.2</v>
      </c>
      <c r="T2567" s="20">
        <v>0.56000000000000005</v>
      </c>
    </row>
    <row r="2568" spans="13:20" x14ac:dyDescent="0.2">
      <c r="M2568" s="20">
        <v>1.0245280101872246E-2</v>
      </c>
      <c r="N2568" s="20">
        <v>8.0682628265139303E-4</v>
      </c>
      <c r="O2568" s="20">
        <v>7.8751022385805905E-2</v>
      </c>
      <c r="P2568" s="20"/>
      <c r="Q2568" s="20"/>
      <c r="R2568" s="20"/>
      <c r="S2568" s="20">
        <v>0.72</v>
      </c>
      <c r="T2568" s="20">
        <v>0.28000000000000003</v>
      </c>
    </row>
    <row r="2569" spans="13:20" x14ac:dyDescent="0.2">
      <c r="M2569" s="20">
        <v>1.0029055968474525E-2</v>
      </c>
      <c r="N2569" s="20">
        <v>1.0162841527710572E-3</v>
      </c>
      <c r="O2569" s="20">
        <v>0.10133397958548233</v>
      </c>
      <c r="P2569" s="20"/>
      <c r="Q2569" s="20"/>
      <c r="R2569" s="20">
        <v>0.79</v>
      </c>
      <c r="S2569" s="20">
        <v>0.20999999999999985</v>
      </c>
      <c r="T2569" s="20"/>
    </row>
    <row r="2570" spans="13:20" x14ac:dyDescent="0.2">
      <c r="M2570" s="20">
        <v>1.4383432973996019E-2</v>
      </c>
      <c r="N2570" s="20">
        <v>1.9489986572600463E-3</v>
      </c>
      <c r="O2570" s="20">
        <v>0.13550302356771601</v>
      </c>
      <c r="P2570" s="20">
        <v>0.51</v>
      </c>
      <c r="Q2570" s="20">
        <v>0.48999999999999988</v>
      </c>
      <c r="R2570" s="20"/>
      <c r="S2570" s="20"/>
      <c r="T2570" s="20"/>
    </row>
    <row r="2571" spans="13:20" x14ac:dyDescent="0.2">
      <c r="M2571" s="20">
        <v>1.1456515705688708E-2</v>
      </c>
      <c r="N2571" s="20">
        <v>1.1396699527820961E-3</v>
      </c>
      <c r="O2571" s="20">
        <v>9.9477885079509443E-2</v>
      </c>
      <c r="P2571" s="20"/>
      <c r="Q2571" s="20"/>
      <c r="R2571" s="20"/>
      <c r="S2571" s="20">
        <v>0.39</v>
      </c>
      <c r="T2571" s="20">
        <v>0.60999999999999988</v>
      </c>
    </row>
    <row r="2572" spans="13:20" x14ac:dyDescent="0.2">
      <c r="M2572" s="20">
        <v>1.0650230570646676E-2</v>
      </c>
      <c r="N2572" s="20">
        <v>7.4838549930708609E-4</v>
      </c>
      <c r="O2572" s="20">
        <v>7.0269417581411531E-2</v>
      </c>
      <c r="P2572" s="20">
        <v>4.0000000000000036E-2</v>
      </c>
      <c r="Q2572" s="20"/>
      <c r="R2572" s="20"/>
      <c r="S2572" s="20">
        <v>0.82</v>
      </c>
      <c r="T2572" s="20">
        <v>0.14000000000000001</v>
      </c>
    </row>
    <row r="2573" spans="13:20" x14ac:dyDescent="0.2">
      <c r="M2573" s="20">
        <v>1.3102028074088138E-2</v>
      </c>
      <c r="N2573" s="20">
        <v>2.2860022479145024E-3</v>
      </c>
      <c r="O2573" s="20">
        <v>0.1744769767693847</v>
      </c>
      <c r="P2573" s="20">
        <v>0.71000000000000008</v>
      </c>
      <c r="Q2573" s="20"/>
      <c r="R2573" s="20"/>
      <c r="S2573" s="20"/>
      <c r="T2573" s="20">
        <v>0.28999999999999998</v>
      </c>
    </row>
    <row r="2574" spans="13:20" x14ac:dyDescent="0.2">
      <c r="M2574" s="20">
        <v>1.385373340409984E-2</v>
      </c>
      <c r="N2574" s="20">
        <v>2.17261990756067E-3</v>
      </c>
      <c r="O2574" s="20">
        <v>0.1568255894773975</v>
      </c>
      <c r="P2574" s="20">
        <v>0.68</v>
      </c>
      <c r="Q2574" s="20">
        <v>0.31999999999999995</v>
      </c>
      <c r="R2574" s="20"/>
      <c r="S2574" s="20"/>
      <c r="T2574" s="20"/>
    </row>
    <row r="2575" spans="13:20" x14ac:dyDescent="0.2">
      <c r="M2575" s="20">
        <v>1.3913935553365104E-2</v>
      </c>
      <c r="N2575" s="20">
        <v>1.6984352860439386E-3</v>
      </c>
      <c r="O2575" s="20">
        <v>0.1220672094915065</v>
      </c>
      <c r="P2575" s="20">
        <v>0.18</v>
      </c>
      <c r="Q2575" s="20">
        <v>0.1000000000000002</v>
      </c>
      <c r="R2575" s="20"/>
      <c r="S2575" s="20"/>
      <c r="T2575" s="20">
        <v>0.72</v>
      </c>
    </row>
    <row r="2576" spans="13:20" x14ac:dyDescent="0.2">
      <c r="M2576" s="20">
        <v>1.1234592652910182E-2</v>
      </c>
      <c r="N2576" s="20">
        <v>6.1518901803068505E-4</v>
      </c>
      <c r="O2576" s="20">
        <v>5.4758462281347418E-2</v>
      </c>
      <c r="P2576" s="20"/>
      <c r="Q2576" s="20"/>
      <c r="R2576" s="20"/>
      <c r="S2576" s="20">
        <v>0.91</v>
      </c>
      <c r="T2576" s="20">
        <v>8.9999999999999969E-2</v>
      </c>
    </row>
    <row r="2577" spans="13:20" x14ac:dyDescent="0.2">
      <c r="M2577" s="20">
        <v>1.8001796391182504E-2</v>
      </c>
      <c r="N2577" s="20">
        <v>1.2676468808093654E-3</v>
      </c>
      <c r="O2577" s="20">
        <v>7.0417799049781168E-2</v>
      </c>
      <c r="P2577" s="20"/>
      <c r="Q2577" s="20">
        <v>0.92</v>
      </c>
      <c r="R2577" s="20">
        <v>7.999999999999996E-2</v>
      </c>
      <c r="S2577" s="20"/>
      <c r="T2577" s="20"/>
    </row>
    <row r="2578" spans="13:20" x14ac:dyDescent="0.2">
      <c r="M2578" s="20">
        <v>1.0392937603379624E-2</v>
      </c>
      <c r="N2578" s="20">
        <v>1.0660938420003895E-3</v>
      </c>
      <c r="O2578" s="20">
        <v>0.10257868205171483</v>
      </c>
      <c r="P2578" s="20"/>
      <c r="Q2578" s="20"/>
      <c r="R2578" s="20">
        <v>0.87</v>
      </c>
      <c r="S2578" s="20">
        <v>0.13</v>
      </c>
      <c r="T2578" s="20"/>
    </row>
    <row r="2579" spans="13:20" x14ac:dyDescent="0.2">
      <c r="M2579" s="20">
        <v>1.0066522833277258E-2</v>
      </c>
      <c r="N2579" s="20">
        <v>1.2550654041233583E-3</v>
      </c>
      <c r="O2579" s="20">
        <v>0.12467715266829224</v>
      </c>
      <c r="P2579" s="20">
        <v>0.28000000000000014</v>
      </c>
      <c r="Q2579" s="20"/>
      <c r="R2579" s="20"/>
      <c r="S2579" s="20">
        <v>0.56999999999999995</v>
      </c>
      <c r="T2579" s="20">
        <v>0.15</v>
      </c>
    </row>
    <row r="2580" spans="13:20" x14ac:dyDescent="0.2">
      <c r="M2580" s="20">
        <v>1.1004230292705927E-2</v>
      </c>
      <c r="N2580" s="20">
        <v>6.4544753349711265E-4</v>
      </c>
      <c r="O2580" s="20">
        <v>5.8654491620821751E-2</v>
      </c>
      <c r="P2580" s="20"/>
      <c r="Q2580" s="20"/>
      <c r="R2580" s="20"/>
      <c r="S2580" s="20">
        <v>0.88</v>
      </c>
      <c r="T2580" s="20">
        <v>0.12</v>
      </c>
    </row>
    <row r="2581" spans="13:20" x14ac:dyDescent="0.2">
      <c r="M2581" s="20">
        <v>1.1243555625401903E-2</v>
      </c>
      <c r="N2581" s="20">
        <v>5.9290179432173399E-4</v>
      </c>
      <c r="O2581" s="20">
        <v>5.2732588700164021E-2</v>
      </c>
      <c r="P2581" s="20"/>
      <c r="Q2581" s="20"/>
      <c r="R2581" s="20">
        <v>0.11</v>
      </c>
      <c r="S2581" s="20">
        <v>0.8899999999999999</v>
      </c>
      <c r="T2581" s="20"/>
    </row>
    <row r="2582" spans="13:20" x14ac:dyDescent="0.2">
      <c r="M2582" s="20">
        <v>9.3402654532638851E-3</v>
      </c>
      <c r="N2582" s="20">
        <v>8.7905613696986939E-4</v>
      </c>
      <c r="O2582" s="20">
        <v>9.4114684573840451E-2</v>
      </c>
      <c r="P2582" s="20"/>
      <c r="Q2582" s="20"/>
      <c r="R2582" s="20">
        <v>0.44</v>
      </c>
      <c r="S2582" s="20">
        <v>0.48</v>
      </c>
      <c r="T2582" s="20">
        <v>8.0000000000000071E-2</v>
      </c>
    </row>
    <row r="2583" spans="13:20" x14ac:dyDescent="0.2">
      <c r="M2583" s="20">
        <v>1.383981491350712E-2</v>
      </c>
      <c r="N2583" s="20">
        <v>2.2910076283080591E-3</v>
      </c>
      <c r="O2583" s="20">
        <v>0.16553744704144308</v>
      </c>
      <c r="P2583" s="20">
        <v>0.77</v>
      </c>
      <c r="Q2583" s="20">
        <v>0.22999999999999998</v>
      </c>
      <c r="R2583" s="20"/>
      <c r="S2583" s="20"/>
      <c r="T2583" s="20"/>
    </row>
    <row r="2584" spans="13:20" x14ac:dyDescent="0.2">
      <c r="M2584" s="20">
        <v>1.0715231547860402E-2</v>
      </c>
      <c r="N2584" s="20">
        <v>1.0388082345606712E-3</v>
      </c>
      <c r="O2584" s="20">
        <v>9.6946876968617507E-2</v>
      </c>
      <c r="P2584" s="20"/>
      <c r="Q2584" s="20"/>
      <c r="R2584" s="20"/>
      <c r="S2584" s="20">
        <v>0.49</v>
      </c>
      <c r="T2584" s="20">
        <v>0.51000000000000012</v>
      </c>
    </row>
    <row r="2585" spans="13:20" x14ac:dyDescent="0.2">
      <c r="M2585" s="20">
        <v>1.6852964635850839E-2</v>
      </c>
      <c r="N2585" s="20">
        <v>1.2558478520669546E-3</v>
      </c>
      <c r="O2585" s="20">
        <v>7.4517918906411559E-2</v>
      </c>
      <c r="P2585" s="20"/>
      <c r="Q2585" s="20">
        <v>0.83</v>
      </c>
      <c r="R2585" s="20">
        <v>0.17000000000000015</v>
      </c>
      <c r="S2585" s="20"/>
      <c r="T2585" s="20"/>
    </row>
    <row r="2586" spans="13:20" x14ac:dyDescent="0.2">
      <c r="M2586" s="20">
        <v>1.0597061084906613E-2</v>
      </c>
      <c r="N2586" s="20">
        <v>6.8666476108758794E-4</v>
      </c>
      <c r="O2586" s="20">
        <v>6.4797659991372908E-2</v>
      </c>
      <c r="P2586" s="20"/>
      <c r="Q2586" s="20"/>
      <c r="R2586" s="20">
        <v>0.05</v>
      </c>
      <c r="S2586" s="20">
        <v>0.82</v>
      </c>
      <c r="T2586" s="20">
        <v>0.13000000000000012</v>
      </c>
    </row>
    <row r="2587" spans="13:20" x14ac:dyDescent="0.2">
      <c r="M2587" s="20">
        <v>1.2203446686908479E-2</v>
      </c>
      <c r="N2587" s="20">
        <v>1.9070023958066655E-3</v>
      </c>
      <c r="O2587" s="20">
        <v>0.1562675238178772</v>
      </c>
      <c r="P2587" s="20">
        <v>0.5</v>
      </c>
      <c r="Q2587" s="20">
        <v>0.28000000000000003</v>
      </c>
      <c r="R2587" s="20">
        <v>0.21999999999999997</v>
      </c>
      <c r="S2587" s="20"/>
      <c r="T2587" s="20"/>
    </row>
    <row r="2588" spans="13:20" x14ac:dyDescent="0.2">
      <c r="M2588" s="20">
        <v>1.2488826877913374E-2</v>
      </c>
      <c r="N2588" s="20">
        <v>7.5773831158236233E-4</v>
      </c>
      <c r="O2588" s="20">
        <v>6.0673297739632433E-2</v>
      </c>
      <c r="P2588" s="20"/>
      <c r="Q2588" s="20">
        <v>0.26</v>
      </c>
      <c r="R2588" s="20">
        <v>0.06</v>
      </c>
      <c r="S2588" s="20">
        <v>0.67999999999999994</v>
      </c>
      <c r="T2588" s="20"/>
    </row>
    <row r="2589" spans="13:20" x14ac:dyDescent="0.2">
      <c r="M2589" s="20">
        <v>1.4437932783201679E-2</v>
      </c>
      <c r="N2589" s="20">
        <v>1.4019104201578017E-3</v>
      </c>
      <c r="O2589" s="20">
        <v>9.7099109769294922E-2</v>
      </c>
      <c r="P2589" s="20"/>
      <c r="Q2589" s="20"/>
      <c r="R2589" s="20"/>
      <c r="S2589" s="20">
        <v>0.13</v>
      </c>
      <c r="T2589" s="20">
        <v>0.86999999999999988</v>
      </c>
    </row>
    <row r="2590" spans="13:20" x14ac:dyDescent="0.2">
      <c r="M2590" s="20">
        <v>1.8528130402520309E-2</v>
      </c>
      <c r="N2590" s="20">
        <v>1.2728908935837702E-3</v>
      </c>
      <c r="O2590" s="20">
        <v>6.8700449852761386E-2</v>
      </c>
      <c r="P2590" s="20"/>
      <c r="Q2590" s="20">
        <v>0.96</v>
      </c>
      <c r="R2590" s="20">
        <v>4.0000000000000036E-2</v>
      </c>
      <c r="S2590" s="20"/>
      <c r="T2590" s="20"/>
    </row>
    <row r="2591" spans="13:20" x14ac:dyDescent="0.2">
      <c r="M2591" s="20">
        <v>1.23453440931807E-2</v>
      </c>
      <c r="N2591" s="20">
        <v>1.198163711548501E-3</v>
      </c>
      <c r="O2591" s="20">
        <v>9.7053893557356635E-2</v>
      </c>
      <c r="P2591" s="20"/>
      <c r="Q2591" s="20">
        <v>0.39</v>
      </c>
      <c r="R2591" s="20">
        <v>0.60999999999999988</v>
      </c>
      <c r="S2591" s="20"/>
      <c r="T2591" s="20"/>
    </row>
    <row r="2592" spans="13:20" x14ac:dyDescent="0.2">
      <c r="M2592" s="20">
        <v>1.6301105982438266E-2</v>
      </c>
      <c r="N2592" s="20">
        <v>1.5330306538456546E-3</v>
      </c>
      <c r="O2592" s="20">
        <v>9.4044579275617268E-2</v>
      </c>
      <c r="P2592" s="20">
        <v>0</v>
      </c>
      <c r="Q2592" s="20"/>
      <c r="R2592" s="20"/>
      <c r="S2592" s="20"/>
      <c r="T2592" s="20">
        <v>1</v>
      </c>
    </row>
    <row r="2593" spans="13:20" x14ac:dyDescent="0.2">
      <c r="M2593" s="20">
        <v>1.0811938064209681E-2</v>
      </c>
      <c r="N2593" s="20">
        <v>1.073635272411414E-3</v>
      </c>
      <c r="O2593" s="20">
        <v>9.9300908499043772E-2</v>
      </c>
      <c r="P2593" s="20"/>
      <c r="Q2593" s="20">
        <v>0.2</v>
      </c>
      <c r="R2593" s="20">
        <v>0.64</v>
      </c>
      <c r="S2593" s="20">
        <v>0.15999999999999992</v>
      </c>
      <c r="T2593" s="20"/>
    </row>
    <row r="2594" spans="13:20" x14ac:dyDescent="0.2">
      <c r="M2594" s="20">
        <v>1.1926086045174134E-2</v>
      </c>
      <c r="N2594" s="20">
        <v>1.1901008118928088E-3</v>
      </c>
      <c r="O2594" s="20">
        <v>9.9789722075196707E-2</v>
      </c>
      <c r="P2594" s="20"/>
      <c r="Q2594" s="20"/>
      <c r="R2594" s="20"/>
      <c r="S2594" s="20">
        <v>0.34</v>
      </c>
      <c r="T2594" s="20">
        <v>0.65999999999999992</v>
      </c>
    </row>
    <row r="2595" spans="13:20" x14ac:dyDescent="0.2">
      <c r="M2595" s="20">
        <v>1.1183558571427926E-2</v>
      </c>
      <c r="N2595" s="20">
        <v>1.2199895278983807E-3</v>
      </c>
      <c r="O2595" s="20">
        <v>0.10908777560438095</v>
      </c>
      <c r="P2595" s="20"/>
      <c r="Q2595" s="20"/>
      <c r="R2595" s="20">
        <v>0.21</v>
      </c>
      <c r="S2595" s="20">
        <v>0.23</v>
      </c>
      <c r="T2595" s="20">
        <v>0.56000000000000005</v>
      </c>
    </row>
    <row r="2596" spans="13:20" x14ac:dyDescent="0.2">
      <c r="M2596" s="20">
        <v>1.3025664141353184E-2</v>
      </c>
      <c r="N2596" s="20">
        <v>2.0738975735289109E-3</v>
      </c>
      <c r="O2596" s="20">
        <v>0.15921626344907908</v>
      </c>
      <c r="P2596" s="20">
        <v>0.5099999999999999</v>
      </c>
      <c r="Q2596" s="20"/>
      <c r="R2596" s="20"/>
      <c r="S2596" s="20"/>
      <c r="T2596" s="20">
        <v>0.49</v>
      </c>
    </row>
    <row r="2597" spans="13:20" x14ac:dyDescent="0.2">
      <c r="M2597" s="20">
        <v>1.3075012453742449E-2</v>
      </c>
      <c r="N2597" s="20">
        <v>1.8103366543018593E-3</v>
      </c>
      <c r="O2597" s="20">
        <v>0.13845773843096326</v>
      </c>
      <c r="P2597" s="20">
        <v>0.43</v>
      </c>
      <c r="Q2597" s="20">
        <v>0.41</v>
      </c>
      <c r="R2597" s="20">
        <v>0.14000000000000001</v>
      </c>
      <c r="S2597" s="20">
        <v>2.0000000000000018E-2</v>
      </c>
      <c r="T2597" s="20"/>
    </row>
    <row r="2598" spans="13:20" x14ac:dyDescent="0.2">
      <c r="M2598" s="20">
        <v>1.5528474120001454E-2</v>
      </c>
      <c r="N2598" s="20">
        <v>1.241426816937341E-3</v>
      </c>
      <c r="O2598" s="20">
        <v>7.9945190193434462E-2</v>
      </c>
      <c r="P2598" s="20"/>
      <c r="Q2598" s="20">
        <v>0.72</v>
      </c>
      <c r="R2598" s="20">
        <v>0.28000000000000003</v>
      </c>
      <c r="S2598" s="20"/>
      <c r="T2598" s="20"/>
    </row>
    <row r="2599" spans="13:20" x14ac:dyDescent="0.2">
      <c r="M2599" s="20">
        <v>1.1456515705688709E-2</v>
      </c>
      <c r="N2599" s="20">
        <v>1.1396699527820961E-3</v>
      </c>
      <c r="O2599" s="20">
        <v>9.9477885079509401E-2</v>
      </c>
      <c r="P2599" s="20"/>
      <c r="Q2599" s="20"/>
      <c r="R2599" s="20"/>
      <c r="S2599" s="20">
        <v>0.39</v>
      </c>
      <c r="T2599" s="20">
        <v>0.61</v>
      </c>
    </row>
    <row r="2600" spans="13:20" x14ac:dyDescent="0.2">
      <c r="M2600" s="20">
        <v>1.4722064422719092E-2</v>
      </c>
      <c r="N2600" s="20">
        <v>1.4872301877210795E-3</v>
      </c>
      <c r="O2600" s="20">
        <v>0.10102049176105939</v>
      </c>
      <c r="P2600" s="20">
        <v>1.0000000000000009E-2</v>
      </c>
      <c r="Q2600" s="20"/>
      <c r="R2600" s="20">
        <v>0.12</v>
      </c>
      <c r="S2600" s="20">
        <v>0.01</v>
      </c>
      <c r="T2600" s="20">
        <v>0.86</v>
      </c>
    </row>
    <row r="2601" spans="13:20" x14ac:dyDescent="0.2">
      <c r="M2601" s="20">
        <v>1.0768071010647508E-2</v>
      </c>
      <c r="N2601" s="20">
        <v>1.26090561945884E-3</v>
      </c>
      <c r="O2601" s="20">
        <v>0.11709670359826305</v>
      </c>
      <c r="P2601" s="20"/>
      <c r="Q2601" s="20">
        <v>0.01</v>
      </c>
      <c r="R2601" s="20">
        <v>0.62</v>
      </c>
      <c r="S2601" s="20">
        <v>0.03</v>
      </c>
      <c r="T2601" s="20">
        <v>0.34000000000000008</v>
      </c>
    </row>
    <row r="2602" spans="13:20" x14ac:dyDescent="0.2">
      <c r="M2602" s="20">
        <v>1.1037677669451181E-2</v>
      </c>
      <c r="N2602" s="20">
        <v>1.1345821646907212E-3</v>
      </c>
      <c r="O2602" s="20">
        <v>0.10279174647678721</v>
      </c>
      <c r="P2602" s="20"/>
      <c r="Q2602" s="20"/>
      <c r="R2602" s="20">
        <v>0.98</v>
      </c>
      <c r="S2602" s="20">
        <v>2.0000000000000018E-2</v>
      </c>
      <c r="T2602" s="20"/>
    </row>
    <row r="2603" spans="13:20" x14ac:dyDescent="0.2">
      <c r="M2603" s="20">
        <v>1.6001662566933018E-2</v>
      </c>
      <c r="N2603" s="20">
        <v>1.5648463550034936E-3</v>
      </c>
      <c r="O2603" s="20">
        <v>9.7792735502197387E-2</v>
      </c>
      <c r="P2603" s="20">
        <v>3.0000000000000138E-2</v>
      </c>
      <c r="Q2603" s="20"/>
      <c r="R2603" s="20"/>
      <c r="S2603" s="20"/>
      <c r="T2603" s="20">
        <v>0.97</v>
      </c>
    </row>
    <row r="2604" spans="13:20" x14ac:dyDescent="0.2">
      <c r="M2604" s="20">
        <v>1.2490834586678304E-2</v>
      </c>
      <c r="N2604" s="20">
        <v>7.8596693147105212E-4</v>
      </c>
      <c r="O2604" s="20">
        <v>6.2923492102705425E-2</v>
      </c>
      <c r="P2604" s="20">
        <v>0.01</v>
      </c>
      <c r="Q2604" s="20">
        <v>0.27</v>
      </c>
      <c r="R2604" s="20">
        <v>0.06</v>
      </c>
      <c r="S2604" s="20">
        <v>0.66</v>
      </c>
      <c r="T2604" s="20"/>
    </row>
    <row r="2605" spans="13:20" x14ac:dyDescent="0.2">
      <c r="M2605" s="20">
        <v>1.4912738377618208E-2</v>
      </c>
      <c r="N2605" s="20">
        <v>1.6921091596348479E-3</v>
      </c>
      <c r="O2605" s="20">
        <v>0.11346736707823232</v>
      </c>
      <c r="P2605" s="20">
        <v>0.15000000000000002</v>
      </c>
      <c r="Q2605" s="20"/>
      <c r="R2605" s="20"/>
      <c r="S2605" s="20"/>
      <c r="T2605" s="20">
        <v>0.85</v>
      </c>
    </row>
    <row r="2606" spans="13:20" x14ac:dyDescent="0.2">
      <c r="M2606" s="20">
        <v>1.8132536690980538E-2</v>
      </c>
      <c r="N2606" s="20">
        <v>1.2689578840029663E-3</v>
      </c>
      <c r="O2606" s="20">
        <v>6.998236957293294E-2</v>
      </c>
      <c r="P2606" s="20"/>
      <c r="Q2606" s="20">
        <v>0.93</v>
      </c>
      <c r="R2606" s="20">
        <v>6.999999999999984E-2</v>
      </c>
      <c r="S2606" s="20"/>
      <c r="T2606" s="20"/>
    </row>
    <row r="2607" spans="13:20" x14ac:dyDescent="0.2">
      <c r="M2607" s="20">
        <v>1.4632932006181711E-2</v>
      </c>
      <c r="N2607" s="20">
        <v>1.2309387913885315E-3</v>
      </c>
      <c r="O2607" s="20">
        <v>8.4121131080805878E-2</v>
      </c>
      <c r="P2607" s="20"/>
      <c r="Q2607" s="20">
        <v>0.64</v>
      </c>
      <c r="R2607" s="20">
        <v>0.3600000000000001</v>
      </c>
      <c r="S2607" s="20"/>
      <c r="T2607" s="20"/>
    </row>
    <row r="2608" spans="13:20" x14ac:dyDescent="0.2">
      <c r="M2608" s="20">
        <v>1.3088010981072573E-2</v>
      </c>
      <c r="N2608" s="20">
        <v>2.0420818723710724E-3</v>
      </c>
      <c r="O2608" s="20">
        <v>0.15602690701621968</v>
      </c>
      <c r="P2608" s="20">
        <v>0.47999999999999987</v>
      </c>
      <c r="Q2608" s="20"/>
      <c r="R2608" s="20"/>
      <c r="S2608" s="20"/>
      <c r="T2608" s="20">
        <v>0.52</v>
      </c>
    </row>
    <row r="2609" spans="13:20" x14ac:dyDescent="0.2">
      <c r="M2609" s="20">
        <v>1.1671651481763246E-2</v>
      </c>
      <c r="N2609" s="20">
        <v>5.6475815891997251E-4</v>
      </c>
      <c r="O2609" s="20">
        <v>4.8387167814460307E-2</v>
      </c>
      <c r="P2609" s="20"/>
      <c r="Q2609" s="20"/>
      <c r="R2609" s="20"/>
      <c r="S2609" s="20">
        <v>0.96</v>
      </c>
      <c r="T2609" s="20">
        <v>4.0000000000000036E-2</v>
      </c>
    </row>
    <row r="2610" spans="13:20" x14ac:dyDescent="0.2">
      <c r="M2610" s="20">
        <v>1.0194092753179477E-2</v>
      </c>
      <c r="N2610" s="20">
        <v>1.191978833876812E-3</v>
      </c>
      <c r="O2610" s="20">
        <v>0.11692838811036331</v>
      </c>
      <c r="P2610" s="20"/>
      <c r="Q2610" s="20"/>
      <c r="R2610" s="20">
        <v>0.56999999999999995</v>
      </c>
      <c r="S2610" s="20">
        <v>0.12</v>
      </c>
      <c r="T2610" s="20">
        <v>0.31000000000000005</v>
      </c>
    </row>
    <row r="2611" spans="13:20" x14ac:dyDescent="0.2">
      <c r="M2611" s="20">
        <v>1.672866854777524E-2</v>
      </c>
      <c r="N2611" s="20">
        <v>1.2545368488733532E-3</v>
      </c>
      <c r="O2611" s="20">
        <v>7.4993227661277043E-2</v>
      </c>
      <c r="P2611" s="20"/>
      <c r="Q2611" s="20">
        <v>0.82</v>
      </c>
      <c r="R2611" s="20">
        <v>0.17999999999999994</v>
      </c>
      <c r="S2611" s="20"/>
      <c r="T2611" s="20"/>
    </row>
    <row r="2612" spans="13:20" x14ac:dyDescent="0.2">
      <c r="M2612" s="20">
        <v>1.3290442570939812E-2</v>
      </c>
      <c r="N2612" s="20">
        <v>2.3818201227316809E-3</v>
      </c>
      <c r="O2612" s="20">
        <v>0.17921300287920014</v>
      </c>
      <c r="P2612" s="20">
        <v>0.85</v>
      </c>
      <c r="Q2612" s="20">
        <v>0.04</v>
      </c>
      <c r="R2612" s="20">
        <v>0.1100000000000001</v>
      </c>
      <c r="S2612" s="20"/>
      <c r="T2612" s="20"/>
    </row>
    <row r="2613" spans="13:20" x14ac:dyDescent="0.2">
      <c r="M2613" s="20">
        <v>1.1111823586721359E-2</v>
      </c>
      <c r="N2613" s="20">
        <v>1.1768665300179513E-3</v>
      </c>
      <c r="O2613" s="20">
        <v>0.10591119637863113</v>
      </c>
      <c r="P2613" s="20">
        <v>0.22</v>
      </c>
      <c r="Q2613" s="20">
        <v>0.16999999999999993</v>
      </c>
      <c r="R2613" s="20">
        <v>0.03</v>
      </c>
      <c r="S2613" s="20">
        <v>0.53</v>
      </c>
      <c r="T2613" s="20">
        <v>0.05</v>
      </c>
    </row>
    <row r="2614" spans="13:20" x14ac:dyDescent="0.2">
      <c r="M2614" s="20">
        <v>1.1037677669451181E-2</v>
      </c>
      <c r="N2614" s="20">
        <v>1.1345821646907212E-3</v>
      </c>
      <c r="O2614" s="20">
        <v>0.10279174647678721</v>
      </c>
      <c r="P2614" s="20"/>
      <c r="Q2614" s="20">
        <v>0</v>
      </c>
      <c r="R2614" s="20">
        <v>0.98</v>
      </c>
      <c r="S2614" s="20">
        <v>2.0000000000000018E-2</v>
      </c>
      <c r="T2614" s="20"/>
    </row>
    <row r="2615" spans="13:20" x14ac:dyDescent="0.2">
      <c r="M2615" s="20">
        <v>1.6360203031018032E-2</v>
      </c>
      <c r="N2615" s="20">
        <v>1.2506038392925494E-3</v>
      </c>
      <c r="O2615" s="20">
        <v>7.6441828803803624E-2</v>
      </c>
      <c r="P2615" s="20"/>
      <c r="Q2615" s="20">
        <v>0.79</v>
      </c>
      <c r="R2615" s="20">
        <v>0.20999999999999996</v>
      </c>
      <c r="S2615" s="20"/>
      <c r="T2615" s="20"/>
    </row>
    <row r="2616" spans="13:20" x14ac:dyDescent="0.2">
      <c r="M2616" s="20">
        <v>1.6397669149737778E-2</v>
      </c>
      <c r="N2616" s="20">
        <v>1.5938354950178789E-3</v>
      </c>
      <c r="O2616" s="20">
        <v>9.7198905555632986E-2</v>
      </c>
      <c r="P2616" s="20">
        <v>0.24</v>
      </c>
      <c r="Q2616" s="20">
        <v>0.7599999999999999</v>
      </c>
      <c r="R2616" s="20"/>
      <c r="S2616" s="20"/>
      <c r="T2616" s="20">
        <v>0</v>
      </c>
    </row>
    <row r="2617" spans="13:20" x14ac:dyDescent="0.2">
      <c r="M2617" s="20">
        <v>1.2050583350997703E-2</v>
      </c>
      <c r="N2617" s="20">
        <v>1.7952138502854245E-3</v>
      </c>
      <c r="O2617" s="20">
        <v>0.14897319059137445</v>
      </c>
      <c r="P2617" s="20">
        <v>0.42</v>
      </c>
      <c r="Q2617" s="20">
        <v>0.31</v>
      </c>
      <c r="R2617" s="20">
        <v>0.27</v>
      </c>
      <c r="S2617" s="20"/>
      <c r="T2617" s="20"/>
    </row>
    <row r="2618" spans="13:20" x14ac:dyDescent="0.2">
      <c r="M2618" s="20">
        <v>9.955561542518308E-3</v>
      </c>
      <c r="N2618" s="20">
        <v>7.4233086200973055E-4</v>
      </c>
      <c r="O2618" s="20">
        <v>7.4564439066483273E-2</v>
      </c>
      <c r="P2618" s="20"/>
      <c r="Q2618" s="20"/>
      <c r="R2618" s="20">
        <v>0.35</v>
      </c>
      <c r="S2618" s="20">
        <v>0.65</v>
      </c>
      <c r="T2618" s="20"/>
    </row>
    <row r="2619" spans="13:20" x14ac:dyDescent="0.2">
      <c r="M2619" s="20">
        <v>1.0732432473869223E-2</v>
      </c>
      <c r="N2619" s="20">
        <v>8.8422693141421605E-4</v>
      </c>
      <c r="O2619" s="20">
        <v>8.2388306058956015E-2</v>
      </c>
      <c r="P2619" s="20"/>
      <c r="Q2619" s="20">
        <v>0.18</v>
      </c>
      <c r="R2619" s="20">
        <v>0.36</v>
      </c>
      <c r="S2619" s="20">
        <v>0.45999999999999996</v>
      </c>
      <c r="T2619" s="20"/>
    </row>
    <row r="2620" spans="13:20" x14ac:dyDescent="0.2">
      <c r="M2620" s="20">
        <v>1.6301105982438266E-2</v>
      </c>
      <c r="N2620" s="20">
        <v>1.5330306538456546E-3</v>
      </c>
      <c r="O2620" s="20">
        <v>9.4044579275617268E-2</v>
      </c>
      <c r="P2620" s="20">
        <v>0</v>
      </c>
      <c r="Q2620" s="20"/>
      <c r="R2620" s="20"/>
      <c r="S2620" s="20"/>
      <c r="T2620" s="20">
        <v>1</v>
      </c>
    </row>
    <row r="2621" spans="13:20" x14ac:dyDescent="0.2">
      <c r="M2621" s="20">
        <v>1.2848318871008697E-2</v>
      </c>
      <c r="N2621" s="20">
        <v>1.9977265717140021E-3</v>
      </c>
      <c r="O2621" s="20">
        <v>0.15548544457607819</v>
      </c>
      <c r="P2621" s="20">
        <v>0.56000000000000005</v>
      </c>
      <c r="Q2621" s="20">
        <v>0.31</v>
      </c>
      <c r="R2621" s="20">
        <v>0.12999999999999978</v>
      </c>
      <c r="S2621" s="20"/>
      <c r="T2621" s="20"/>
    </row>
    <row r="2622" spans="13:20" x14ac:dyDescent="0.2">
      <c r="M2622" s="20">
        <v>1.0737484730818526E-2</v>
      </c>
      <c r="N2622" s="20">
        <v>6.8579222078568266E-4</v>
      </c>
      <c r="O2622" s="20">
        <v>6.3868982166497043E-2</v>
      </c>
      <c r="P2622" s="20"/>
      <c r="Q2622" s="20"/>
      <c r="R2622" s="20"/>
      <c r="S2622" s="20">
        <v>0.84</v>
      </c>
      <c r="T2622" s="20">
        <v>0.15999999999999992</v>
      </c>
    </row>
    <row r="2623" spans="13:20" x14ac:dyDescent="0.2">
      <c r="M2623" s="20">
        <v>1.0418709339591409E-2</v>
      </c>
      <c r="N2623" s="20">
        <v>1.0697449866478772E-3</v>
      </c>
      <c r="O2623" s="20">
        <v>0.10267538442432732</v>
      </c>
      <c r="P2623" s="20">
        <v>0.15</v>
      </c>
      <c r="Q2623" s="20">
        <v>0.13</v>
      </c>
      <c r="R2623" s="20">
        <v>0.22</v>
      </c>
      <c r="S2623" s="20">
        <v>0.5</v>
      </c>
      <c r="T2623" s="20"/>
    </row>
    <row r="2624" spans="13:20" x14ac:dyDescent="0.2">
      <c r="M2624" s="20">
        <v>9.8290825102241332E-3</v>
      </c>
      <c r="N2624" s="20">
        <v>1.5806560600679388E-3</v>
      </c>
      <c r="O2624" s="20">
        <v>0.16081420197905075</v>
      </c>
      <c r="P2624" s="20">
        <v>0.33</v>
      </c>
      <c r="Q2624" s="20">
        <v>0.06</v>
      </c>
      <c r="R2624" s="20">
        <v>0.52</v>
      </c>
      <c r="S2624" s="20">
        <v>0.04</v>
      </c>
      <c r="T2624" s="20">
        <v>0.02</v>
      </c>
    </row>
    <row r="2625" spans="13:20" x14ac:dyDescent="0.2">
      <c r="M2625" s="20">
        <v>1.1192416186184499E-2</v>
      </c>
      <c r="N2625" s="20">
        <v>8.6231389264760836E-4</v>
      </c>
      <c r="O2625" s="20">
        <v>7.7044480682555067E-2</v>
      </c>
      <c r="P2625" s="20">
        <v>0</v>
      </c>
      <c r="Q2625" s="20">
        <v>0.2</v>
      </c>
      <c r="R2625" s="20">
        <v>0.09</v>
      </c>
      <c r="S2625" s="20">
        <v>0.57999999999999996</v>
      </c>
      <c r="T2625" s="20">
        <v>0.13</v>
      </c>
    </row>
    <row r="2626" spans="13:20" x14ac:dyDescent="0.2">
      <c r="M2626" s="20">
        <v>1.5576925965881862E-2</v>
      </c>
      <c r="N2626" s="20">
        <v>1.112969584283207E-3</v>
      </c>
      <c r="O2626" s="20">
        <v>7.1449885986551137E-2</v>
      </c>
      <c r="P2626" s="20"/>
      <c r="Q2626" s="20">
        <v>0.69</v>
      </c>
      <c r="R2626" s="20">
        <v>0.11</v>
      </c>
      <c r="S2626" s="20">
        <v>0.19999999999999996</v>
      </c>
      <c r="T2626" s="20"/>
    </row>
    <row r="2627" spans="13:20" x14ac:dyDescent="0.2">
      <c r="M2627" s="20">
        <v>1.2693397082408919E-2</v>
      </c>
      <c r="N2627" s="20">
        <v>1.6649829415374827E-3</v>
      </c>
      <c r="O2627" s="20">
        <v>0.13116921583150432</v>
      </c>
      <c r="P2627" s="20">
        <v>0.32</v>
      </c>
      <c r="Q2627" s="20">
        <v>0.42</v>
      </c>
      <c r="R2627" s="20">
        <v>0.26000000000000012</v>
      </c>
      <c r="S2627" s="20"/>
      <c r="T2627" s="20"/>
    </row>
    <row r="2628" spans="13:20" x14ac:dyDescent="0.2">
      <c r="M2628" s="20">
        <v>1.315701390982028E-2</v>
      </c>
      <c r="N2628" s="20">
        <v>1.5258737842700999E-3</v>
      </c>
      <c r="O2628" s="20">
        <v>0.11597417124650153</v>
      </c>
      <c r="P2628" s="20">
        <v>9.9999999999999867E-2</v>
      </c>
      <c r="Q2628" s="20">
        <v>0.28000000000000003</v>
      </c>
      <c r="R2628" s="20">
        <v>0.03</v>
      </c>
      <c r="S2628" s="20">
        <v>0.03</v>
      </c>
      <c r="T2628" s="20">
        <v>0.56000000000000005</v>
      </c>
    </row>
    <row r="2629" spans="13:20" x14ac:dyDescent="0.2">
      <c r="M2629" s="20">
        <v>1.1612189663822794E-2</v>
      </c>
      <c r="N2629" s="20">
        <v>5.67124409405163E-4</v>
      </c>
      <c r="O2629" s="20">
        <v>4.8838713956938826E-2</v>
      </c>
      <c r="P2629" s="20"/>
      <c r="Q2629" s="20"/>
      <c r="R2629" s="20">
        <v>0.02</v>
      </c>
      <c r="S2629" s="20">
        <v>0.95</v>
      </c>
      <c r="T2629" s="20">
        <v>3.0000000000000027E-2</v>
      </c>
    </row>
    <row r="2630" spans="13:20" x14ac:dyDescent="0.2">
      <c r="M2630" s="20">
        <v>9.401668460175816E-3</v>
      </c>
      <c r="N2630" s="20">
        <v>9.561369212990581E-4</v>
      </c>
      <c r="O2630" s="20">
        <v>0.10169864267700181</v>
      </c>
      <c r="P2630" s="20"/>
      <c r="Q2630" s="20">
        <v>0</v>
      </c>
      <c r="R2630" s="20">
        <v>0.57999999999999996</v>
      </c>
      <c r="S2630" s="20">
        <v>0.35</v>
      </c>
      <c r="T2630" s="20">
        <v>7.0000000000000062E-2</v>
      </c>
    </row>
    <row r="2631" spans="13:20" x14ac:dyDescent="0.2">
      <c r="M2631" s="20">
        <v>9.6591586271567668E-3</v>
      </c>
      <c r="N2631" s="20">
        <v>9.7941511435024539E-4</v>
      </c>
      <c r="O2631" s="20">
        <v>0.10139755978296242</v>
      </c>
      <c r="P2631" s="20"/>
      <c r="Q2631" s="20"/>
      <c r="R2631" s="20">
        <v>0.18</v>
      </c>
      <c r="S2631" s="20">
        <v>0.48</v>
      </c>
      <c r="T2631" s="20">
        <v>0.33999999999999997</v>
      </c>
    </row>
    <row r="2632" spans="13:20" x14ac:dyDescent="0.2">
      <c r="M2632" s="20">
        <v>1.3386453101100431E-2</v>
      </c>
      <c r="N2632" s="20">
        <v>1.9466347688975568E-3</v>
      </c>
      <c r="O2632" s="20">
        <v>0.14541826383700804</v>
      </c>
      <c r="P2632" s="20">
        <v>0.39</v>
      </c>
      <c r="Q2632" s="20"/>
      <c r="R2632" s="20"/>
      <c r="S2632" s="20"/>
      <c r="T2632" s="20">
        <v>0.61</v>
      </c>
    </row>
    <row r="2633" spans="13:20" x14ac:dyDescent="0.2">
      <c r="M2633" s="20">
        <v>1.4013216223519354E-2</v>
      </c>
      <c r="N2633" s="20">
        <v>2.4093953490554481E-3</v>
      </c>
      <c r="O2633" s="20">
        <v>0.17193735618034586</v>
      </c>
      <c r="P2633" s="20">
        <v>0.86</v>
      </c>
      <c r="Q2633" s="20">
        <v>0.1399999999999999</v>
      </c>
      <c r="R2633" s="20"/>
      <c r="S2633" s="20"/>
      <c r="T2633" s="20"/>
    </row>
    <row r="2634" spans="13:20" x14ac:dyDescent="0.2">
      <c r="M2634" s="20">
        <v>1.3009110546230459E-2</v>
      </c>
      <c r="N2634" s="20">
        <v>2.0845028072481904E-3</v>
      </c>
      <c r="O2634" s="20">
        <v>0.16023407594550723</v>
      </c>
      <c r="P2634" s="20">
        <v>0.51999999999999991</v>
      </c>
      <c r="Q2634" s="20"/>
      <c r="R2634" s="20"/>
      <c r="S2634" s="20"/>
      <c r="T2634" s="20">
        <v>0.48</v>
      </c>
    </row>
    <row r="2635" spans="13:20" x14ac:dyDescent="0.2">
      <c r="M2635" s="20">
        <v>1.2615273671739079E-2</v>
      </c>
      <c r="N2635" s="20">
        <v>1.3027937825401865E-3</v>
      </c>
      <c r="O2635" s="20">
        <v>0.10327114705872172</v>
      </c>
      <c r="P2635" s="20"/>
      <c r="Q2635" s="20"/>
      <c r="R2635" s="20">
        <v>0.1</v>
      </c>
      <c r="S2635" s="20">
        <v>0.19</v>
      </c>
      <c r="T2635" s="20">
        <v>0.71</v>
      </c>
    </row>
    <row r="2636" spans="13:20" x14ac:dyDescent="0.2">
      <c r="M2636" s="20">
        <v>1.4235265734569159E-2</v>
      </c>
      <c r="N2636" s="20">
        <v>1.6103816612634333E-3</v>
      </c>
      <c r="O2636" s="20">
        <v>0.11312621002590456</v>
      </c>
      <c r="P2636" s="20">
        <v>0.12999999999999989</v>
      </c>
      <c r="Q2636" s="20"/>
      <c r="R2636" s="20"/>
      <c r="S2636" s="20">
        <v>0.06</v>
      </c>
      <c r="T2636" s="20">
        <v>0.81</v>
      </c>
    </row>
    <row r="2637" spans="13:20" x14ac:dyDescent="0.2">
      <c r="M2637" s="20">
        <v>1.5506375898355894E-2</v>
      </c>
      <c r="N2637" s="20">
        <v>1.7253774069594225E-3</v>
      </c>
      <c r="O2637" s="20">
        <v>0.11126890114551913</v>
      </c>
      <c r="P2637" s="20">
        <v>0.34</v>
      </c>
      <c r="Q2637" s="20">
        <v>0.65999999999999992</v>
      </c>
      <c r="R2637" s="20"/>
      <c r="S2637" s="20"/>
      <c r="T2637" s="20"/>
    </row>
    <row r="2638" spans="13:20" x14ac:dyDescent="0.2">
      <c r="M2638" s="20">
        <v>1.0245280101872246E-2</v>
      </c>
      <c r="N2638" s="20">
        <v>8.0682628265139303E-4</v>
      </c>
      <c r="O2638" s="20">
        <v>7.8751022385805905E-2</v>
      </c>
      <c r="P2638" s="20"/>
      <c r="Q2638" s="20"/>
      <c r="R2638" s="20"/>
      <c r="S2638" s="20">
        <v>0.72</v>
      </c>
      <c r="T2638" s="20">
        <v>0.28000000000000003</v>
      </c>
    </row>
    <row r="2639" spans="13:20" x14ac:dyDescent="0.2">
      <c r="M2639" s="20">
        <v>1.0029055968474528E-2</v>
      </c>
      <c r="N2639" s="20">
        <v>1.0162841527710574E-3</v>
      </c>
      <c r="O2639" s="20">
        <v>0.10133397958548231</v>
      </c>
      <c r="P2639" s="20"/>
      <c r="Q2639" s="20"/>
      <c r="R2639" s="20">
        <v>0.79</v>
      </c>
      <c r="S2639" s="20">
        <v>0.21000000000000008</v>
      </c>
      <c r="T2639" s="20"/>
    </row>
    <row r="2640" spans="13:20" x14ac:dyDescent="0.2">
      <c r="M2640" s="20">
        <v>1.4434072448601473E-2</v>
      </c>
      <c r="N2640" s="20">
        <v>1.935844466065892E-3</v>
      </c>
      <c r="O2640" s="20">
        <v>0.13411630521872966</v>
      </c>
      <c r="P2640" s="20">
        <v>0.5</v>
      </c>
      <c r="Q2640" s="20">
        <v>0.49999999999999989</v>
      </c>
      <c r="R2640" s="20"/>
      <c r="S2640" s="20"/>
      <c r="T2640" s="20"/>
    </row>
    <row r="2641" spans="13:20" x14ac:dyDescent="0.2">
      <c r="M2641" s="20">
        <v>1.2130087016171161E-2</v>
      </c>
      <c r="N2641" s="20">
        <v>1.2102731555370938E-3</v>
      </c>
      <c r="O2641" s="20">
        <v>9.977448256748897E-2</v>
      </c>
      <c r="P2641" s="20"/>
      <c r="Q2641" s="20"/>
      <c r="R2641" s="20"/>
      <c r="S2641" s="20">
        <v>0.32</v>
      </c>
      <c r="T2641" s="20">
        <v>0.67999999999999994</v>
      </c>
    </row>
    <row r="2642" spans="13:20" x14ac:dyDescent="0.2">
      <c r="M2642" s="20">
        <v>1.0308280977094915E-2</v>
      </c>
      <c r="N2642" s="20">
        <v>1.1690704402864804E-3</v>
      </c>
      <c r="O2642" s="20">
        <v>0.1134108046612393</v>
      </c>
      <c r="P2642" s="20"/>
      <c r="Q2642" s="20"/>
      <c r="R2642" s="20">
        <v>0.76</v>
      </c>
      <c r="S2642" s="20">
        <v>7.0000000000000007E-2</v>
      </c>
      <c r="T2642" s="20">
        <v>0.16999999999999982</v>
      </c>
    </row>
    <row r="2643" spans="13:20" x14ac:dyDescent="0.2">
      <c r="M2643" s="20">
        <v>1.3102028074088138E-2</v>
      </c>
      <c r="N2643" s="20">
        <v>2.2860022479145024E-3</v>
      </c>
      <c r="O2643" s="20">
        <v>0.1744769767693847</v>
      </c>
      <c r="P2643" s="20">
        <v>0.71000000000000008</v>
      </c>
      <c r="Q2643" s="20"/>
      <c r="R2643" s="20"/>
      <c r="S2643" s="20"/>
      <c r="T2643" s="20">
        <v>0.28999999999999998</v>
      </c>
    </row>
    <row r="2644" spans="13:20" x14ac:dyDescent="0.2">
      <c r="M2644" s="20">
        <v>1.385373340409984E-2</v>
      </c>
      <c r="N2644" s="20">
        <v>2.17261990756067E-3</v>
      </c>
      <c r="O2644" s="20">
        <v>0.1568255894773975</v>
      </c>
      <c r="P2644" s="20">
        <v>0.68</v>
      </c>
      <c r="Q2644" s="20">
        <v>0.31999999999999995</v>
      </c>
      <c r="R2644" s="20"/>
      <c r="S2644" s="20"/>
      <c r="T2644" s="20"/>
    </row>
    <row r="2645" spans="13:20" x14ac:dyDescent="0.2">
      <c r="M2645" s="20">
        <v>1.3862288581503074E-2</v>
      </c>
      <c r="N2645" s="20">
        <v>1.6827321373749093E-3</v>
      </c>
      <c r="O2645" s="20">
        <v>0.121389201175644</v>
      </c>
      <c r="P2645" s="20">
        <v>0.17</v>
      </c>
      <c r="Q2645" s="20">
        <v>0.12</v>
      </c>
      <c r="R2645" s="20"/>
      <c r="S2645" s="20"/>
      <c r="T2645" s="20">
        <v>0.71</v>
      </c>
    </row>
    <row r="2646" spans="13:20" x14ac:dyDescent="0.2">
      <c r="M2646" s="20">
        <v>1.0245395744649558E-2</v>
      </c>
      <c r="N2646" s="20">
        <v>1.0474152085393899E-3</v>
      </c>
      <c r="O2646" s="20">
        <v>0.10223277212950806</v>
      </c>
      <c r="P2646" s="20"/>
      <c r="Q2646" s="20"/>
      <c r="R2646" s="20">
        <v>0.84</v>
      </c>
      <c r="S2646" s="20">
        <v>0.16000000000000014</v>
      </c>
      <c r="T2646" s="20"/>
    </row>
    <row r="2647" spans="13:20" x14ac:dyDescent="0.2">
      <c r="M2647" s="20">
        <v>1.7230052311804852E-2</v>
      </c>
      <c r="N2647" s="20">
        <v>1.259780861647758E-3</v>
      </c>
      <c r="O2647" s="20">
        <v>7.3115324251490657E-2</v>
      </c>
      <c r="P2647" s="20"/>
      <c r="Q2647" s="20">
        <v>0.86</v>
      </c>
      <c r="R2647" s="20">
        <v>0.1399999999999999</v>
      </c>
      <c r="S2647" s="20"/>
      <c r="T2647" s="20"/>
    </row>
    <row r="2648" spans="13:20" x14ac:dyDescent="0.2">
      <c r="M2648" s="20">
        <v>1.0392937603379624E-2</v>
      </c>
      <c r="N2648" s="20">
        <v>1.0660938420003895E-3</v>
      </c>
      <c r="O2648" s="20">
        <v>0.10257868205171483</v>
      </c>
      <c r="P2648" s="20"/>
      <c r="Q2648" s="20"/>
      <c r="R2648" s="20">
        <v>0.87</v>
      </c>
      <c r="S2648" s="20">
        <v>0.13</v>
      </c>
      <c r="T2648" s="20"/>
    </row>
    <row r="2649" spans="13:20" x14ac:dyDescent="0.2">
      <c r="M2649" s="20">
        <v>1.009671539335835E-2</v>
      </c>
      <c r="N2649" s="20">
        <v>1.2656706378426379E-3</v>
      </c>
      <c r="O2649" s="20">
        <v>0.12535469095971546</v>
      </c>
      <c r="P2649" s="20">
        <v>0.29000000000000015</v>
      </c>
      <c r="Q2649" s="20"/>
      <c r="R2649" s="20"/>
      <c r="S2649" s="20">
        <v>0.56999999999999995</v>
      </c>
      <c r="T2649" s="20">
        <v>0.14000000000000001</v>
      </c>
    </row>
    <row r="2650" spans="13:20" x14ac:dyDescent="0.2">
      <c r="M2650" s="20">
        <v>1.0977451207559594E-2</v>
      </c>
      <c r="N2650" s="20">
        <v>6.8734940647709381E-4</v>
      </c>
      <c r="O2650" s="20">
        <v>6.2614662864887288E-2</v>
      </c>
      <c r="P2650" s="20">
        <v>3.0000000000000027E-2</v>
      </c>
      <c r="Q2650" s="20"/>
      <c r="R2650" s="20"/>
      <c r="S2650" s="20">
        <v>0.87</v>
      </c>
      <c r="T2650" s="20">
        <v>0.1</v>
      </c>
    </row>
    <row r="2651" spans="13:20" x14ac:dyDescent="0.2">
      <c r="M2651" s="20">
        <v>1.2800202091983221E-2</v>
      </c>
      <c r="N2651" s="20">
        <v>1.9028930880049051E-3</v>
      </c>
      <c r="O2651" s="20">
        <v>0.14866117537290202</v>
      </c>
      <c r="P2651" s="20">
        <v>0.38</v>
      </c>
      <c r="Q2651" s="20">
        <v>0.13000000000000012</v>
      </c>
      <c r="R2651" s="20"/>
      <c r="S2651" s="20"/>
      <c r="T2651" s="20">
        <v>0.49</v>
      </c>
    </row>
    <row r="2652" spans="13:20" x14ac:dyDescent="0.2">
      <c r="M2652" s="20">
        <v>1.1204808091547395E-2</v>
      </c>
      <c r="N2652" s="20">
        <v>1.1094114373156687E-3</v>
      </c>
      <c r="O2652" s="20">
        <v>9.9012087333524151E-2</v>
      </c>
      <c r="P2652" s="20"/>
      <c r="Q2652" s="20"/>
      <c r="R2652" s="20"/>
      <c r="S2652" s="20">
        <v>0.42</v>
      </c>
      <c r="T2652" s="20">
        <v>0.58000000000000007</v>
      </c>
    </row>
    <row r="2653" spans="13:20" x14ac:dyDescent="0.2">
      <c r="M2653" s="20">
        <v>1.0351866354148587E-2</v>
      </c>
      <c r="N2653" s="20">
        <v>1.0195084312182912E-3</v>
      </c>
      <c r="O2653" s="20">
        <v>9.8485470768246125E-2</v>
      </c>
      <c r="P2653" s="20"/>
      <c r="Q2653" s="20"/>
      <c r="R2653" s="20">
        <v>0.05</v>
      </c>
      <c r="S2653" s="20">
        <v>0.49</v>
      </c>
      <c r="T2653" s="20">
        <v>0.46000000000000008</v>
      </c>
    </row>
    <row r="2654" spans="13:20" x14ac:dyDescent="0.2">
      <c r="M2654" s="20">
        <v>1.0933102399933914E-2</v>
      </c>
      <c r="N2654" s="20">
        <v>6.5553370531925539E-4</v>
      </c>
      <c r="O2654" s="20">
        <v>5.9958617539630638E-2</v>
      </c>
      <c r="P2654" s="20"/>
      <c r="Q2654" s="20"/>
      <c r="R2654" s="20"/>
      <c r="S2654" s="20">
        <v>0.87</v>
      </c>
      <c r="T2654" s="20">
        <v>0.13000000000000012</v>
      </c>
    </row>
    <row r="2655" spans="13:20" x14ac:dyDescent="0.2">
      <c r="M2655" s="20">
        <v>1.3474696834592237E-2</v>
      </c>
      <c r="N2655" s="20">
        <v>1.9254243014589978E-3</v>
      </c>
      <c r="O2655" s="20">
        <v>0.14289184573830627</v>
      </c>
      <c r="P2655" s="20">
        <v>0.37</v>
      </c>
      <c r="Q2655" s="20"/>
      <c r="R2655" s="20"/>
      <c r="S2655" s="20"/>
      <c r="T2655" s="20">
        <v>0.63</v>
      </c>
    </row>
    <row r="2656" spans="13:20" x14ac:dyDescent="0.2">
      <c r="M2656" s="20">
        <v>1.0322470639899549E-2</v>
      </c>
      <c r="N2656" s="20">
        <v>7.7656776718496544E-4</v>
      </c>
      <c r="O2656" s="20">
        <v>7.523080416264788E-2</v>
      </c>
      <c r="P2656" s="20"/>
      <c r="Q2656" s="20"/>
      <c r="R2656" s="20"/>
      <c r="S2656" s="20">
        <v>0.75</v>
      </c>
      <c r="T2656" s="20">
        <v>0.25</v>
      </c>
    </row>
    <row r="2657" spans="13:20" x14ac:dyDescent="0.2">
      <c r="M2657" s="20">
        <v>9.3505810145921749E-3</v>
      </c>
      <c r="N2657" s="20">
        <v>1.1319944784104591E-3</v>
      </c>
      <c r="O2657" s="20">
        <v>0.1210614053441075</v>
      </c>
      <c r="P2657" s="20">
        <v>0.06</v>
      </c>
      <c r="Q2657" s="20">
        <v>0.04</v>
      </c>
      <c r="R2657" s="20">
        <v>0.22</v>
      </c>
      <c r="S2657" s="20">
        <v>0.26</v>
      </c>
      <c r="T2657" s="20">
        <v>0.35</v>
      </c>
    </row>
    <row r="2658" spans="13:20" x14ac:dyDescent="0.2">
      <c r="M2658" s="20">
        <v>1.4319271568267726E-2</v>
      </c>
      <c r="N2658" s="20">
        <v>2.5146288786086829E-3</v>
      </c>
      <c r="O2658" s="20">
        <v>0.175611508352229</v>
      </c>
      <c r="P2658" s="20">
        <v>0.94</v>
      </c>
      <c r="Q2658" s="20">
        <v>6.0000000000000164E-2</v>
      </c>
      <c r="R2658" s="20"/>
      <c r="S2658" s="20"/>
      <c r="T2658" s="20"/>
    </row>
    <row r="2659" spans="13:20" x14ac:dyDescent="0.2">
      <c r="M2659" s="20">
        <v>1.5434244138739563E-2</v>
      </c>
      <c r="N2659" s="20">
        <v>1.6284777573191702E-3</v>
      </c>
      <c r="O2659" s="20">
        <v>0.10551069055799966</v>
      </c>
      <c r="P2659" s="20">
        <v>8.9999999999999858E-2</v>
      </c>
      <c r="Q2659" s="20"/>
      <c r="R2659" s="20"/>
      <c r="S2659" s="20"/>
      <c r="T2659" s="20">
        <v>0.91</v>
      </c>
    </row>
    <row r="2660" spans="13:20" x14ac:dyDescent="0.2">
      <c r="M2660" s="20">
        <v>1.2006696559515199E-2</v>
      </c>
      <c r="N2660" s="20">
        <v>8.2753763746629518E-4</v>
      </c>
      <c r="O2660" s="20">
        <v>6.8923007537029748E-2</v>
      </c>
      <c r="P2660" s="20"/>
      <c r="Q2660" s="20">
        <v>0.27</v>
      </c>
      <c r="R2660" s="20">
        <v>0.16</v>
      </c>
      <c r="S2660" s="20">
        <v>0.56999999999999995</v>
      </c>
      <c r="T2660" s="20"/>
    </row>
    <row r="2661" spans="13:20" x14ac:dyDescent="0.2">
      <c r="M2661" s="20">
        <v>1.1489209647230651E-2</v>
      </c>
      <c r="N2661" s="20">
        <v>5.8493050256425757E-4</v>
      </c>
      <c r="O2661" s="20">
        <v>5.0911291596567619E-2</v>
      </c>
      <c r="P2661" s="20"/>
      <c r="Q2661" s="20"/>
      <c r="R2661" s="20"/>
      <c r="S2661" s="20">
        <v>0.94</v>
      </c>
      <c r="T2661" s="20">
        <v>6.0000000000000053E-2</v>
      </c>
    </row>
    <row r="2662" spans="13:20" x14ac:dyDescent="0.2">
      <c r="M2662" s="20">
        <v>1.0811938064209681E-2</v>
      </c>
      <c r="N2662" s="20">
        <v>1.073635272411414E-3</v>
      </c>
      <c r="O2662" s="20">
        <v>9.9300908499043772E-2</v>
      </c>
      <c r="P2662" s="20"/>
      <c r="Q2662" s="20">
        <v>0.2</v>
      </c>
      <c r="R2662" s="20">
        <v>0.64</v>
      </c>
      <c r="S2662" s="20">
        <v>0.15999999999999992</v>
      </c>
      <c r="T2662" s="20"/>
    </row>
    <row r="2663" spans="13:20" x14ac:dyDescent="0.2">
      <c r="M2663" s="20">
        <v>1.0248298050818193E-2</v>
      </c>
      <c r="N2663" s="20">
        <v>6.9874738393406488E-4</v>
      </c>
      <c r="O2663" s="20">
        <v>6.8181797647686393E-2</v>
      </c>
      <c r="P2663" s="20"/>
      <c r="Q2663" s="20"/>
      <c r="R2663" s="20">
        <v>0.28000000000000003</v>
      </c>
      <c r="S2663" s="20">
        <v>0.72</v>
      </c>
      <c r="T2663" s="20"/>
    </row>
    <row r="2664" spans="13:20" x14ac:dyDescent="0.2">
      <c r="M2664" s="20">
        <v>1.2593955995377784E-2</v>
      </c>
      <c r="N2664" s="20">
        <v>1.31761245533271E-3</v>
      </c>
      <c r="O2664" s="20">
        <v>0.10462260276407971</v>
      </c>
      <c r="P2664" s="20"/>
      <c r="Q2664" s="20"/>
      <c r="R2664" s="20">
        <v>0.14000000000000001</v>
      </c>
      <c r="S2664" s="20">
        <v>0.16</v>
      </c>
      <c r="T2664" s="20">
        <v>0.69999999999999984</v>
      </c>
    </row>
    <row r="2665" spans="13:20" x14ac:dyDescent="0.2">
      <c r="M2665" s="20">
        <v>1.2954703186351401E-2</v>
      </c>
      <c r="N2665" s="20">
        <v>2.1481342095638679E-3</v>
      </c>
      <c r="O2665" s="20">
        <v>0.16581886737683524</v>
      </c>
      <c r="P2665" s="20">
        <v>0.57999999999999996</v>
      </c>
      <c r="Q2665" s="20"/>
      <c r="R2665" s="20"/>
      <c r="S2665" s="20"/>
      <c r="T2665" s="20">
        <v>0.42</v>
      </c>
    </row>
    <row r="2666" spans="13:20" x14ac:dyDescent="0.2">
      <c r="M2666" s="20">
        <v>1.2415781277993516E-2</v>
      </c>
      <c r="N2666" s="20">
        <v>1.5898442425467869E-3</v>
      </c>
      <c r="O2666" s="20">
        <v>0.12805027786408602</v>
      </c>
      <c r="P2666" s="20">
        <v>0.37</v>
      </c>
      <c r="Q2666" s="20">
        <v>0.34</v>
      </c>
      <c r="R2666" s="20">
        <v>7.0000000000000007E-2</v>
      </c>
      <c r="S2666" s="20">
        <v>0.22</v>
      </c>
      <c r="T2666" s="20">
        <v>0</v>
      </c>
    </row>
    <row r="2667" spans="13:20" x14ac:dyDescent="0.2">
      <c r="M2667" s="20">
        <v>1.0301673996848233E-2</v>
      </c>
      <c r="N2667" s="20">
        <v>1.1253540208306216E-3</v>
      </c>
      <c r="O2667" s="20">
        <v>0.10923991782062996</v>
      </c>
      <c r="P2667" s="20"/>
      <c r="Q2667" s="20"/>
      <c r="R2667" s="20">
        <v>0.22</v>
      </c>
      <c r="S2667" s="20">
        <v>0.32</v>
      </c>
      <c r="T2667" s="20">
        <v>0.45999999999999985</v>
      </c>
    </row>
    <row r="2668" spans="13:20" x14ac:dyDescent="0.2">
      <c r="M2668" s="20">
        <v>1.3967112561819484E-2</v>
      </c>
      <c r="N2668" s="20">
        <v>2.0936947603957443E-3</v>
      </c>
      <c r="O2668" s="20">
        <v>0.14990176037666303</v>
      </c>
      <c r="P2668" s="20">
        <v>0.62</v>
      </c>
      <c r="Q2668" s="20">
        <v>0.38000000000000012</v>
      </c>
      <c r="R2668" s="20"/>
      <c r="S2668" s="20"/>
      <c r="T2668" s="20"/>
    </row>
    <row r="2669" spans="13:20" x14ac:dyDescent="0.2">
      <c r="M2669" s="20">
        <v>1.1579199744869626E-2</v>
      </c>
      <c r="N2669" s="20">
        <v>5.7484433074211504E-4</v>
      </c>
      <c r="O2669" s="20">
        <v>4.9644564685639027E-2</v>
      </c>
      <c r="P2669" s="20"/>
      <c r="Q2669" s="20"/>
      <c r="R2669" s="20"/>
      <c r="S2669" s="20">
        <v>0.95</v>
      </c>
      <c r="T2669" s="20">
        <v>5.0000000000000044E-2</v>
      </c>
    </row>
    <row r="2670" spans="13:20" x14ac:dyDescent="0.2">
      <c r="M2670" s="20">
        <v>1.8395715759419593E-2</v>
      </c>
      <c r="N2670" s="20">
        <v>1.2715798903901688E-3</v>
      </c>
      <c r="O2670" s="20">
        <v>6.9123697442381477E-2</v>
      </c>
      <c r="P2670" s="20"/>
      <c r="Q2670" s="20">
        <v>0.95</v>
      </c>
      <c r="R2670" s="20">
        <v>5.0000000000000044E-2</v>
      </c>
      <c r="S2670" s="20"/>
      <c r="T2670" s="20"/>
    </row>
    <row r="2671" spans="13:20" x14ac:dyDescent="0.2">
      <c r="M2671" s="20">
        <v>1.5855743691602361E-2</v>
      </c>
      <c r="N2671" s="20">
        <v>1.502772138379227E-3</v>
      </c>
      <c r="O2671" s="20">
        <v>9.4777776912169473E-2</v>
      </c>
      <c r="P2671" s="20"/>
      <c r="Q2671" s="20"/>
      <c r="R2671" s="20"/>
      <c r="S2671" s="20">
        <v>0.03</v>
      </c>
      <c r="T2671" s="20">
        <v>0.97</v>
      </c>
    </row>
    <row r="2672" spans="13:20" x14ac:dyDescent="0.2">
      <c r="M2672" s="20">
        <v>1.2647977234014287E-2</v>
      </c>
      <c r="N2672" s="20">
        <v>1.203407724322906E-3</v>
      </c>
      <c r="O2672" s="20">
        <v>9.5146259520974927E-2</v>
      </c>
      <c r="P2672" s="20"/>
      <c r="Q2672" s="20">
        <v>0.43</v>
      </c>
      <c r="R2672" s="20">
        <v>0.56999999999999995</v>
      </c>
      <c r="S2672" s="20"/>
      <c r="T2672" s="20"/>
    </row>
    <row r="2673" spans="13:20" x14ac:dyDescent="0.2">
      <c r="M2673" s="20">
        <v>1.0785346482839398E-2</v>
      </c>
      <c r="N2673" s="20">
        <v>1.109677320076055E-3</v>
      </c>
      <c r="O2673" s="20">
        <v>0.1028874985000868</v>
      </c>
      <c r="P2673" s="20"/>
      <c r="Q2673" s="20"/>
      <c r="R2673" s="20">
        <v>0.94</v>
      </c>
      <c r="S2673" s="20">
        <v>6.0000000000000053E-2</v>
      </c>
      <c r="T2673" s="20"/>
    </row>
    <row r="2674" spans="13:20" x14ac:dyDescent="0.2">
      <c r="M2674" s="20">
        <v>1.0387052353818597E-2</v>
      </c>
      <c r="N2674" s="20">
        <v>9.0502938532058654E-4</v>
      </c>
      <c r="O2674" s="20">
        <v>8.7130530827436353E-2</v>
      </c>
      <c r="P2674" s="20"/>
      <c r="Q2674" s="20">
        <v>0.05</v>
      </c>
      <c r="R2674" s="20">
        <v>0</v>
      </c>
      <c r="S2674" s="20">
        <v>0.61</v>
      </c>
      <c r="T2674" s="20">
        <v>0.33999999999999986</v>
      </c>
    </row>
    <row r="2675" spans="13:20" x14ac:dyDescent="0.2">
      <c r="M2675" s="20">
        <v>1.0520100903489368E-2</v>
      </c>
      <c r="N2675" s="20">
        <v>7.2613690807425257E-4</v>
      </c>
      <c r="O2675" s="20">
        <v>6.9023758872255994E-2</v>
      </c>
      <c r="P2675" s="20"/>
      <c r="Q2675" s="20"/>
      <c r="R2675" s="20"/>
      <c r="S2675" s="20">
        <v>0.8</v>
      </c>
      <c r="T2675" s="20">
        <v>0.19999999999999984</v>
      </c>
    </row>
    <row r="2676" spans="13:20" x14ac:dyDescent="0.2">
      <c r="M2676" s="20">
        <v>9.886018503842452E-3</v>
      </c>
      <c r="N2676" s="20">
        <v>7.5478328431706357E-4</v>
      </c>
      <c r="O2676" s="20">
        <v>7.6348560750083352E-2</v>
      </c>
      <c r="P2676" s="20"/>
      <c r="Q2676" s="20"/>
      <c r="R2676" s="20">
        <v>0.37</v>
      </c>
      <c r="S2676" s="20">
        <v>0.63</v>
      </c>
      <c r="T2676" s="20"/>
    </row>
    <row r="2677" spans="13:20" x14ac:dyDescent="0.2">
      <c r="M2677" s="20">
        <v>9.5521756003603357E-3</v>
      </c>
      <c r="N2677" s="20">
        <v>9.8414761532062637E-4</v>
      </c>
      <c r="O2677" s="20">
        <v>0.10302863520259213</v>
      </c>
      <c r="P2677" s="20"/>
      <c r="Q2677" s="20"/>
      <c r="R2677" s="20">
        <v>0.22</v>
      </c>
      <c r="S2677" s="20">
        <v>0.46</v>
      </c>
      <c r="T2677" s="20">
        <v>0.31999999999999984</v>
      </c>
    </row>
    <row r="2678" spans="13:20" x14ac:dyDescent="0.2">
      <c r="M2678" s="20">
        <v>1.4830630810695749E-2</v>
      </c>
      <c r="N2678" s="20">
        <v>1.7027143933541276E-3</v>
      </c>
      <c r="O2678" s="20">
        <v>0.11481065202743378</v>
      </c>
      <c r="P2678" s="20">
        <v>0.16000000000000014</v>
      </c>
      <c r="Q2678" s="20"/>
      <c r="R2678" s="20"/>
      <c r="S2678" s="20"/>
      <c r="T2678" s="20">
        <v>0.84</v>
      </c>
    </row>
    <row r="2679" spans="13:20" x14ac:dyDescent="0.2">
      <c r="M2679" s="20">
        <v>9.7295247995904284E-3</v>
      </c>
      <c r="N2679" s="20">
        <v>1.4918681755431503E-3</v>
      </c>
      <c r="O2679" s="20">
        <v>0.15333412538359031</v>
      </c>
      <c r="P2679" s="20">
        <v>0.37999999999999989</v>
      </c>
      <c r="Q2679" s="20"/>
      <c r="R2679" s="20">
        <v>0.21</v>
      </c>
      <c r="S2679" s="20">
        <v>0.36</v>
      </c>
      <c r="T2679" s="20">
        <v>0.05</v>
      </c>
    </row>
    <row r="2680" spans="13:20" x14ac:dyDescent="0.2">
      <c r="M2680" s="20">
        <v>1.3826620564832233E-2</v>
      </c>
      <c r="N2680" s="20">
        <v>2.2646992459197505E-3</v>
      </c>
      <c r="O2680" s="20">
        <v>0.16379268059759833</v>
      </c>
      <c r="P2680" s="20">
        <v>0.75</v>
      </c>
      <c r="Q2680" s="20">
        <v>0.25</v>
      </c>
      <c r="R2680" s="20"/>
      <c r="S2680" s="20"/>
      <c r="T2680" s="20"/>
    </row>
    <row r="2681" spans="13:20" x14ac:dyDescent="0.2">
      <c r="M2681" s="20">
        <v>1.3290442570939812E-2</v>
      </c>
      <c r="N2681" s="20">
        <v>2.3818201227316809E-3</v>
      </c>
      <c r="O2681" s="20">
        <v>0.17921300287920014</v>
      </c>
      <c r="P2681" s="20">
        <v>0.85</v>
      </c>
      <c r="Q2681" s="20">
        <v>0.04</v>
      </c>
      <c r="R2681" s="20">
        <v>0.1100000000000001</v>
      </c>
      <c r="S2681" s="20"/>
      <c r="T2681" s="20"/>
    </row>
    <row r="2682" spans="13:20" x14ac:dyDescent="0.2">
      <c r="M2682" s="20">
        <v>1.1037677669451181E-2</v>
      </c>
      <c r="N2682" s="20">
        <v>1.1345821646907212E-3</v>
      </c>
      <c r="O2682" s="20">
        <v>0.10279174647678721</v>
      </c>
      <c r="P2682" s="20"/>
      <c r="Q2682" s="20"/>
      <c r="R2682" s="20">
        <v>0.98</v>
      </c>
      <c r="S2682" s="20">
        <v>2.0000000000000018E-2</v>
      </c>
      <c r="T2682" s="20"/>
    </row>
    <row r="2683" spans="13:20" x14ac:dyDescent="0.2">
      <c r="M2683" s="20">
        <v>1.4579219008078452E-2</v>
      </c>
      <c r="N2683" s="20">
        <v>2.5803998345794547E-3</v>
      </c>
      <c r="O2683" s="20">
        <v>0.17699163673648338</v>
      </c>
      <c r="P2683" s="20">
        <v>0.99</v>
      </c>
      <c r="Q2683" s="20">
        <v>1.000000000000012E-2</v>
      </c>
      <c r="R2683" s="20"/>
      <c r="S2683" s="20"/>
      <c r="T2683" s="20"/>
    </row>
    <row r="2684" spans="13:20" x14ac:dyDescent="0.2">
      <c r="M2684" s="20">
        <v>1.8263847217394928E-2</v>
      </c>
      <c r="N2684" s="20">
        <v>1.2702688871965677E-3</v>
      </c>
      <c r="O2684" s="20">
        <v>6.9551002703676423E-2</v>
      </c>
      <c r="P2684" s="20"/>
      <c r="Q2684" s="20">
        <v>0.94</v>
      </c>
      <c r="R2684" s="20">
        <v>6.0000000000000164E-2</v>
      </c>
      <c r="S2684" s="20"/>
      <c r="T2684" s="20"/>
    </row>
    <row r="2685" spans="13:20" x14ac:dyDescent="0.2">
      <c r="M2685" s="20">
        <v>1.0286344911044843E-2</v>
      </c>
      <c r="N2685" s="20">
        <v>1.5103340710597431E-3</v>
      </c>
      <c r="O2685" s="20">
        <v>0.14682903248150267</v>
      </c>
      <c r="P2685" s="20">
        <v>0.33999999999999986</v>
      </c>
      <c r="Q2685" s="20"/>
      <c r="R2685" s="20"/>
      <c r="S2685" s="20">
        <v>0.38</v>
      </c>
      <c r="T2685" s="20">
        <v>0.28000000000000003</v>
      </c>
    </row>
    <row r="2686" spans="13:20" x14ac:dyDescent="0.2">
      <c r="M2686" s="20">
        <v>1.6397669149737778E-2</v>
      </c>
      <c r="N2686" s="20">
        <v>1.5938354950178789E-3</v>
      </c>
      <c r="O2686" s="20">
        <v>9.7198905555632986E-2</v>
      </c>
      <c r="P2686" s="20">
        <v>0.24</v>
      </c>
      <c r="Q2686" s="20">
        <v>0.7599999999999999</v>
      </c>
      <c r="R2686" s="20"/>
      <c r="S2686" s="20"/>
      <c r="T2686" s="20">
        <v>0</v>
      </c>
    </row>
    <row r="2687" spans="13:20" x14ac:dyDescent="0.2">
      <c r="M2687" s="20">
        <v>1.1177279953282588E-2</v>
      </c>
      <c r="N2687" s="20">
        <v>1.6536494114475946E-3</v>
      </c>
      <c r="O2687" s="20">
        <v>0.1479473913473863</v>
      </c>
      <c r="P2687" s="20">
        <v>0.35</v>
      </c>
      <c r="Q2687" s="20">
        <v>0.24</v>
      </c>
      <c r="R2687" s="20">
        <v>0.36</v>
      </c>
      <c r="S2687" s="20">
        <v>5.0000000000000044E-2</v>
      </c>
      <c r="T2687" s="20"/>
    </row>
    <row r="2688" spans="13:20" x14ac:dyDescent="0.2">
      <c r="M2688" s="20">
        <v>1.2787403730467569E-2</v>
      </c>
      <c r="N2688" s="20">
        <v>1.5528719999706297E-3</v>
      </c>
      <c r="O2688" s="20">
        <v>0.12143762977239238</v>
      </c>
      <c r="P2688" s="20">
        <v>0.12</v>
      </c>
      <c r="Q2688" s="20">
        <v>0.27</v>
      </c>
      <c r="R2688" s="20">
        <v>0.10000000000000009</v>
      </c>
      <c r="S2688" s="20"/>
      <c r="T2688" s="20">
        <v>0.51</v>
      </c>
    </row>
    <row r="2689" spans="13:20" x14ac:dyDescent="0.2">
      <c r="M2689" s="20">
        <v>1.3009110546230463E-2</v>
      </c>
      <c r="N2689" s="20">
        <v>2.0845028072481913E-3</v>
      </c>
      <c r="O2689" s="20">
        <v>0.16023407594550726</v>
      </c>
      <c r="P2689" s="20">
        <v>0.52000000000000013</v>
      </c>
      <c r="Q2689" s="20"/>
      <c r="R2689" s="20"/>
      <c r="S2689" s="20"/>
      <c r="T2689" s="20">
        <v>0.48</v>
      </c>
    </row>
    <row r="2690" spans="13:20" x14ac:dyDescent="0.2">
      <c r="M2690" s="20">
        <v>9.7346562493406067E-3</v>
      </c>
      <c r="N2690" s="20">
        <v>1.42533260817708E-3</v>
      </c>
      <c r="O2690" s="20">
        <v>0.14641838105722813</v>
      </c>
      <c r="P2690" s="20">
        <v>0.18000000000000005</v>
      </c>
      <c r="Q2690" s="20"/>
      <c r="R2690" s="20">
        <v>0.46</v>
      </c>
      <c r="S2690" s="20">
        <v>0.12</v>
      </c>
      <c r="T2690" s="20">
        <v>0.24</v>
      </c>
    </row>
    <row r="2691" spans="13:20" x14ac:dyDescent="0.2">
      <c r="M2691" s="20">
        <v>9.9803990432990597E-3</v>
      </c>
      <c r="N2691" s="20">
        <v>1.0643487613965794E-3</v>
      </c>
      <c r="O2691" s="20">
        <v>0.10664390840276008</v>
      </c>
      <c r="P2691" s="20"/>
      <c r="Q2691" s="20"/>
      <c r="R2691" s="20">
        <v>0.77</v>
      </c>
      <c r="S2691" s="20">
        <v>0.17</v>
      </c>
      <c r="T2691" s="20">
        <v>5.9999999999999942E-2</v>
      </c>
    </row>
    <row r="2692" spans="13:20" x14ac:dyDescent="0.2">
      <c r="M2692" s="20">
        <v>1.0853249338257287E-2</v>
      </c>
      <c r="N2692" s="20">
        <v>1.2981973875854735E-3</v>
      </c>
      <c r="O2692" s="20">
        <v>0.11961370711436414</v>
      </c>
      <c r="P2692" s="20">
        <v>0.09</v>
      </c>
      <c r="Q2692" s="20">
        <v>0.16</v>
      </c>
      <c r="R2692" s="20">
        <v>0.75000000000000011</v>
      </c>
      <c r="S2692" s="20"/>
      <c r="T2692" s="20"/>
    </row>
    <row r="2693" spans="13:20" x14ac:dyDescent="0.2">
      <c r="M2693" s="20">
        <v>1.2892704871804056E-2</v>
      </c>
      <c r="N2693" s="20">
        <v>1.2073407339037098E-3</v>
      </c>
      <c r="O2693" s="20">
        <v>9.364526264338266E-2</v>
      </c>
      <c r="P2693" s="20">
        <v>0</v>
      </c>
      <c r="Q2693" s="20">
        <v>0.46</v>
      </c>
      <c r="R2693" s="20">
        <v>0.54</v>
      </c>
      <c r="S2693" s="20"/>
      <c r="T2693" s="20"/>
    </row>
    <row r="2694" spans="13:20" x14ac:dyDescent="0.2">
      <c r="M2694" s="20">
        <v>9.6499279316190414E-3</v>
      </c>
      <c r="N2694" s="20">
        <v>1.6430192268067872E-3</v>
      </c>
      <c r="O2694" s="20">
        <v>0.17026233133029475</v>
      </c>
      <c r="P2694" s="20">
        <v>0.51</v>
      </c>
      <c r="Q2694" s="20">
        <v>0.02</v>
      </c>
      <c r="R2694" s="20">
        <v>0.13</v>
      </c>
      <c r="S2694" s="20">
        <v>0.19</v>
      </c>
      <c r="T2694" s="20">
        <v>0.03</v>
      </c>
    </row>
    <row r="2695" spans="13:20" x14ac:dyDescent="0.2">
      <c r="M2695" s="20">
        <v>1.2924805853530239E-2</v>
      </c>
      <c r="N2695" s="20">
        <v>1.7461101459589731E-3</v>
      </c>
      <c r="O2695" s="20">
        <v>0.13509759185141235</v>
      </c>
      <c r="P2695" s="20">
        <v>0.27</v>
      </c>
      <c r="Q2695" s="20">
        <v>0.05</v>
      </c>
      <c r="R2695" s="20">
        <v>0</v>
      </c>
      <c r="S2695" s="20">
        <v>0.06</v>
      </c>
      <c r="T2695" s="20">
        <v>0.62</v>
      </c>
    </row>
    <row r="2696" spans="13:20" x14ac:dyDescent="0.2">
      <c r="M2696" s="20">
        <v>1.1887518302706117E-2</v>
      </c>
      <c r="N2696" s="20">
        <v>1.5690147528557407E-3</v>
      </c>
      <c r="O2696" s="20">
        <v>0.13198841952559306</v>
      </c>
      <c r="P2696" s="20">
        <v>0.26</v>
      </c>
      <c r="Q2696" s="20">
        <v>0.35</v>
      </c>
      <c r="R2696" s="20">
        <v>0.3899999999999999</v>
      </c>
      <c r="S2696" s="20"/>
      <c r="T2696" s="20"/>
    </row>
    <row r="2697" spans="13:20" x14ac:dyDescent="0.2">
      <c r="M2697" s="20">
        <v>1.1405326812685487E-2</v>
      </c>
      <c r="N2697" s="20">
        <v>1.1758766572572809E-3</v>
      </c>
      <c r="O2697" s="20">
        <v>0.10309890076533548</v>
      </c>
      <c r="P2697" s="20"/>
      <c r="Q2697" s="20">
        <v>0.22</v>
      </c>
      <c r="R2697" s="20">
        <v>0.78</v>
      </c>
      <c r="S2697" s="20"/>
      <c r="T2697" s="20"/>
    </row>
    <row r="2698" spans="13:20" x14ac:dyDescent="0.2">
      <c r="M2698" s="20">
        <v>1.0159122423912842E-2</v>
      </c>
      <c r="N2698" s="20">
        <v>7.9524640064596497E-4</v>
      </c>
      <c r="O2698" s="20">
        <v>7.827904492755107E-2</v>
      </c>
      <c r="P2698" s="20"/>
      <c r="Q2698" s="20"/>
      <c r="R2698" s="20">
        <v>0.03</v>
      </c>
      <c r="S2698" s="20">
        <v>0.72</v>
      </c>
      <c r="T2698" s="20">
        <v>0.25</v>
      </c>
    </row>
    <row r="2699" spans="13:20" x14ac:dyDescent="0.2">
      <c r="M2699" s="20">
        <v>1.2984062285972899E-2</v>
      </c>
      <c r="N2699" s="20">
        <v>2.0369839574213228E-3</v>
      </c>
      <c r="O2699" s="20">
        <v>0.15688340925643449</v>
      </c>
      <c r="P2699" s="20">
        <v>0.48</v>
      </c>
      <c r="Q2699" s="20">
        <v>2.0000000000000018E-2</v>
      </c>
      <c r="R2699" s="20"/>
      <c r="S2699" s="20"/>
      <c r="T2699" s="20">
        <v>0.5</v>
      </c>
    </row>
    <row r="2700" spans="13:20" x14ac:dyDescent="0.2">
      <c r="M2700" s="20">
        <v>9.6038799216605214E-3</v>
      </c>
      <c r="N2700" s="20">
        <v>1.2405618713998232E-3</v>
      </c>
      <c r="O2700" s="20">
        <v>0.12917298857536411</v>
      </c>
      <c r="P2700" s="20">
        <v>0.12</v>
      </c>
      <c r="Q2700" s="20">
        <v>6.0000000000000053E-2</v>
      </c>
      <c r="R2700" s="20">
        <v>0.28999999999999998</v>
      </c>
      <c r="S2700" s="20">
        <v>0.28999999999999998</v>
      </c>
      <c r="T2700" s="20">
        <v>0.24</v>
      </c>
    </row>
    <row r="2701" spans="13:20" x14ac:dyDescent="0.2">
      <c r="M2701" s="20">
        <v>1.2821137997494058E-2</v>
      </c>
      <c r="N2701" s="20">
        <v>2.0955174447872507E-3</v>
      </c>
      <c r="O2701" s="20">
        <v>0.16344239062061636</v>
      </c>
      <c r="P2701" s="20">
        <v>0.54</v>
      </c>
      <c r="Q2701" s="20">
        <v>4.0000000000000036E-2</v>
      </c>
      <c r="R2701" s="20"/>
      <c r="S2701" s="20"/>
      <c r="T2701" s="20">
        <v>0.42</v>
      </c>
    </row>
    <row r="2702" spans="13:20" x14ac:dyDescent="0.2">
      <c r="M2702" s="20">
        <v>1.5618520989042381E-2</v>
      </c>
      <c r="N2702" s="20">
        <v>1.6072672898806116E-3</v>
      </c>
      <c r="O2702" s="20">
        <v>0.10290777795210161</v>
      </c>
      <c r="P2702" s="20">
        <v>7.0000000000000007E-2</v>
      </c>
      <c r="Q2702" s="20">
        <v>1.1102230246251565E-16</v>
      </c>
      <c r="R2702" s="20"/>
      <c r="S2702" s="20"/>
      <c r="T2702" s="20">
        <v>0.93</v>
      </c>
    </row>
    <row r="2703" spans="13:20" x14ac:dyDescent="0.2">
      <c r="M2703" s="20">
        <v>1.2954703186351401E-2</v>
      </c>
      <c r="N2703" s="20">
        <v>2.1481342095638679E-3</v>
      </c>
      <c r="O2703" s="20">
        <v>0.16581886737683524</v>
      </c>
      <c r="P2703" s="20">
        <v>0.57999999999999996</v>
      </c>
      <c r="Q2703" s="20"/>
      <c r="R2703" s="20"/>
      <c r="S2703" s="20"/>
      <c r="T2703" s="20">
        <v>0.42</v>
      </c>
    </row>
    <row r="2704" spans="13:20" x14ac:dyDescent="0.2">
      <c r="M2704" s="20">
        <v>1.2888299763886347E-2</v>
      </c>
      <c r="N2704" s="20">
        <v>1.5243386158345315E-3</v>
      </c>
      <c r="O2704" s="20">
        <v>0.11827305725040656</v>
      </c>
      <c r="P2704" s="20">
        <v>0.12999999999999989</v>
      </c>
      <c r="Q2704" s="20"/>
      <c r="R2704" s="20">
        <v>0.04</v>
      </c>
      <c r="S2704" s="20">
        <v>0.13</v>
      </c>
      <c r="T2704" s="20">
        <v>0.7</v>
      </c>
    </row>
    <row r="2705" spans="13:20" x14ac:dyDescent="0.2">
      <c r="M2705" s="20">
        <v>1.0191003433497541E-2</v>
      </c>
      <c r="N2705" s="20">
        <v>1.1733379057519439E-3</v>
      </c>
      <c r="O2705" s="20">
        <v>0.11513467868092513</v>
      </c>
      <c r="P2705" s="20">
        <v>0.26</v>
      </c>
      <c r="Q2705" s="20"/>
      <c r="R2705" s="20"/>
      <c r="S2705" s="20">
        <v>0.63</v>
      </c>
      <c r="T2705" s="20">
        <v>0.11</v>
      </c>
    </row>
    <row r="2706" spans="13:20" x14ac:dyDescent="0.2">
      <c r="M2706" s="20">
        <v>1.3130109418637157E-2</v>
      </c>
      <c r="N2706" s="20">
        <v>1.7800654007719061E-3</v>
      </c>
      <c r="O2706" s="20">
        <v>0.13557125413176249</v>
      </c>
      <c r="P2706" s="20">
        <v>0.28999999999999992</v>
      </c>
      <c r="Q2706" s="20"/>
      <c r="R2706" s="20"/>
      <c r="S2706" s="20">
        <v>0.06</v>
      </c>
      <c r="T2706" s="20">
        <v>0.65</v>
      </c>
    </row>
    <row r="2707" spans="13:20" x14ac:dyDescent="0.2">
      <c r="M2707" s="20">
        <v>1.0206866714333995E-2</v>
      </c>
      <c r="N2707" s="20">
        <v>8.9760182905067559E-4</v>
      </c>
      <c r="O2707" s="20">
        <v>8.7940976812220933E-2</v>
      </c>
      <c r="P2707" s="20"/>
      <c r="Q2707" s="20"/>
      <c r="R2707" s="20"/>
      <c r="S2707" s="20">
        <v>0.63</v>
      </c>
      <c r="T2707" s="20">
        <v>0.36999999999999988</v>
      </c>
    </row>
    <row r="2708" spans="13:20" x14ac:dyDescent="0.2">
      <c r="M2708" s="20">
        <v>1.179936657269203E-2</v>
      </c>
      <c r="N2708" s="20">
        <v>1.5455327622170027E-3</v>
      </c>
      <c r="O2708" s="20">
        <v>0.13098438400870777</v>
      </c>
      <c r="P2708" s="20">
        <v>0.1399999999999999</v>
      </c>
      <c r="Q2708" s="20"/>
      <c r="R2708" s="20">
        <v>0.3</v>
      </c>
      <c r="S2708" s="20">
        <v>0.02</v>
      </c>
      <c r="T2708" s="20">
        <v>0.54</v>
      </c>
    </row>
    <row r="2709" spans="13:20" x14ac:dyDescent="0.2">
      <c r="M2709" s="20">
        <v>1.0342667118598624E-2</v>
      </c>
      <c r="N2709" s="20">
        <v>9.5811885998353099E-4</v>
      </c>
      <c r="O2709" s="20">
        <v>9.2637503363189641E-2</v>
      </c>
      <c r="P2709" s="20"/>
      <c r="Q2709" s="20"/>
      <c r="R2709" s="20"/>
      <c r="S2709" s="20">
        <v>0.56999999999999995</v>
      </c>
      <c r="T2709" s="20">
        <v>0.43000000000000016</v>
      </c>
    </row>
    <row r="2710" spans="13:20" x14ac:dyDescent="0.2">
      <c r="M2710" s="20">
        <v>1.4288376155840431E-2</v>
      </c>
      <c r="N2710" s="20">
        <v>1.9753070396483548E-3</v>
      </c>
      <c r="O2710" s="20">
        <v>0.13824573332225301</v>
      </c>
      <c r="P2710" s="20">
        <v>0.53</v>
      </c>
      <c r="Q2710" s="20">
        <v>0.46999999999999986</v>
      </c>
      <c r="R2710" s="20"/>
      <c r="S2710" s="20"/>
      <c r="T2710" s="20"/>
    </row>
    <row r="2711" spans="13:20" x14ac:dyDescent="0.2">
      <c r="M2711" s="20">
        <v>1.3328196765943155E-2</v>
      </c>
      <c r="N2711" s="20">
        <v>2.3602388839494589E-3</v>
      </c>
      <c r="O2711" s="20">
        <v>0.17708613741211068</v>
      </c>
      <c r="P2711" s="20">
        <v>0.77999999999999992</v>
      </c>
      <c r="Q2711" s="20"/>
      <c r="R2711" s="20"/>
      <c r="S2711" s="20"/>
      <c r="T2711" s="20">
        <v>0.22</v>
      </c>
    </row>
    <row r="2712" spans="13:20" x14ac:dyDescent="0.2">
      <c r="M2712" s="20">
        <v>1.3967112561819482E-2</v>
      </c>
      <c r="N2712" s="20">
        <v>2.0936947603957439E-3</v>
      </c>
      <c r="O2712" s="20">
        <v>0.14990176037666303</v>
      </c>
      <c r="P2712" s="20">
        <v>0.62</v>
      </c>
      <c r="Q2712" s="20">
        <v>0.38</v>
      </c>
      <c r="R2712" s="20"/>
      <c r="S2712" s="20"/>
      <c r="T2712" s="20"/>
    </row>
    <row r="2713" spans="13:20" x14ac:dyDescent="0.2">
      <c r="M2713" s="20">
        <v>1.3735378999056679E-2</v>
      </c>
      <c r="N2713" s="20">
        <v>1.5885132453607345E-3</v>
      </c>
      <c r="O2713" s="20">
        <v>0.11565121322606613</v>
      </c>
      <c r="P2713" s="20">
        <v>0.11</v>
      </c>
      <c r="Q2713" s="20">
        <v>0.24</v>
      </c>
      <c r="R2713" s="20"/>
      <c r="S2713" s="20"/>
      <c r="T2713" s="20">
        <v>0.65</v>
      </c>
    </row>
    <row r="2714" spans="13:20" x14ac:dyDescent="0.2">
      <c r="M2714" s="20">
        <v>9.9903983160641897E-3</v>
      </c>
      <c r="N2714" s="20">
        <v>1.0100579416173908E-3</v>
      </c>
      <c r="O2714" s="20">
        <v>0.10110286994195768</v>
      </c>
      <c r="P2714" s="20"/>
      <c r="Q2714" s="20"/>
      <c r="R2714" s="20">
        <v>0.78</v>
      </c>
      <c r="S2714" s="20">
        <v>0.21999999999999997</v>
      </c>
      <c r="T2714" s="20"/>
    </row>
    <row r="2715" spans="13:20" x14ac:dyDescent="0.2">
      <c r="M2715" s="20">
        <v>1.6360203031018032E-2</v>
      </c>
      <c r="N2715" s="20">
        <v>1.2506038392925494E-3</v>
      </c>
      <c r="O2715" s="20">
        <v>7.6441828803803624E-2</v>
      </c>
      <c r="P2715" s="20"/>
      <c r="Q2715" s="20">
        <v>0.79</v>
      </c>
      <c r="R2715" s="20">
        <v>0.20999999999999996</v>
      </c>
      <c r="S2715" s="20"/>
      <c r="T2715" s="20"/>
    </row>
    <row r="2716" spans="13:20" x14ac:dyDescent="0.2">
      <c r="M2716" s="20">
        <v>1.0069275629952633E-2</v>
      </c>
      <c r="N2716" s="20">
        <v>1.0225103639247238E-3</v>
      </c>
      <c r="O2716" s="20">
        <v>0.10154755927855497</v>
      </c>
      <c r="P2716" s="20"/>
      <c r="Q2716" s="20"/>
      <c r="R2716" s="20">
        <v>0.8</v>
      </c>
      <c r="S2716" s="20">
        <v>0.19999999999999996</v>
      </c>
      <c r="T2716" s="20"/>
    </row>
    <row r="2717" spans="13:20" x14ac:dyDescent="0.2">
      <c r="M2717" s="20">
        <v>1.0767198096788898E-2</v>
      </c>
      <c r="N2717" s="20">
        <v>1.2554832851762383E-3</v>
      </c>
      <c r="O2717" s="20">
        <v>0.11660259929188643</v>
      </c>
      <c r="P2717" s="20"/>
      <c r="Q2717" s="20"/>
      <c r="R2717" s="20">
        <v>0.51</v>
      </c>
      <c r="S2717" s="20">
        <v>0.08</v>
      </c>
      <c r="T2717" s="20">
        <v>0.41000000000000003</v>
      </c>
    </row>
    <row r="2718" spans="13:20" x14ac:dyDescent="0.2">
      <c r="M2718" s="20">
        <v>1.0859708596116817E-2</v>
      </c>
      <c r="N2718" s="20">
        <v>8.7512924204130333E-4</v>
      </c>
      <c r="O2718" s="20">
        <v>8.0584965452409049E-2</v>
      </c>
      <c r="P2718" s="20">
        <v>0.14999999999999991</v>
      </c>
      <c r="Q2718" s="20"/>
      <c r="R2718" s="20"/>
      <c r="S2718" s="20">
        <v>0.81</v>
      </c>
      <c r="T2718" s="20">
        <v>0.04</v>
      </c>
    </row>
    <row r="2719" spans="13:20" x14ac:dyDescent="0.2">
      <c r="M2719" s="20">
        <v>1.2828770592657308E-2</v>
      </c>
      <c r="N2719" s="20">
        <v>1.7929710473217008E-3</v>
      </c>
      <c r="O2719" s="20">
        <v>0.13976172029671557</v>
      </c>
      <c r="P2719" s="20">
        <v>0.31</v>
      </c>
      <c r="Q2719" s="20">
        <v>0.27</v>
      </c>
      <c r="R2719" s="20"/>
      <c r="S2719" s="20"/>
      <c r="T2719" s="20">
        <v>0.42</v>
      </c>
    </row>
    <row r="2720" spans="13:20" x14ac:dyDescent="0.2">
      <c r="M2720" s="20">
        <v>9.8862128012002053E-3</v>
      </c>
      <c r="N2720" s="20">
        <v>7.524170338318733E-4</v>
      </c>
      <c r="O2720" s="20">
        <v>7.6107711715504289E-2</v>
      </c>
      <c r="P2720" s="20"/>
      <c r="Q2720" s="20"/>
      <c r="R2720" s="20">
        <v>0.35</v>
      </c>
      <c r="S2720" s="20">
        <v>0.64</v>
      </c>
      <c r="T2720" s="20">
        <v>1.000000000000012E-2</v>
      </c>
    </row>
    <row r="2721" spans="13:20" x14ac:dyDescent="0.2">
      <c r="M2721" s="20">
        <v>9.7939735866188482E-3</v>
      </c>
      <c r="N2721" s="20">
        <v>7.734619177780631E-4</v>
      </c>
      <c r="O2721" s="20">
        <v>7.8973249308617308E-2</v>
      </c>
      <c r="P2721" s="20"/>
      <c r="Q2721" s="20"/>
      <c r="R2721" s="20">
        <v>0.4</v>
      </c>
      <c r="S2721" s="20">
        <v>0.6</v>
      </c>
      <c r="T2721" s="20"/>
    </row>
    <row r="2722" spans="13:20" x14ac:dyDescent="0.2">
      <c r="M2722" s="20">
        <v>1.0520100903489369E-2</v>
      </c>
      <c r="N2722" s="20">
        <v>7.2613690807425278E-4</v>
      </c>
      <c r="O2722" s="20">
        <v>6.9023758872255994E-2</v>
      </c>
      <c r="P2722" s="20"/>
      <c r="Q2722" s="20"/>
      <c r="R2722" s="20"/>
      <c r="S2722" s="20">
        <v>0.8</v>
      </c>
      <c r="T2722" s="20">
        <v>0.19999999999999996</v>
      </c>
    </row>
    <row r="2723" spans="13:20" x14ac:dyDescent="0.2">
      <c r="M2723" s="20">
        <v>1.3039397164239816E-2</v>
      </c>
      <c r="N2723" s="20">
        <v>1.8286564519699479E-3</v>
      </c>
      <c r="O2723" s="20">
        <v>0.14024087378709404</v>
      </c>
      <c r="P2723" s="20">
        <v>0.31</v>
      </c>
      <c r="Q2723" s="20">
        <v>0.12999999999999978</v>
      </c>
      <c r="R2723" s="20"/>
      <c r="S2723" s="20"/>
      <c r="T2723" s="20">
        <v>0.56000000000000005</v>
      </c>
    </row>
    <row r="2724" spans="13:20" x14ac:dyDescent="0.2">
      <c r="M2724" s="20">
        <v>1.3905988543486666E-2</v>
      </c>
      <c r="N2724" s="20">
        <v>1.2217617690333232E-3</v>
      </c>
      <c r="O2724" s="20">
        <v>8.7858677951059866E-2</v>
      </c>
      <c r="P2724" s="20"/>
      <c r="Q2724" s="20">
        <v>0.56999999999999995</v>
      </c>
      <c r="R2724" s="20">
        <v>0.43000000000000016</v>
      </c>
      <c r="S2724" s="20"/>
      <c r="T2724" s="20"/>
    </row>
    <row r="2725" spans="13:20" x14ac:dyDescent="0.2">
      <c r="M2725" s="20">
        <v>1.1430611517303882E-2</v>
      </c>
      <c r="N2725" s="20">
        <v>1.5317401082264224E-3</v>
      </c>
      <c r="O2725" s="20">
        <v>0.13400333883341625</v>
      </c>
      <c r="P2725" s="20">
        <v>0.15</v>
      </c>
      <c r="Q2725" s="20">
        <v>0.19</v>
      </c>
      <c r="R2725" s="20">
        <v>0.28999999999999998</v>
      </c>
      <c r="S2725" s="20">
        <v>0</v>
      </c>
      <c r="T2725" s="20">
        <v>0.37</v>
      </c>
    </row>
    <row r="2726" spans="13:20" x14ac:dyDescent="0.2">
      <c r="M2726" s="20">
        <v>1.0737484730818526E-2</v>
      </c>
      <c r="N2726" s="20">
        <v>6.8579222078568277E-4</v>
      </c>
      <c r="O2726" s="20">
        <v>6.3868982166497043E-2</v>
      </c>
      <c r="P2726" s="20"/>
      <c r="Q2726" s="20"/>
      <c r="R2726" s="20">
        <v>0</v>
      </c>
      <c r="S2726" s="20">
        <v>0.84</v>
      </c>
      <c r="T2726" s="20">
        <v>0.16000000000000003</v>
      </c>
    </row>
    <row r="2727" spans="13:20" x14ac:dyDescent="0.2">
      <c r="M2727" s="20">
        <v>1.1801528314927633E-2</v>
      </c>
      <c r="N2727" s="20">
        <v>1.3126196435610997E-3</v>
      </c>
      <c r="O2727" s="20">
        <v>0.11122454723942664</v>
      </c>
      <c r="P2727" s="20"/>
      <c r="Q2727" s="20">
        <v>0.13</v>
      </c>
      <c r="R2727" s="20">
        <v>0.25</v>
      </c>
      <c r="S2727" s="20">
        <v>0.09</v>
      </c>
      <c r="T2727" s="20">
        <v>0.53000000000000014</v>
      </c>
    </row>
    <row r="2728" spans="13:20" x14ac:dyDescent="0.2">
      <c r="M2728" s="20">
        <v>1.0933102399933914E-2</v>
      </c>
      <c r="N2728" s="20">
        <v>6.5553370531925507E-4</v>
      </c>
      <c r="O2728" s="20">
        <v>5.9958617539630603E-2</v>
      </c>
      <c r="P2728" s="20"/>
      <c r="Q2728" s="20"/>
      <c r="R2728" s="20"/>
      <c r="S2728" s="20">
        <v>0.87</v>
      </c>
      <c r="T2728" s="20">
        <v>0.12999999999999989</v>
      </c>
    </row>
    <row r="2729" spans="13:20" x14ac:dyDescent="0.2">
      <c r="M2729" s="20">
        <v>1.4273683869026681E-2</v>
      </c>
      <c r="N2729" s="20">
        <v>1.3052747096554155E-3</v>
      </c>
      <c r="O2729" s="20">
        <v>9.14462392212433E-2</v>
      </c>
      <c r="P2729" s="20">
        <v>0.13</v>
      </c>
      <c r="Q2729" s="20">
        <v>0.57999999999999996</v>
      </c>
      <c r="R2729" s="20">
        <v>0.12</v>
      </c>
      <c r="S2729" s="20">
        <v>0.16999999999999993</v>
      </c>
      <c r="T2729" s="20"/>
    </row>
    <row r="2730" spans="13:20" x14ac:dyDescent="0.2">
      <c r="M2730" s="20">
        <v>1.0671036664519731E-2</v>
      </c>
      <c r="N2730" s="20">
        <v>1.382671774895969E-3</v>
      </c>
      <c r="O2730" s="20">
        <v>0.12957239473210999</v>
      </c>
      <c r="P2730" s="20">
        <v>0.34</v>
      </c>
      <c r="Q2730" s="20">
        <v>0.09</v>
      </c>
      <c r="R2730" s="20">
        <v>1.000000000000012E-2</v>
      </c>
      <c r="S2730" s="20">
        <v>0.48</v>
      </c>
      <c r="T2730" s="20">
        <v>0.08</v>
      </c>
    </row>
    <row r="2731" spans="13:20" x14ac:dyDescent="0.2">
      <c r="M2731" s="20">
        <v>1.1827437033241116E-2</v>
      </c>
      <c r="N2731" s="20">
        <v>1.1800146400706665E-3</v>
      </c>
      <c r="O2731" s="20">
        <v>9.9769259963441354E-2</v>
      </c>
      <c r="P2731" s="20"/>
      <c r="Q2731" s="20"/>
      <c r="R2731" s="20"/>
      <c r="S2731" s="20">
        <v>0.35</v>
      </c>
      <c r="T2731" s="20">
        <v>0.65000000000000013</v>
      </c>
    </row>
    <row r="2732" spans="13:20" x14ac:dyDescent="0.2">
      <c r="M2732" s="20">
        <v>9.9914051648143775E-3</v>
      </c>
      <c r="N2732" s="20">
        <v>1.456167670684828E-3</v>
      </c>
      <c r="O2732" s="20">
        <v>0.14574202994117905</v>
      </c>
      <c r="P2732" s="20">
        <v>0.28000000000000003</v>
      </c>
      <c r="Q2732" s="20">
        <v>0</v>
      </c>
      <c r="R2732" s="20">
        <v>0.08</v>
      </c>
      <c r="S2732" s="20">
        <v>0.33999999999999997</v>
      </c>
      <c r="T2732" s="20">
        <v>0.3</v>
      </c>
    </row>
    <row r="2733" spans="13:20" x14ac:dyDescent="0.2">
      <c r="M2733" s="20">
        <v>1.0943492384217027E-2</v>
      </c>
      <c r="N2733" s="20">
        <v>7.9312696568208118E-4</v>
      </c>
      <c r="O2733" s="20">
        <v>7.2474758316270982E-2</v>
      </c>
      <c r="P2733" s="20"/>
      <c r="Q2733" s="20">
        <v>0.15</v>
      </c>
      <c r="R2733" s="20">
        <v>0.25</v>
      </c>
      <c r="S2733" s="20">
        <v>0.6</v>
      </c>
      <c r="T2733" s="20"/>
    </row>
    <row r="2734" spans="13:20" x14ac:dyDescent="0.2">
      <c r="M2734" s="20">
        <v>1.3072806594344408E-2</v>
      </c>
      <c r="N2734" s="20">
        <v>1.9576494064366171E-3</v>
      </c>
      <c r="O2734" s="20">
        <v>0.14974974136644387</v>
      </c>
      <c r="P2734" s="20">
        <v>0.41</v>
      </c>
      <c r="Q2734" s="20">
        <v>4.0000000000000147E-2</v>
      </c>
      <c r="R2734" s="20"/>
      <c r="S2734" s="20"/>
      <c r="T2734" s="20">
        <v>0.55000000000000004</v>
      </c>
    </row>
    <row r="2735" spans="13:20" x14ac:dyDescent="0.2">
      <c r="M2735" s="20">
        <v>1.0267488646913093E-2</v>
      </c>
      <c r="N2735" s="20">
        <v>7.9674011082925072E-4</v>
      </c>
      <c r="O2735" s="20">
        <v>7.7598343492572511E-2</v>
      </c>
      <c r="P2735" s="20"/>
      <c r="Q2735" s="20"/>
      <c r="R2735" s="20"/>
      <c r="S2735" s="20">
        <v>0.73</v>
      </c>
      <c r="T2735" s="20">
        <v>0.27000000000000013</v>
      </c>
    </row>
    <row r="2736" spans="13:20" x14ac:dyDescent="0.2">
      <c r="M2736" s="20">
        <v>1.0670216251762938E-2</v>
      </c>
      <c r="N2736" s="20">
        <v>6.489376947047328E-4</v>
      </c>
      <c r="O2736" s="20">
        <v>6.08176703632895E-2</v>
      </c>
      <c r="P2736" s="20"/>
      <c r="Q2736" s="20"/>
      <c r="R2736" s="20">
        <v>0.2</v>
      </c>
      <c r="S2736" s="20">
        <v>0.79999999999999993</v>
      </c>
      <c r="T2736" s="20"/>
    </row>
    <row r="2737" spans="13:20" x14ac:dyDescent="0.2">
      <c r="M2737" s="20">
        <v>1.3556797097981525E-2</v>
      </c>
      <c r="N2737" s="20">
        <v>1.8409918355245421E-3</v>
      </c>
      <c r="O2737" s="20">
        <v>0.13579843544303308</v>
      </c>
      <c r="P2737" s="20">
        <v>0.3</v>
      </c>
      <c r="Q2737" s="20">
        <v>4.0000000000000036E-2</v>
      </c>
      <c r="R2737" s="20"/>
      <c r="S2737" s="20"/>
      <c r="T2737" s="20">
        <v>0.66</v>
      </c>
    </row>
    <row r="2738" spans="13:20" x14ac:dyDescent="0.2">
      <c r="M2738" s="20">
        <v>1.4749960029107697E-2</v>
      </c>
      <c r="N2738" s="20">
        <v>1.7133196270734071E-3</v>
      </c>
      <c r="O2738" s="20">
        <v>0.11615757762680899</v>
      </c>
      <c r="P2738" s="20">
        <v>0.17000000000000015</v>
      </c>
      <c r="Q2738" s="20"/>
      <c r="R2738" s="20"/>
      <c r="S2738" s="20"/>
      <c r="T2738" s="20">
        <v>0.83</v>
      </c>
    </row>
    <row r="2739" spans="13:20" x14ac:dyDescent="0.2">
      <c r="M2739" s="20">
        <v>1.5167446413524818E-2</v>
      </c>
      <c r="N2739" s="20">
        <v>1.6602934584770091E-3</v>
      </c>
      <c r="O2739" s="20">
        <v>0.10946427059709436</v>
      </c>
      <c r="P2739" s="20">
        <v>0.12</v>
      </c>
      <c r="Q2739" s="20"/>
      <c r="R2739" s="20"/>
      <c r="S2739" s="20"/>
      <c r="T2739" s="20">
        <v>0.88</v>
      </c>
    </row>
    <row r="2740" spans="13:20" x14ac:dyDescent="0.2">
      <c r="M2740" s="20">
        <v>1.0785346482839398E-2</v>
      </c>
      <c r="N2740" s="20">
        <v>1.109677320076055E-3</v>
      </c>
      <c r="O2740" s="20">
        <v>0.1028874985000868</v>
      </c>
      <c r="P2740" s="20"/>
      <c r="Q2740" s="20"/>
      <c r="R2740" s="20">
        <v>0.94</v>
      </c>
      <c r="S2740" s="20">
        <v>6.0000000000000053E-2</v>
      </c>
      <c r="T2740" s="20"/>
    </row>
    <row r="2741" spans="13:20" x14ac:dyDescent="0.2">
      <c r="M2741" s="20">
        <v>1.0267488646913093E-2</v>
      </c>
      <c r="N2741" s="20">
        <v>7.967401108292505E-4</v>
      </c>
      <c r="O2741" s="20">
        <v>7.7598343492572497E-2</v>
      </c>
      <c r="P2741" s="20"/>
      <c r="Q2741" s="20"/>
      <c r="R2741" s="20"/>
      <c r="S2741" s="20">
        <v>0.73</v>
      </c>
      <c r="T2741" s="20">
        <v>0.27</v>
      </c>
    </row>
    <row r="2742" spans="13:20" x14ac:dyDescent="0.2">
      <c r="M2742" s="20">
        <v>1.0952109567691739E-2</v>
      </c>
      <c r="N2742" s="20">
        <v>1.1842221339571008E-3</v>
      </c>
      <c r="O2742" s="20">
        <v>0.10812730886572813</v>
      </c>
      <c r="P2742" s="20"/>
      <c r="Q2742" s="20">
        <v>0.24</v>
      </c>
      <c r="R2742" s="20">
        <v>0.51</v>
      </c>
      <c r="S2742" s="20">
        <v>0.09</v>
      </c>
      <c r="T2742" s="20">
        <v>0.16000000000000014</v>
      </c>
    </row>
    <row r="2743" spans="13:20" x14ac:dyDescent="0.2">
      <c r="M2743" s="20">
        <v>1.1456515705688708E-2</v>
      </c>
      <c r="N2743" s="20">
        <v>1.1396699527820961E-3</v>
      </c>
      <c r="O2743" s="20">
        <v>9.9477885079509443E-2</v>
      </c>
      <c r="P2743" s="20"/>
      <c r="Q2743" s="20"/>
      <c r="R2743" s="20"/>
      <c r="S2743" s="20">
        <v>0.39</v>
      </c>
      <c r="T2743" s="20">
        <v>0.60999999999999988</v>
      </c>
    </row>
    <row r="2744" spans="13:20" x14ac:dyDescent="0.2">
      <c r="M2744" s="20">
        <v>1.0700940926495501E-2</v>
      </c>
      <c r="N2744" s="20">
        <v>7.2769409376566405E-4</v>
      </c>
      <c r="O2744" s="20">
        <v>6.8002813842649612E-2</v>
      </c>
      <c r="P2744" s="20">
        <v>3.0000000000000027E-2</v>
      </c>
      <c r="Q2744" s="20"/>
      <c r="R2744" s="20"/>
      <c r="S2744" s="20">
        <v>0.83</v>
      </c>
      <c r="T2744" s="20">
        <v>0.14000000000000001</v>
      </c>
    </row>
    <row r="2745" spans="13:20" x14ac:dyDescent="0.2">
      <c r="M2745" s="20">
        <v>1.2834122427984899E-2</v>
      </c>
      <c r="N2745" s="20">
        <v>2.1939229095554219E-3</v>
      </c>
      <c r="O2745" s="20">
        <v>0.17094452089467033</v>
      </c>
      <c r="P2745" s="20">
        <v>0.64</v>
      </c>
      <c r="Q2745" s="20">
        <v>7.0000000000000062E-2</v>
      </c>
      <c r="R2745" s="20"/>
      <c r="S2745" s="20"/>
      <c r="T2745" s="20">
        <v>0.28999999999999998</v>
      </c>
    </row>
    <row r="2746" spans="13:20" x14ac:dyDescent="0.2">
      <c r="M2746" s="20">
        <v>1.3436725228932685E-2</v>
      </c>
      <c r="N2746" s="20">
        <v>1.664445953654105E-3</v>
      </c>
      <c r="O2746" s="20">
        <v>0.12387288757458029</v>
      </c>
      <c r="P2746" s="20">
        <v>0.19999999999999996</v>
      </c>
      <c r="Q2746" s="20"/>
      <c r="R2746" s="20"/>
      <c r="S2746" s="20">
        <v>0.08</v>
      </c>
      <c r="T2746" s="20">
        <v>0.72</v>
      </c>
    </row>
    <row r="2747" spans="13:20" x14ac:dyDescent="0.2">
      <c r="M2747" s="20">
        <v>1.1963198236748265E-2</v>
      </c>
      <c r="N2747" s="20">
        <v>5.3449964345354513E-4</v>
      </c>
      <c r="O2747" s="20">
        <v>4.4678658070856171E-2</v>
      </c>
      <c r="P2747" s="20"/>
      <c r="Q2747" s="20"/>
      <c r="R2747" s="20"/>
      <c r="S2747" s="20">
        <v>0.99</v>
      </c>
      <c r="T2747" s="20">
        <v>1.000000000000012E-2</v>
      </c>
    </row>
    <row r="2748" spans="13:20" x14ac:dyDescent="0.2">
      <c r="M2748" s="20">
        <v>9.7939735866188482E-3</v>
      </c>
      <c r="N2748" s="20">
        <v>7.734619177780631E-4</v>
      </c>
      <c r="O2748" s="20">
        <v>7.8973249308617308E-2</v>
      </c>
      <c r="P2748" s="20"/>
      <c r="Q2748" s="20"/>
      <c r="R2748" s="20">
        <v>0.4</v>
      </c>
      <c r="S2748" s="20">
        <v>0.6</v>
      </c>
      <c r="T2748" s="20"/>
    </row>
    <row r="2749" spans="13:20" x14ac:dyDescent="0.2">
      <c r="M2749" s="20">
        <v>1.084063784495717E-2</v>
      </c>
      <c r="N2749" s="20">
        <v>1.1263915567785311E-3</v>
      </c>
      <c r="O2749" s="20">
        <v>0.10390454629037386</v>
      </c>
      <c r="P2749" s="20"/>
      <c r="Q2749" s="20">
        <v>0.08</v>
      </c>
      <c r="R2749" s="20">
        <v>0.87</v>
      </c>
      <c r="S2749" s="20">
        <v>5.0000000000000044E-2</v>
      </c>
      <c r="T2749" s="20"/>
    </row>
    <row r="2750" spans="13:20" x14ac:dyDescent="0.2">
      <c r="M2750" s="20">
        <v>1.7103671905773405E-2</v>
      </c>
      <c r="N2750" s="20">
        <v>1.2584698584541568E-3</v>
      </c>
      <c r="O2750" s="20">
        <v>7.357892886318497E-2</v>
      </c>
      <c r="P2750" s="20"/>
      <c r="Q2750" s="20">
        <v>0.85</v>
      </c>
      <c r="R2750" s="20">
        <v>0.15000000000000002</v>
      </c>
      <c r="S2750" s="20"/>
      <c r="T2750" s="20"/>
    </row>
    <row r="2751" spans="13:20" x14ac:dyDescent="0.2">
      <c r="M2751" s="20">
        <v>1.4168542622972171E-2</v>
      </c>
      <c r="N2751" s="20">
        <v>1.3817380765135169E-3</v>
      </c>
      <c r="O2751" s="20">
        <v>9.7521538614228062E-2</v>
      </c>
      <c r="P2751" s="20"/>
      <c r="Q2751" s="20"/>
      <c r="R2751" s="20"/>
      <c r="S2751" s="20">
        <v>0.15</v>
      </c>
      <c r="T2751" s="20">
        <v>0.85</v>
      </c>
    </row>
    <row r="2752" spans="13:20" x14ac:dyDescent="0.2">
      <c r="M2752" s="20">
        <v>1.3913296519489133E-2</v>
      </c>
      <c r="N2752" s="20">
        <v>2.356778584278831E-3</v>
      </c>
      <c r="O2752" s="20">
        <v>0.16939037998489859</v>
      </c>
      <c r="P2752" s="20">
        <v>0.82</v>
      </c>
      <c r="Q2752" s="20">
        <v>0.18000000000000005</v>
      </c>
      <c r="R2752" s="20"/>
      <c r="S2752" s="20"/>
      <c r="T2752" s="20"/>
    </row>
    <row r="2753" spans="13:20" x14ac:dyDescent="0.2">
      <c r="M2753" s="20">
        <v>1.1732238806170107E-2</v>
      </c>
      <c r="N2753" s="20">
        <v>1.5449136156705603E-3</v>
      </c>
      <c r="O2753" s="20">
        <v>0.1316810577413472</v>
      </c>
      <c r="P2753" s="20">
        <v>0.18</v>
      </c>
      <c r="Q2753" s="20">
        <v>0.28999999999999998</v>
      </c>
      <c r="R2753" s="20">
        <v>0.22</v>
      </c>
      <c r="S2753" s="20">
        <v>2.0000000000000018E-2</v>
      </c>
      <c r="T2753" s="20">
        <v>0.28999999999999998</v>
      </c>
    </row>
    <row r="2754" spans="13:20" x14ac:dyDescent="0.2">
      <c r="M2754" s="20">
        <v>1.3688248242215283E-2</v>
      </c>
      <c r="N2754" s="20">
        <v>2.3015398131150111E-3</v>
      </c>
      <c r="O2754" s="20">
        <v>0.16813983589345935</v>
      </c>
      <c r="P2754" s="20">
        <v>0.78</v>
      </c>
      <c r="Q2754" s="20">
        <v>0.2</v>
      </c>
      <c r="R2754" s="20">
        <v>2.0000000000000018E-2</v>
      </c>
      <c r="S2754" s="20"/>
      <c r="T2754" s="20"/>
    </row>
    <row r="2755" spans="13:20" x14ac:dyDescent="0.2">
      <c r="M2755" s="20">
        <v>1.2953162917986183E-2</v>
      </c>
      <c r="N2755" s="20">
        <v>2.1587394432831478E-3</v>
      </c>
      <c r="O2755" s="20">
        <v>0.16665732199551192</v>
      </c>
      <c r="P2755" s="20">
        <v>0.59000000000000008</v>
      </c>
      <c r="Q2755" s="20"/>
      <c r="R2755" s="20"/>
      <c r="S2755" s="20"/>
      <c r="T2755" s="20">
        <v>0.41</v>
      </c>
    </row>
    <row r="2756" spans="13:20" x14ac:dyDescent="0.2">
      <c r="M2756" s="20">
        <v>1.1946223398719471E-2</v>
      </c>
      <c r="N2756" s="20">
        <v>1.190297692386894E-3</v>
      </c>
      <c r="O2756" s="20">
        <v>9.9637990405778212E-2</v>
      </c>
      <c r="P2756" s="20"/>
      <c r="Q2756" s="20">
        <v>0.33</v>
      </c>
      <c r="R2756" s="20">
        <v>0.66999999999999993</v>
      </c>
      <c r="S2756" s="20"/>
      <c r="T2756" s="20"/>
    </row>
    <row r="2757" spans="13:20" x14ac:dyDescent="0.2">
      <c r="M2757" s="20">
        <v>9.980587326214747E-3</v>
      </c>
      <c r="N2757" s="20">
        <v>7.4743316244096762E-4</v>
      </c>
      <c r="O2757" s="20">
        <v>7.4888695225157675E-2</v>
      </c>
      <c r="P2757" s="20"/>
      <c r="Q2757" s="20"/>
      <c r="R2757" s="20">
        <v>0.18</v>
      </c>
      <c r="S2757" s="20">
        <v>0.71</v>
      </c>
      <c r="T2757" s="20">
        <v>0.1100000000000001</v>
      </c>
    </row>
    <row r="2758" spans="13:20" x14ac:dyDescent="0.2">
      <c r="M2758" s="20">
        <v>1.0573212719387199E-2</v>
      </c>
      <c r="N2758" s="20">
        <v>1.3100847348441688E-3</v>
      </c>
      <c r="O2758" s="20">
        <v>0.12390602266442423</v>
      </c>
      <c r="P2758" s="20">
        <v>0.11</v>
      </c>
      <c r="Q2758" s="20">
        <v>0.03</v>
      </c>
      <c r="R2758" s="20">
        <v>0.85999999999999988</v>
      </c>
      <c r="S2758" s="20"/>
      <c r="T2758" s="20"/>
    </row>
    <row r="2759" spans="13:20" x14ac:dyDescent="0.2">
      <c r="M2759" s="20">
        <v>1.4000173937607607E-2</v>
      </c>
      <c r="N2759" s="20">
        <v>2.498106922300093E-3</v>
      </c>
      <c r="O2759" s="20">
        <v>0.17843399185131675</v>
      </c>
      <c r="P2759" s="20">
        <v>0.90999999999999992</v>
      </c>
      <c r="Q2759" s="20"/>
      <c r="R2759" s="20"/>
      <c r="S2759" s="20"/>
      <c r="T2759" s="20">
        <v>0.09</v>
      </c>
    </row>
    <row r="2760" spans="13:20" x14ac:dyDescent="0.2">
      <c r="M2760" s="20">
        <v>1.0999328791436272E-2</v>
      </c>
      <c r="N2760" s="20">
        <v>1.1437591870459298E-3</v>
      </c>
      <c r="O2760" s="20">
        <v>0.10398445293647594</v>
      </c>
      <c r="P2760" s="20"/>
      <c r="Q2760" s="20">
        <v>7.0000000000000007E-2</v>
      </c>
      <c r="R2760" s="20">
        <v>0.91</v>
      </c>
      <c r="S2760" s="20">
        <v>2.0000000000000129E-2</v>
      </c>
      <c r="T2760" s="20"/>
    </row>
    <row r="2761" spans="13:20" x14ac:dyDescent="0.2">
      <c r="M2761" s="20">
        <v>1.0438511109201836E-2</v>
      </c>
      <c r="N2761" s="20">
        <v>1.5388616794029127E-3</v>
      </c>
      <c r="O2761" s="20">
        <v>0.14742156839267659</v>
      </c>
      <c r="P2761" s="20">
        <v>0.26</v>
      </c>
      <c r="Q2761" s="20">
        <v>0.12</v>
      </c>
      <c r="R2761" s="20">
        <v>0.61999999999999988</v>
      </c>
      <c r="S2761" s="20"/>
      <c r="T2761" s="20"/>
    </row>
    <row r="2762" spans="13:20" x14ac:dyDescent="0.2">
      <c r="M2762" s="20">
        <v>1.4717497841985415E-2</v>
      </c>
      <c r="N2762" s="20">
        <v>1.8700735100951201E-3</v>
      </c>
      <c r="O2762" s="20">
        <v>0.12706463626991393</v>
      </c>
      <c r="P2762" s="20">
        <v>0.45</v>
      </c>
      <c r="Q2762" s="20">
        <v>0.54999999999999993</v>
      </c>
      <c r="R2762" s="20"/>
      <c r="S2762" s="20"/>
      <c r="T2762" s="20"/>
    </row>
    <row r="2763" spans="13:20" x14ac:dyDescent="0.2">
      <c r="M2763" s="20">
        <v>1.3806985054193305E-2</v>
      </c>
      <c r="N2763" s="20">
        <v>1.2204507658397218E-3</v>
      </c>
      <c r="O2763" s="20">
        <v>8.8393719631720755E-2</v>
      </c>
      <c r="P2763" s="20"/>
      <c r="Q2763" s="20">
        <v>0.56000000000000005</v>
      </c>
      <c r="R2763" s="20">
        <v>0.43999999999999995</v>
      </c>
      <c r="S2763" s="20"/>
      <c r="T2763" s="20"/>
    </row>
    <row r="2764" spans="13:20" x14ac:dyDescent="0.2">
      <c r="M2764" s="20">
        <v>9.739830883322035E-3</v>
      </c>
      <c r="N2764" s="20">
        <v>1.4925580088553712E-3</v>
      </c>
      <c r="O2764" s="20">
        <v>0.1532427027466306</v>
      </c>
      <c r="P2764" s="20">
        <v>0.38</v>
      </c>
      <c r="Q2764" s="20">
        <v>0.01</v>
      </c>
      <c r="R2764" s="20">
        <v>0.28000000000000003</v>
      </c>
      <c r="S2764" s="20">
        <v>0.33000000000000007</v>
      </c>
      <c r="T2764" s="20"/>
    </row>
    <row r="2765" spans="13:20" x14ac:dyDescent="0.2">
      <c r="M2765" s="20">
        <v>1.7319952818756659E-2</v>
      </c>
      <c r="N2765" s="20">
        <v>1.4754477742704901E-3</v>
      </c>
      <c r="O2765" s="20">
        <v>8.5187747894593144E-2</v>
      </c>
      <c r="P2765" s="20">
        <v>0.15</v>
      </c>
      <c r="Q2765" s="20">
        <v>0.85</v>
      </c>
      <c r="R2765" s="20"/>
      <c r="S2765" s="20"/>
      <c r="T2765" s="20"/>
    </row>
    <row r="2766" spans="13:20" x14ac:dyDescent="0.2">
      <c r="M2766" s="20">
        <v>1.0972784808687778E-2</v>
      </c>
      <c r="N2766" s="20">
        <v>1.1283559535370548E-3</v>
      </c>
      <c r="O2766" s="20">
        <v>0.10283223203681817</v>
      </c>
      <c r="P2766" s="20"/>
      <c r="Q2766" s="20"/>
      <c r="R2766" s="20">
        <v>0.97</v>
      </c>
      <c r="S2766" s="20">
        <v>3.0000000000000138E-2</v>
      </c>
      <c r="T2766" s="20"/>
    </row>
    <row r="2767" spans="13:20" x14ac:dyDescent="0.2">
      <c r="M2767" s="20">
        <v>1.05531112465891E-2</v>
      </c>
      <c r="N2767" s="20">
        <v>1.0847724754613891E-3</v>
      </c>
      <c r="O2767" s="20">
        <v>0.10279172180734865</v>
      </c>
      <c r="P2767" s="20"/>
      <c r="Q2767" s="20"/>
      <c r="R2767" s="20">
        <v>0.9</v>
      </c>
      <c r="S2767" s="20">
        <v>9.9999999999999978E-2</v>
      </c>
      <c r="T2767" s="20"/>
    </row>
    <row r="2768" spans="13:20" x14ac:dyDescent="0.2">
      <c r="M2768" s="20">
        <v>1.321346741435854E-2</v>
      </c>
      <c r="N2768" s="20">
        <v>1.672034369099437E-3</v>
      </c>
      <c r="O2768" s="20">
        <v>0.12654016668497664</v>
      </c>
      <c r="P2768" s="20">
        <v>0.22</v>
      </c>
      <c r="Q2768" s="20">
        <v>0.36999999999999988</v>
      </c>
      <c r="R2768" s="20"/>
      <c r="S2768" s="20"/>
      <c r="T2768" s="20">
        <v>0.41</v>
      </c>
    </row>
    <row r="2769" spans="13:20" x14ac:dyDescent="0.2">
      <c r="M2769" s="20">
        <v>9.5711932018162256E-3</v>
      </c>
      <c r="N2769" s="20">
        <v>1.2801223369266214E-3</v>
      </c>
      <c r="O2769" s="20">
        <v>0.13374741371678778</v>
      </c>
      <c r="P2769" s="20">
        <v>0.22</v>
      </c>
      <c r="Q2769" s="20">
        <v>0.06</v>
      </c>
      <c r="R2769" s="20">
        <v>0.41</v>
      </c>
      <c r="S2769" s="20">
        <v>0.30999999999999994</v>
      </c>
      <c r="T2769" s="20"/>
    </row>
    <row r="2770" spans="13:20" x14ac:dyDescent="0.2">
      <c r="M2770" s="20">
        <v>1.0069275629952633E-2</v>
      </c>
      <c r="N2770" s="20">
        <v>1.0225103639247238E-3</v>
      </c>
      <c r="O2770" s="20">
        <v>0.10154755927855497</v>
      </c>
      <c r="P2770" s="20"/>
      <c r="Q2770" s="20"/>
      <c r="R2770" s="20">
        <v>0.8</v>
      </c>
      <c r="S2770" s="20">
        <v>0.19999999999999996</v>
      </c>
      <c r="T2770" s="20"/>
    </row>
    <row r="2771" spans="13:20" x14ac:dyDescent="0.2">
      <c r="M2771" s="20">
        <v>1.11963331210697E-2</v>
      </c>
      <c r="N2771" s="20">
        <v>8.0348791549203209E-4</v>
      </c>
      <c r="O2771" s="20">
        <v>7.1763487813701871E-2</v>
      </c>
      <c r="P2771" s="20">
        <v>0.13000000000000012</v>
      </c>
      <c r="Q2771" s="20"/>
      <c r="R2771" s="20"/>
      <c r="S2771" s="20">
        <v>0.86</v>
      </c>
      <c r="T2771" s="20">
        <v>0.01</v>
      </c>
    </row>
    <row r="2772" spans="13:20" x14ac:dyDescent="0.2">
      <c r="M2772" s="20">
        <v>1.1731097917938282E-2</v>
      </c>
      <c r="N2772" s="20">
        <v>1.1699284682485237E-3</v>
      </c>
      <c r="O2772" s="20">
        <v>9.9728812804431549E-2</v>
      </c>
      <c r="P2772" s="20"/>
      <c r="Q2772" s="20"/>
      <c r="R2772" s="20"/>
      <c r="S2772" s="20">
        <v>0.36</v>
      </c>
      <c r="T2772" s="20">
        <v>0.6399999999999999</v>
      </c>
    </row>
    <row r="2773" spans="13:20" x14ac:dyDescent="0.2">
      <c r="M2773" s="20">
        <v>1.1037677669451181E-2</v>
      </c>
      <c r="N2773" s="20">
        <v>1.1345821646907212E-3</v>
      </c>
      <c r="O2773" s="20">
        <v>0.10279174647678721</v>
      </c>
      <c r="P2773" s="20"/>
      <c r="Q2773" s="20"/>
      <c r="R2773" s="20">
        <v>0.98</v>
      </c>
      <c r="S2773" s="20">
        <v>2.0000000000000018E-2</v>
      </c>
      <c r="T2773" s="20"/>
    </row>
    <row r="2774" spans="13:20" x14ac:dyDescent="0.2">
      <c r="M2774" s="20">
        <v>1.3521701753187084E-2</v>
      </c>
      <c r="N2774" s="20">
        <v>1.9148190677397178E-3</v>
      </c>
      <c r="O2774" s="20">
        <v>0.14161080481518476</v>
      </c>
      <c r="P2774" s="20">
        <v>0.35999999999999988</v>
      </c>
      <c r="Q2774" s="20"/>
      <c r="R2774" s="20"/>
      <c r="S2774" s="20"/>
      <c r="T2774" s="20">
        <v>0.64</v>
      </c>
    </row>
    <row r="2775" spans="13:20" x14ac:dyDescent="0.2">
      <c r="M2775" s="20">
        <v>1.2978536661938028E-2</v>
      </c>
      <c r="N2775" s="20">
        <v>2.1664378556651457E-3</v>
      </c>
      <c r="O2775" s="20">
        <v>0.16692466277948173</v>
      </c>
      <c r="P2775" s="20">
        <v>0.69</v>
      </c>
      <c r="Q2775" s="20">
        <v>0.21</v>
      </c>
      <c r="R2775" s="20">
        <v>0.09</v>
      </c>
      <c r="S2775" s="20">
        <v>1.0000000000000009E-2</v>
      </c>
      <c r="T2775" s="20"/>
    </row>
    <row r="2776" spans="13:20" x14ac:dyDescent="0.2">
      <c r="M2776" s="20">
        <v>1.0237955221876789E-2</v>
      </c>
      <c r="N2776" s="20">
        <v>9.1777417269496087E-4</v>
      </c>
      <c r="O2776" s="20">
        <v>8.9644284703827556E-2</v>
      </c>
      <c r="P2776" s="20"/>
      <c r="Q2776" s="20"/>
      <c r="R2776" s="20"/>
      <c r="S2776" s="20">
        <v>0.61</v>
      </c>
      <c r="T2776" s="20">
        <v>0.39</v>
      </c>
    </row>
    <row r="2777" spans="13:20" x14ac:dyDescent="0.2">
      <c r="M2777" s="20">
        <v>1.5139415063044536E-2</v>
      </c>
      <c r="N2777" s="20">
        <v>1.1988255372409372E-3</v>
      </c>
      <c r="O2777" s="20">
        <v>7.9185723639170327E-2</v>
      </c>
      <c r="P2777" s="20"/>
      <c r="Q2777" s="20">
        <v>0.68</v>
      </c>
      <c r="R2777" s="20">
        <v>0.26</v>
      </c>
      <c r="S2777" s="20">
        <v>5.9999999999999942E-2</v>
      </c>
      <c r="T2777" s="20"/>
    </row>
    <row r="2778" spans="13:20" x14ac:dyDescent="0.2">
      <c r="M2778" s="20">
        <v>1.1103742306070523E-2</v>
      </c>
      <c r="N2778" s="20">
        <v>1.1408083758443876E-3</v>
      </c>
      <c r="O2778" s="20">
        <v>0.10274089080946129</v>
      </c>
      <c r="P2778" s="20"/>
      <c r="Q2778" s="20"/>
      <c r="R2778" s="20">
        <v>0.99</v>
      </c>
      <c r="S2778" s="20">
        <v>1.0000000000000009E-2</v>
      </c>
      <c r="T2778" s="20"/>
    </row>
    <row r="2779" spans="13:20" x14ac:dyDescent="0.2">
      <c r="M2779" s="20">
        <v>9.5736305537674725E-3</v>
      </c>
      <c r="N2779" s="20">
        <v>8.5440266277572784E-4</v>
      </c>
      <c r="O2779" s="20">
        <v>8.924541823263675E-2</v>
      </c>
      <c r="P2779" s="20"/>
      <c r="Q2779" s="20"/>
      <c r="R2779" s="20">
        <v>0.53</v>
      </c>
      <c r="S2779" s="20">
        <v>0.46999999999999986</v>
      </c>
      <c r="T2779" s="20"/>
    </row>
    <row r="2780" spans="13:20" x14ac:dyDescent="0.2">
      <c r="M2780" s="20">
        <v>1.4201752820903987E-2</v>
      </c>
      <c r="N2780" s="20">
        <v>2.0016154220366634E-3</v>
      </c>
      <c r="O2780" s="20">
        <v>0.14094143499599751</v>
      </c>
      <c r="P2780" s="20">
        <v>0.55000000000000004</v>
      </c>
      <c r="Q2780" s="20">
        <v>0.44999999999999984</v>
      </c>
      <c r="R2780" s="20"/>
      <c r="S2780" s="20"/>
      <c r="T2780" s="20"/>
    </row>
    <row r="2781" spans="13:20" x14ac:dyDescent="0.2">
      <c r="M2781" s="20">
        <v>1.3401185870619413E-2</v>
      </c>
      <c r="N2781" s="20">
        <v>2.3763514364382684E-3</v>
      </c>
      <c r="O2781" s="20">
        <v>0.17732396665344005</v>
      </c>
      <c r="P2781" s="20">
        <v>0.8</v>
      </c>
      <c r="Q2781" s="20">
        <v>2.0000000000000129E-2</v>
      </c>
      <c r="R2781" s="20"/>
      <c r="S2781" s="20"/>
      <c r="T2781" s="20">
        <v>0.18</v>
      </c>
    </row>
    <row r="2782" spans="13:20" x14ac:dyDescent="0.2">
      <c r="M2782" s="20">
        <v>1.1766506833316757E-2</v>
      </c>
      <c r="N2782" s="20">
        <v>5.5467198709782987E-4</v>
      </c>
      <c r="O2782" s="20">
        <v>4.7139902687795263E-2</v>
      </c>
      <c r="P2782" s="20"/>
      <c r="Q2782" s="20"/>
      <c r="R2782" s="20"/>
      <c r="S2782" s="20">
        <v>0.97</v>
      </c>
      <c r="T2782" s="20">
        <v>2.9999999999999916E-2</v>
      </c>
    </row>
    <row r="2783" spans="13:20" x14ac:dyDescent="0.2">
      <c r="M2783" s="20">
        <v>1.4076638263943285E-2</v>
      </c>
      <c r="N2783" s="20">
        <v>2.4357037314437567E-3</v>
      </c>
      <c r="O2783" s="20">
        <v>0.17303163481033032</v>
      </c>
      <c r="P2783" s="20">
        <v>0.88</v>
      </c>
      <c r="Q2783" s="20">
        <v>0.11999999999999988</v>
      </c>
      <c r="R2783" s="20"/>
      <c r="S2783" s="20"/>
      <c r="T2783" s="20"/>
    </row>
    <row r="2784" spans="13:20" x14ac:dyDescent="0.2">
      <c r="M2784" s="20">
        <v>9.8364558540646185E-3</v>
      </c>
      <c r="N2784" s="20">
        <v>1.0254977842912949E-3</v>
      </c>
      <c r="O2784" s="20">
        <v>0.10425480472903652</v>
      </c>
      <c r="P2784" s="20"/>
      <c r="Q2784" s="20"/>
      <c r="R2784" s="20">
        <v>0.74</v>
      </c>
      <c r="S2784" s="20">
        <v>0.22</v>
      </c>
      <c r="T2784" s="20">
        <v>4.0000000000000036E-2</v>
      </c>
    </row>
    <row r="2785" spans="13:20" x14ac:dyDescent="0.2">
      <c r="M2785" s="20">
        <v>1.0448206544426552E-2</v>
      </c>
      <c r="N2785" s="20">
        <v>6.7384253931939905E-4</v>
      </c>
      <c r="O2785" s="20">
        <v>6.4493608204831174E-2</v>
      </c>
      <c r="P2785" s="20"/>
      <c r="Q2785" s="20"/>
      <c r="R2785" s="20">
        <v>0.24</v>
      </c>
      <c r="S2785" s="20">
        <v>0.76</v>
      </c>
      <c r="T2785" s="20">
        <v>1.1102230246251565E-16</v>
      </c>
    </row>
    <row r="2786" spans="13:20" x14ac:dyDescent="0.2">
      <c r="M2786" s="20">
        <v>9.8517444126806422E-3</v>
      </c>
      <c r="N2786" s="20">
        <v>9.8515309700272476E-4</v>
      </c>
      <c r="O2786" s="20">
        <v>9.9997833453199209E-2</v>
      </c>
      <c r="P2786" s="20"/>
      <c r="Q2786" s="20"/>
      <c r="R2786" s="20">
        <v>0.74</v>
      </c>
      <c r="S2786" s="20">
        <v>0.26</v>
      </c>
      <c r="T2786" s="20"/>
    </row>
    <row r="2787" spans="13:20" x14ac:dyDescent="0.2">
      <c r="M2787" s="20">
        <v>1.3627615734674556E-2</v>
      </c>
      <c r="N2787" s="20">
        <v>2.3012034582075586E-3</v>
      </c>
      <c r="O2787" s="20">
        <v>0.16886324820212681</v>
      </c>
      <c r="P2787" s="20">
        <v>0.77</v>
      </c>
      <c r="Q2787" s="20">
        <v>0.19000000000000006</v>
      </c>
      <c r="R2787" s="20"/>
      <c r="S2787" s="20"/>
      <c r="T2787" s="20">
        <v>0.04</v>
      </c>
    </row>
    <row r="2788" spans="13:20" x14ac:dyDescent="0.2">
      <c r="M2788" s="20">
        <v>1.6301105982438266E-2</v>
      </c>
      <c r="N2788" s="20">
        <v>1.5330306538456548E-3</v>
      </c>
      <c r="O2788" s="20">
        <v>9.4044579275617282E-2</v>
      </c>
      <c r="P2788" s="20">
        <v>1.1102230246251565E-16</v>
      </c>
      <c r="Q2788" s="20"/>
      <c r="R2788" s="20"/>
      <c r="S2788" s="20"/>
      <c r="T2788" s="20">
        <v>1</v>
      </c>
    </row>
    <row r="2789" spans="13:20" x14ac:dyDescent="0.2">
      <c r="M2789" s="20">
        <v>1.6482271217304091E-2</v>
      </c>
      <c r="N2789" s="20">
        <v>1.2519148424861505E-3</v>
      </c>
      <c r="O2789" s="20">
        <v>7.595523857002269E-2</v>
      </c>
      <c r="P2789" s="20"/>
      <c r="Q2789" s="20">
        <v>0.8</v>
      </c>
      <c r="R2789" s="20">
        <v>0.19999999999999984</v>
      </c>
      <c r="S2789" s="20"/>
      <c r="T2789" s="20"/>
    </row>
    <row r="2790" spans="13:20" x14ac:dyDescent="0.2">
      <c r="M2790" s="20">
        <v>9.886018503842452E-3</v>
      </c>
      <c r="N2790" s="20">
        <v>7.5478328431706357E-4</v>
      </c>
      <c r="O2790" s="20">
        <v>7.6348560750083352E-2</v>
      </c>
      <c r="P2790" s="20"/>
      <c r="Q2790" s="20"/>
      <c r="R2790" s="20">
        <v>0.37</v>
      </c>
      <c r="S2790" s="20">
        <v>0.63</v>
      </c>
      <c r="T2790" s="20"/>
    </row>
    <row r="2791" spans="13:20" x14ac:dyDescent="0.2">
      <c r="M2791" s="20">
        <v>1.8395715759419593E-2</v>
      </c>
      <c r="N2791" s="20">
        <v>1.2715798903901688E-3</v>
      </c>
      <c r="O2791" s="20">
        <v>6.9123697442381477E-2</v>
      </c>
      <c r="P2791" s="20"/>
      <c r="Q2791" s="20">
        <v>0.95</v>
      </c>
      <c r="R2791" s="20">
        <v>4.9999999999999933E-2</v>
      </c>
      <c r="S2791" s="20"/>
      <c r="T2791" s="20"/>
    </row>
    <row r="2792" spans="13:20" x14ac:dyDescent="0.2">
      <c r="M2792" s="20">
        <v>1.0342667118598622E-2</v>
      </c>
      <c r="N2792" s="20">
        <v>9.5811885998353078E-4</v>
      </c>
      <c r="O2792" s="20">
        <v>9.2637503363189641E-2</v>
      </c>
      <c r="P2792" s="20"/>
      <c r="Q2792" s="20"/>
      <c r="R2792" s="20"/>
      <c r="S2792" s="20">
        <v>0.56999999999999995</v>
      </c>
      <c r="T2792" s="20">
        <v>0.43000000000000005</v>
      </c>
    </row>
    <row r="2793" spans="13:20" x14ac:dyDescent="0.2">
      <c r="M2793" s="20">
        <v>1.0556532643402264E-2</v>
      </c>
      <c r="N2793" s="20">
        <v>6.6139011701206582E-4</v>
      </c>
      <c r="O2793" s="20">
        <v>6.2652211607134897E-2</v>
      </c>
      <c r="P2793" s="20"/>
      <c r="Q2793" s="20"/>
      <c r="R2793" s="20">
        <v>0.22</v>
      </c>
      <c r="S2793" s="20">
        <v>0.77999999999999992</v>
      </c>
      <c r="T2793" s="20"/>
    </row>
    <row r="2794" spans="13:20" x14ac:dyDescent="0.2">
      <c r="M2794" s="20">
        <v>1.1301834644129895E-2</v>
      </c>
      <c r="N2794" s="20">
        <v>1.4728086890333971E-3</v>
      </c>
      <c r="O2794" s="20">
        <v>0.13031589431352769</v>
      </c>
      <c r="P2794" s="20">
        <v>0.19999999999999996</v>
      </c>
      <c r="Q2794" s="20"/>
      <c r="R2794" s="20"/>
      <c r="S2794" s="20">
        <v>0.27</v>
      </c>
      <c r="T2794" s="20">
        <v>0.53</v>
      </c>
    </row>
    <row r="2795" spans="13:20" x14ac:dyDescent="0.2">
      <c r="M2795" s="20">
        <v>1.4637253852239254E-2</v>
      </c>
      <c r="N2795" s="20">
        <v>2.593554025773609E-3</v>
      </c>
      <c r="O2795" s="20">
        <v>0.17718856637693953</v>
      </c>
      <c r="P2795" s="20">
        <v>1</v>
      </c>
      <c r="Q2795" s="20">
        <v>0</v>
      </c>
      <c r="R2795" s="20"/>
      <c r="S2795" s="20"/>
      <c r="T2795" s="20"/>
    </row>
    <row r="2796" spans="13:20" x14ac:dyDescent="0.2">
      <c r="M2796" s="20">
        <v>1.1203108781188782E-2</v>
      </c>
      <c r="N2796" s="20">
        <v>1.1666996349020725E-3</v>
      </c>
      <c r="O2796" s="20">
        <v>0.10414070395005769</v>
      </c>
      <c r="P2796" s="20"/>
      <c r="Q2796" s="20">
        <v>0.15</v>
      </c>
      <c r="R2796" s="20">
        <v>0.85000000000000009</v>
      </c>
      <c r="S2796" s="20"/>
      <c r="T2796" s="20"/>
    </row>
    <row r="2797" spans="13:20" x14ac:dyDescent="0.2">
      <c r="M2797" s="20">
        <v>1.4749960029107697E-2</v>
      </c>
      <c r="N2797" s="20">
        <v>1.7133196270734071E-3</v>
      </c>
      <c r="O2797" s="20">
        <v>0.11615757762680899</v>
      </c>
      <c r="P2797" s="20">
        <v>0.17000000000000015</v>
      </c>
      <c r="Q2797" s="20"/>
      <c r="R2797" s="20"/>
      <c r="S2797" s="20"/>
      <c r="T2797" s="20">
        <v>0.83</v>
      </c>
    </row>
    <row r="2798" spans="13:20" x14ac:dyDescent="0.2">
      <c r="M2798" s="20">
        <v>1.0656135167696059E-2</v>
      </c>
      <c r="N2798" s="20">
        <v>8.4279447898632782E-4</v>
      </c>
      <c r="O2798" s="20">
        <v>7.9090070248099775E-2</v>
      </c>
      <c r="P2798" s="20">
        <v>0.10999999999999999</v>
      </c>
      <c r="Q2798" s="20"/>
      <c r="R2798" s="20"/>
      <c r="S2798" s="20">
        <v>0.8</v>
      </c>
      <c r="T2798" s="20">
        <v>0.09</v>
      </c>
    </row>
    <row r="2799" spans="13:20" x14ac:dyDescent="0.2">
      <c r="M2799" s="20">
        <v>1.3662541169202071E-2</v>
      </c>
      <c r="N2799" s="20">
        <v>1.5215978415953858E-3</v>
      </c>
      <c r="O2799" s="20">
        <v>0.11137004622722402</v>
      </c>
      <c r="P2799" s="20">
        <v>0.21</v>
      </c>
      <c r="Q2799" s="20">
        <v>0.54</v>
      </c>
      <c r="R2799" s="20">
        <v>0.24999999999999989</v>
      </c>
      <c r="S2799" s="20"/>
      <c r="T2799" s="20"/>
    </row>
    <row r="2800" spans="13:20" x14ac:dyDescent="0.2">
      <c r="M2800" s="20">
        <v>1.0092639108215361E-2</v>
      </c>
      <c r="N2800" s="20">
        <v>1.1845737584685104E-3</v>
      </c>
      <c r="O2800" s="20">
        <v>0.11737006998538894</v>
      </c>
      <c r="P2800" s="20">
        <v>3.0000000000000027E-2</v>
      </c>
      <c r="Q2800" s="20"/>
      <c r="R2800" s="20">
        <v>0.75</v>
      </c>
      <c r="S2800" s="20">
        <v>0.09</v>
      </c>
      <c r="T2800" s="20">
        <v>0.13</v>
      </c>
    </row>
    <row r="2801" spans="13:20" x14ac:dyDescent="0.2">
      <c r="M2801" s="20">
        <v>1.2595367603558399E-2</v>
      </c>
      <c r="N2801" s="20">
        <v>1.3204402826185516E-3</v>
      </c>
      <c r="O2801" s="20">
        <v>0.10483539061182345</v>
      </c>
      <c r="P2801" s="20">
        <v>0.08</v>
      </c>
      <c r="Q2801" s="20">
        <v>0.44</v>
      </c>
      <c r="R2801" s="20">
        <v>0.47999999999999987</v>
      </c>
      <c r="S2801" s="20"/>
      <c r="T2801" s="20"/>
    </row>
    <row r="2802" spans="13:20" x14ac:dyDescent="0.2">
      <c r="M2802" s="20">
        <v>1.0674390197106953E-2</v>
      </c>
      <c r="N2802" s="20">
        <v>7.0927640412939109E-4</v>
      </c>
      <c r="O2802" s="20">
        <v>6.6446550204022334E-2</v>
      </c>
      <c r="P2802" s="20"/>
      <c r="Q2802" s="20">
        <v>0.03</v>
      </c>
      <c r="R2802" s="20">
        <v>0.05</v>
      </c>
      <c r="S2802" s="20">
        <v>0.79</v>
      </c>
      <c r="T2802" s="20">
        <v>0.13000000000000012</v>
      </c>
    </row>
    <row r="2803" spans="13:20" x14ac:dyDescent="0.2">
      <c r="M2803" s="20">
        <v>1.0322470639899549E-2</v>
      </c>
      <c r="N2803" s="20">
        <v>7.7656776718496544E-4</v>
      </c>
      <c r="O2803" s="20">
        <v>7.523080416264788E-2</v>
      </c>
      <c r="P2803" s="20"/>
      <c r="Q2803" s="20"/>
      <c r="R2803" s="20"/>
      <c r="S2803" s="20">
        <v>0.75</v>
      </c>
      <c r="T2803" s="20">
        <v>0.25</v>
      </c>
    </row>
    <row r="2804" spans="13:20" x14ac:dyDescent="0.2">
      <c r="M2804" s="20">
        <v>1.8687706381897397E-2</v>
      </c>
      <c r="N2804" s="20">
        <v>1.2679756856237047E-3</v>
      </c>
      <c r="O2804" s="20">
        <v>6.7850792371822607E-2</v>
      </c>
      <c r="P2804" s="20"/>
      <c r="Q2804" s="20">
        <v>0.97</v>
      </c>
      <c r="R2804" s="20">
        <v>0.02</v>
      </c>
      <c r="S2804" s="20">
        <v>9.9999999999998979E-3</v>
      </c>
      <c r="T2804" s="20"/>
    </row>
    <row r="2805" spans="13:20" x14ac:dyDescent="0.2">
      <c r="M2805" s="20">
        <v>1.3394113691471478E-2</v>
      </c>
      <c r="N2805" s="20">
        <v>2.0726745500399828E-3</v>
      </c>
      <c r="O2805" s="20">
        <v>0.15474518118804162</v>
      </c>
      <c r="P2805" s="20">
        <v>0.61</v>
      </c>
      <c r="Q2805" s="20">
        <v>0.33</v>
      </c>
      <c r="R2805" s="20">
        <v>6.0000000000000053E-2</v>
      </c>
      <c r="S2805" s="20"/>
      <c r="T2805" s="20"/>
    </row>
    <row r="2806" spans="13:20" x14ac:dyDescent="0.2">
      <c r="M2806" s="20">
        <v>9.5653657619813523E-3</v>
      </c>
      <c r="N2806" s="20">
        <v>8.7308129623672748E-4</v>
      </c>
      <c r="O2806" s="20">
        <v>9.1275265155765353E-2</v>
      </c>
      <c r="P2806" s="20"/>
      <c r="Q2806" s="20"/>
      <c r="R2806" s="20">
        <v>0.56000000000000005</v>
      </c>
      <c r="S2806" s="20">
        <v>0.43999999999999995</v>
      </c>
      <c r="T2806" s="20"/>
    </row>
    <row r="2807" spans="13:20" x14ac:dyDescent="0.2">
      <c r="M2807" s="20">
        <v>1.2977784812737536E-2</v>
      </c>
      <c r="N2807" s="20">
        <v>2.2117656118795458E-3</v>
      </c>
      <c r="O2807" s="20">
        <v>0.17042705236634262</v>
      </c>
      <c r="P2807" s="20">
        <v>0.64000000000000012</v>
      </c>
      <c r="Q2807" s="20"/>
      <c r="R2807" s="20"/>
      <c r="S2807" s="20"/>
      <c r="T2807" s="20">
        <v>0.36</v>
      </c>
    </row>
    <row r="2808" spans="13:20" x14ac:dyDescent="0.2">
      <c r="M2808" s="20">
        <v>1.3459248362827605E-2</v>
      </c>
      <c r="N2808" s="20">
        <v>1.6440883714320068E-3</v>
      </c>
      <c r="O2808" s="20">
        <v>0.1221530598969203</v>
      </c>
      <c r="P2808" s="20">
        <v>0.16</v>
      </c>
      <c r="Q2808" s="20">
        <v>0.22999999999999998</v>
      </c>
      <c r="R2808" s="20"/>
      <c r="S2808" s="20"/>
      <c r="T2808" s="20">
        <v>0.61</v>
      </c>
    </row>
    <row r="2809" spans="13:20" x14ac:dyDescent="0.2">
      <c r="M2809" s="20">
        <v>1.1401739475669198E-2</v>
      </c>
      <c r="N2809" s="20">
        <v>5.9501667438639999E-4</v>
      </c>
      <c r="O2809" s="20">
        <v>5.2186482216695008E-2</v>
      </c>
      <c r="P2809" s="20"/>
      <c r="Q2809" s="20"/>
      <c r="R2809" s="20"/>
      <c r="S2809" s="20">
        <v>0.93</v>
      </c>
      <c r="T2809" s="20">
        <v>6.9999999999999951E-2</v>
      </c>
    </row>
    <row r="2810" spans="13:20" x14ac:dyDescent="0.2">
      <c r="M2810" s="20">
        <v>1.1886501898264552E-2</v>
      </c>
      <c r="N2810" s="20">
        <v>1.1889866891932927E-3</v>
      </c>
      <c r="O2810" s="20">
        <v>0.10002830936887214</v>
      </c>
      <c r="P2810" s="20"/>
      <c r="Q2810" s="20">
        <v>0.32</v>
      </c>
      <c r="R2810" s="20">
        <v>0.67999999999999994</v>
      </c>
      <c r="S2810" s="20"/>
      <c r="T2810" s="20"/>
    </row>
    <row r="2811" spans="13:20" x14ac:dyDescent="0.2">
      <c r="M2811" s="20">
        <v>1.0199118291272596E-2</v>
      </c>
      <c r="N2811" s="20">
        <v>1.0411889973857235E-3</v>
      </c>
      <c r="O2811" s="20">
        <v>0.10208617722148304</v>
      </c>
      <c r="P2811" s="20"/>
      <c r="Q2811" s="20"/>
      <c r="R2811" s="20">
        <v>0.83</v>
      </c>
      <c r="S2811" s="20">
        <v>0.17000000000000004</v>
      </c>
      <c r="T2811" s="20"/>
    </row>
    <row r="2812" spans="13:20" x14ac:dyDescent="0.2">
      <c r="M2812" s="20">
        <v>1.4319271568267726E-2</v>
      </c>
      <c r="N2812" s="20">
        <v>2.5146288786086829E-3</v>
      </c>
      <c r="O2812" s="20">
        <v>0.175611508352229</v>
      </c>
      <c r="P2812" s="20">
        <v>0.94</v>
      </c>
      <c r="Q2812" s="20">
        <v>6.0000000000000164E-2</v>
      </c>
      <c r="R2812" s="20"/>
      <c r="S2812" s="20"/>
      <c r="T2812" s="20"/>
    </row>
    <row r="2813" spans="13:20" x14ac:dyDescent="0.2">
      <c r="M2813" s="20">
        <v>1.0657284975144708E-2</v>
      </c>
      <c r="N2813" s="20">
        <v>1.0287220627385285E-3</v>
      </c>
      <c r="O2813" s="20">
        <v>9.6527592640878984E-2</v>
      </c>
      <c r="P2813" s="20"/>
      <c r="Q2813" s="20"/>
      <c r="R2813" s="20"/>
      <c r="S2813" s="20">
        <v>0.5</v>
      </c>
      <c r="T2813" s="20">
        <v>0.5</v>
      </c>
    </row>
    <row r="2814" spans="13:20" x14ac:dyDescent="0.2">
      <c r="M2814" s="20">
        <v>1.3935705543496059E-2</v>
      </c>
      <c r="N2814" s="20">
        <v>1.8036688155971732E-3</v>
      </c>
      <c r="O2814" s="20">
        <v>0.12942787933969832</v>
      </c>
      <c r="P2814" s="20">
        <v>0.26</v>
      </c>
      <c r="Q2814" s="20">
        <v>1.9999999999999907E-2</v>
      </c>
      <c r="R2814" s="20"/>
      <c r="S2814" s="20"/>
      <c r="T2814" s="20">
        <v>0.72</v>
      </c>
    </row>
    <row r="2815" spans="13:20" x14ac:dyDescent="0.2">
      <c r="M2815" s="20">
        <v>1.3127394136794177E-2</v>
      </c>
      <c r="N2815" s="20">
        <v>1.9608860045187419E-3</v>
      </c>
      <c r="O2815" s="20">
        <v>0.149373591139666</v>
      </c>
      <c r="P2815" s="20">
        <v>0.53</v>
      </c>
      <c r="Q2815" s="20">
        <v>0.36</v>
      </c>
      <c r="R2815" s="20">
        <v>0.10999999999999999</v>
      </c>
      <c r="S2815" s="20"/>
      <c r="T2815" s="20"/>
    </row>
    <row r="2816" spans="13:20" x14ac:dyDescent="0.2">
      <c r="M2816" s="20">
        <v>1.0187204148936787E-2</v>
      </c>
      <c r="N2816" s="20">
        <v>8.6734331358424789E-4</v>
      </c>
      <c r="O2816" s="20">
        <v>8.5140466501279488E-2</v>
      </c>
      <c r="P2816" s="20"/>
      <c r="Q2816" s="20"/>
      <c r="R2816" s="20"/>
      <c r="S2816" s="20">
        <v>0.66</v>
      </c>
      <c r="T2816" s="20">
        <v>0.33999999999999986</v>
      </c>
    </row>
    <row r="2817" spans="13:20" x14ac:dyDescent="0.2">
      <c r="M2817" s="20">
        <v>1.3967112561819482E-2</v>
      </c>
      <c r="N2817" s="20">
        <v>2.0936947603957439E-3</v>
      </c>
      <c r="O2817" s="20">
        <v>0.14990176037666303</v>
      </c>
      <c r="P2817" s="20">
        <v>0.62</v>
      </c>
      <c r="Q2817" s="20">
        <v>0.38</v>
      </c>
      <c r="R2817" s="20"/>
      <c r="S2817" s="20"/>
      <c r="T2817" s="20"/>
    </row>
    <row r="2818" spans="13:20" x14ac:dyDescent="0.2">
      <c r="M2818" s="20">
        <v>1.2874652891939729E-2</v>
      </c>
      <c r="N2818" s="20">
        <v>2.2100354620442314E-3</v>
      </c>
      <c r="O2818" s="20">
        <v>0.17165786764067562</v>
      </c>
      <c r="P2818" s="20">
        <v>0.66</v>
      </c>
      <c r="Q2818" s="20">
        <v>8.9999999999999858E-2</v>
      </c>
      <c r="R2818" s="20"/>
      <c r="S2818" s="20"/>
      <c r="T2818" s="20">
        <v>0.25</v>
      </c>
    </row>
    <row r="2819" spans="13:20" x14ac:dyDescent="0.2">
      <c r="M2819" s="20">
        <v>1.3735477438161737E-2</v>
      </c>
      <c r="N2819" s="20">
        <v>1.3913856160262328E-3</v>
      </c>
      <c r="O2819" s="20">
        <v>0.10129867143609435</v>
      </c>
      <c r="P2819" s="20">
        <v>0</v>
      </c>
      <c r="Q2819" s="20">
        <v>0.16000000000000014</v>
      </c>
      <c r="R2819" s="20"/>
      <c r="S2819" s="20">
        <v>0.1</v>
      </c>
      <c r="T2819" s="20">
        <v>0.74</v>
      </c>
    </row>
    <row r="2820" spans="13:20" x14ac:dyDescent="0.2">
      <c r="M2820" s="20">
        <v>1.3307530022220166E-2</v>
      </c>
      <c r="N2820" s="20">
        <v>1.8940180041209396E-3</v>
      </c>
      <c r="O2820" s="20">
        <v>0.14232678798833553</v>
      </c>
      <c r="P2820" s="20">
        <v>0.35</v>
      </c>
      <c r="Q2820" s="20">
        <v>4.0000000000000147E-2</v>
      </c>
      <c r="R2820" s="20"/>
      <c r="S2820" s="20"/>
      <c r="T2820" s="20">
        <v>0.61</v>
      </c>
    </row>
    <row r="2821" spans="13:20" x14ac:dyDescent="0.2">
      <c r="M2821" s="20">
        <v>1.4111664700453743E-2</v>
      </c>
      <c r="N2821" s="20">
        <v>2.4488579226379114E-3</v>
      </c>
      <c r="O2821" s="20">
        <v>0.17353430474855114</v>
      </c>
      <c r="P2821" s="20">
        <v>0.89</v>
      </c>
      <c r="Q2821" s="20">
        <v>0.1100000000000001</v>
      </c>
      <c r="R2821" s="20"/>
      <c r="S2821" s="20"/>
      <c r="T2821" s="20"/>
    </row>
    <row r="2822" spans="13:20" x14ac:dyDescent="0.2">
      <c r="M2822" s="20">
        <v>1.6852964635850839E-2</v>
      </c>
      <c r="N2822" s="20">
        <v>1.2558478520669544E-3</v>
      </c>
      <c r="O2822" s="20">
        <v>7.4517918906411545E-2</v>
      </c>
      <c r="P2822" s="20"/>
      <c r="Q2822" s="20">
        <v>0.83</v>
      </c>
      <c r="R2822" s="20">
        <v>0.16999999999999993</v>
      </c>
      <c r="S2822" s="20"/>
      <c r="T2822" s="20"/>
    </row>
    <row r="2823" spans="13:20" x14ac:dyDescent="0.2">
      <c r="M2823" s="20">
        <v>1.0787508195407209E-2</v>
      </c>
      <c r="N2823" s="20">
        <v>1.7304486696789285E-3</v>
      </c>
      <c r="O2823" s="20">
        <v>0.16041226929641347</v>
      </c>
      <c r="P2823" s="20">
        <v>0.49999999999999989</v>
      </c>
      <c r="Q2823" s="20"/>
      <c r="R2823" s="20"/>
      <c r="S2823" s="20">
        <v>0.33</v>
      </c>
      <c r="T2823" s="20">
        <v>0.17</v>
      </c>
    </row>
    <row r="2824" spans="13:20" x14ac:dyDescent="0.2">
      <c r="M2824" s="20">
        <v>1.1155032780301371E-2</v>
      </c>
      <c r="N2824" s="20">
        <v>6.2527518985282758E-4</v>
      </c>
      <c r="O2824" s="20">
        <v>5.6053191610247764E-2</v>
      </c>
      <c r="P2824" s="20"/>
      <c r="Q2824" s="20"/>
      <c r="R2824" s="20"/>
      <c r="S2824" s="20">
        <v>0.9</v>
      </c>
      <c r="T2824" s="20">
        <v>9.9999999999999978E-2</v>
      </c>
    </row>
    <row r="2825" spans="13:20" x14ac:dyDescent="0.2">
      <c r="M2825" s="20">
        <v>1.6605098630716873E-2</v>
      </c>
      <c r="N2825" s="20">
        <v>1.2532258456797519E-3</v>
      </c>
      <c r="O2825" s="20">
        <v>7.5472351808948443E-2</v>
      </c>
      <c r="P2825" s="20"/>
      <c r="Q2825" s="20">
        <v>0.81</v>
      </c>
      <c r="R2825" s="20">
        <v>0.18999999999999995</v>
      </c>
      <c r="S2825" s="20"/>
      <c r="T2825" s="20"/>
    </row>
    <row r="2826" spans="13:20" x14ac:dyDescent="0.2">
      <c r="M2826" s="20">
        <v>1.0304820225874024E-2</v>
      </c>
      <c r="N2826" s="20">
        <v>1.0244190842791385E-3</v>
      </c>
      <c r="O2826" s="20">
        <v>9.9411640555063685E-2</v>
      </c>
      <c r="P2826" s="20"/>
      <c r="Q2826" s="20">
        <v>0.14000000000000001</v>
      </c>
      <c r="R2826" s="20">
        <v>0.18</v>
      </c>
      <c r="S2826" s="20">
        <v>0.4</v>
      </c>
      <c r="T2826" s="20">
        <v>0.28000000000000003</v>
      </c>
    </row>
    <row r="2827" spans="13:20" x14ac:dyDescent="0.2">
      <c r="M2827" s="20">
        <v>1.1043183785594752E-2</v>
      </c>
      <c r="N2827" s="20">
        <v>1.001262315462178E-3</v>
      </c>
      <c r="O2827" s="20">
        <v>9.0667902925628346E-2</v>
      </c>
      <c r="P2827" s="20">
        <v>0.01</v>
      </c>
      <c r="Q2827" s="20">
        <v>0.25</v>
      </c>
      <c r="R2827" s="20">
        <v>0.43</v>
      </c>
      <c r="S2827" s="20">
        <v>0.30999999999999994</v>
      </c>
      <c r="T2827" s="20"/>
    </row>
    <row r="2828" spans="13:20" x14ac:dyDescent="0.2">
      <c r="M2828" s="20">
        <v>1.6360203031018029E-2</v>
      </c>
      <c r="N2828" s="20">
        <v>1.2506038392925494E-3</v>
      </c>
      <c r="O2828" s="20">
        <v>7.6441828803803624E-2</v>
      </c>
      <c r="P2828" s="20"/>
      <c r="Q2828" s="20">
        <v>0.79</v>
      </c>
      <c r="R2828" s="20">
        <v>0.20999999999999985</v>
      </c>
      <c r="S2828" s="20"/>
      <c r="T2828" s="20"/>
    </row>
    <row r="2829" spans="13:20" x14ac:dyDescent="0.2">
      <c r="M2829" s="20">
        <v>1.331492732469809E-2</v>
      </c>
      <c r="N2829" s="20">
        <v>1.2283609442594714E-3</v>
      </c>
      <c r="O2829" s="20">
        <v>9.2254423498126292E-2</v>
      </c>
      <c r="P2829" s="20">
        <v>0.01</v>
      </c>
      <c r="Q2829" s="20">
        <v>0.51</v>
      </c>
      <c r="R2829" s="20">
        <v>0.48000000000000009</v>
      </c>
      <c r="S2829" s="20"/>
      <c r="T2829" s="20"/>
    </row>
    <row r="2830" spans="13:20" x14ac:dyDescent="0.2">
      <c r="M2830" s="20">
        <v>1.4656858912891799E-2</v>
      </c>
      <c r="N2830" s="20">
        <v>1.8832277012892748E-3</v>
      </c>
      <c r="O2830" s="20">
        <v>0.12848780986987846</v>
      </c>
      <c r="P2830" s="20">
        <v>0.46</v>
      </c>
      <c r="Q2830" s="20">
        <v>0.54</v>
      </c>
      <c r="R2830" s="20"/>
      <c r="S2830" s="20"/>
      <c r="T2830" s="20"/>
    </row>
    <row r="2831" spans="13:20" x14ac:dyDescent="0.2">
      <c r="M2831" s="20">
        <v>1.6200182288353199E-2</v>
      </c>
      <c r="N2831" s="20">
        <v>1.5436358875649341E-3</v>
      </c>
      <c r="O2831" s="20">
        <v>9.5285093716180005E-2</v>
      </c>
      <c r="P2831" s="20">
        <v>1.0000000000000009E-2</v>
      </c>
      <c r="Q2831" s="20"/>
      <c r="R2831" s="20"/>
      <c r="S2831" s="20"/>
      <c r="T2831" s="20">
        <v>0.99</v>
      </c>
    </row>
    <row r="2832" spans="13:20" x14ac:dyDescent="0.2">
      <c r="M2832" s="20">
        <v>1.4746925074910277E-2</v>
      </c>
      <c r="N2832" s="20">
        <v>1.6080860975201719E-3</v>
      </c>
      <c r="O2832" s="20">
        <v>0.10904551893710329</v>
      </c>
      <c r="P2832" s="20">
        <v>0.09</v>
      </c>
      <c r="Q2832" s="20">
        <v>8.0000000000000071E-2</v>
      </c>
      <c r="R2832" s="20"/>
      <c r="S2832" s="20"/>
      <c r="T2832" s="20">
        <v>0.83</v>
      </c>
    </row>
    <row r="2833" spans="13:20" x14ac:dyDescent="0.2">
      <c r="M2833" s="20">
        <v>1.561852098904238E-2</v>
      </c>
      <c r="N2833" s="20">
        <v>1.6072672898806109E-3</v>
      </c>
      <c r="O2833" s="20">
        <v>0.10290777795210157</v>
      </c>
      <c r="P2833" s="20">
        <v>6.999999999999984E-2</v>
      </c>
      <c r="Q2833" s="20"/>
      <c r="R2833" s="20"/>
      <c r="S2833" s="20"/>
      <c r="T2833" s="20">
        <v>0.93</v>
      </c>
    </row>
    <row r="2834" spans="13:20" x14ac:dyDescent="0.2">
      <c r="M2834" s="20">
        <v>1.8162832231029692E-2</v>
      </c>
      <c r="N2834" s="20">
        <v>1.3123534671662333E-3</v>
      </c>
      <c r="O2834" s="20">
        <v>7.2254891223637818E-2</v>
      </c>
      <c r="P2834" s="20">
        <v>0.03</v>
      </c>
      <c r="Q2834" s="20">
        <v>0.93</v>
      </c>
      <c r="R2834" s="20">
        <v>3.9999999999999925E-2</v>
      </c>
      <c r="S2834" s="20"/>
      <c r="T2834" s="20"/>
    </row>
    <row r="2835" spans="13:20" x14ac:dyDescent="0.2">
      <c r="M2835" s="20">
        <v>1.0972784808687778E-2</v>
      </c>
      <c r="N2835" s="20">
        <v>1.1283559535370546E-3</v>
      </c>
      <c r="O2835" s="20">
        <v>0.10283223203681814</v>
      </c>
      <c r="P2835" s="20"/>
      <c r="Q2835" s="20"/>
      <c r="R2835" s="20">
        <v>0.97</v>
      </c>
      <c r="S2835" s="20">
        <v>3.0000000000000027E-2</v>
      </c>
      <c r="T2835" s="20"/>
    </row>
    <row r="2836" spans="13:20" x14ac:dyDescent="0.2">
      <c r="M2836" s="20">
        <v>1.0683622081520438E-2</v>
      </c>
      <c r="N2836" s="20">
        <v>1.5105485884314206E-3</v>
      </c>
      <c r="O2836" s="20">
        <v>0.14138918214303281</v>
      </c>
      <c r="P2836" s="20">
        <v>0.34</v>
      </c>
      <c r="Q2836" s="20">
        <v>0.15</v>
      </c>
      <c r="R2836" s="20">
        <v>0.03</v>
      </c>
      <c r="S2836" s="20">
        <v>0.3</v>
      </c>
      <c r="T2836" s="20">
        <v>0.16</v>
      </c>
    </row>
    <row r="2837" spans="13:20" x14ac:dyDescent="0.2">
      <c r="M2837" s="20">
        <v>1.1302085055778125E-2</v>
      </c>
      <c r="N2837" s="20">
        <v>1.8912703574834508E-3</v>
      </c>
      <c r="O2837" s="20">
        <v>0.16733818124263272</v>
      </c>
      <c r="P2837" s="20">
        <v>0.5</v>
      </c>
      <c r="Q2837" s="20">
        <v>0.16</v>
      </c>
      <c r="R2837" s="20">
        <v>0.33999999999999997</v>
      </c>
      <c r="S2837" s="20"/>
      <c r="T2837" s="20"/>
    </row>
    <row r="2838" spans="13:20" x14ac:dyDescent="0.2">
      <c r="M2838" s="20">
        <v>1.0725350755565655E-2</v>
      </c>
      <c r="N2838" s="20">
        <v>1.1034511089223886E-3</v>
      </c>
      <c r="O2838" s="20">
        <v>0.10288251956233505</v>
      </c>
      <c r="P2838" s="20"/>
      <c r="Q2838" s="20"/>
      <c r="R2838" s="20">
        <v>0.93</v>
      </c>
      <c r="S2838" s="20">
        <v>6.9999999999999951E-2</v>
      </c>
      <c r="T2838" s="20"/>
    </row>
    <row r="2839" spans="13:20" x14ac:dyDescent="0.2">
      <c r="M2839" s="20">
        <v>1.7230052311804852E-2</v>
      </c>
      <c r="N2839" s="20">
        <v>1.2597808616477582E-3</v>
      </c>
      <c r="O2839" s="20">
        <v>7.3115324251490671E-2</v>
      </c>
      <c r="P2839" s="20"/>
      <c r="Q2839" s="20">
        <v>0.86</v>
      </c>
      <c r="R2839" s="20">
        <v>0.14000000000000012</v>
      </c>
      <c r="S2839" s="20"/>
      <c r="T2839" s="20"/>
    </row>
    <row r="2840" spans="13:20" x14ac:dyDescent="0.2">
      <c r="M2840" s="20">
        <v>1.3202565157529446E-2</v>
      </c>
      <c r="N2840" s="20">
        <v>1.6039777616489157E-3</v>
      </c>
      <c r="O2840" s="20">
        <v>0.12148985765347003</v>
      </c>
      <c r="P2840" s="20">
        <v>0.18</v>
      </c>
      <c r="Q2840" s="20">
        <v>0.41</v>
      </c>
      <c r="R2840" s="20">
        <v>4.0000000000000036E-2</v>
      </c>
      <c r="S2840" s="20"/>
      <c r="T2840" s="20">
        <v>0.37</v>
      </c>
    </row>
    <row r="2841" spans="13:20" x14ac:dyDescent="0.2">
      <c r="M2841" s="20">
        <v>1.2505680513539411E-2</v>
      </c>
      <c r="N2841" s="20">
        <v>1.472020206536595E-3</v>
      </c>
      <c r="O2841" s="20">
        <v>0.11770812511505442</v>
      </c>
      <c r="P2841" s="20">
        <v>0.19</v>
      </c>
      <c r="Q2841" s="20">
        <v>0.43</v>
      </c>
      <c r="R2841" s="20">
        <v>0.37</v>
      </c>
      <c r="S2841" s="20">
        <v>9.9999999999998979E-3</v>
      </c>
      <c r="T2841" s="20"/>
    </row>
    <row r="2842" spans="13:20" x14ac:dyDescent="0.2">
      <c r="M2842" s="20">
        <v>1.0657284975144708E-2</v>
      </c>
      <c r="N2842" s="20">
        <v>1.0287220627385287E-3</v>
      </c>
      <c r="O2842" s="20">
        <v>9.6527592640879012E-2</v>
      </c>
      <c r="P2842" s="20"/>
      <c r="Q2842" s="20"/>
      <c r="R2842" s="20"/>
      <c r="S2842" s="20">
        <v>0.5</v>
      </c>
      <c r="T2842" s="20">
        <v>0.50000000000000011</v>
      </c>
    </row>
    <row r="2843" spans="13:20" x14ac:dyDescent="0.2">
      <c r="M2843" s="20">
        <v>1.4159173434704696E-2</v>
      </c>
      <c r="N2843" s="20">
        <v>1.7981614968276432E-3</v>
      </c>
      <c r="O2843" s="20">
        <v>0.12699621945588138</v>
      </c>
      <c r="P2843" s="20">
        <v>0.25</v>
      </c>
      <c r="Q2843" s="20"/>
      <c r="R2843" s="20"/>
      <c r="S2843" s="20"/>
      <c r="T2843" s="20">
        <v>0.75</v>
      </c>
    </row>
    <row r="2844" spans="13:20" x14ac:dyDescent="0.2">
      <c r="M2844" s="20">
        <v>1.2235327216762831E-2</v>
      </c>
      <c r="N2844" s="20">
        <v>1.2203593273592364E-3</v>
      </c>
      <c r="O2844" s="20">
        <v>9.974063674302891E-2</v>
      </c>
      <c r="P2844" s="20"/>
      <c r="Q2844" s="20"/>
      <c r="R2844" s="20"/>
      <c r="S2844" s="20">
        <v>0.31</v>
      </c>
      <c r="T2844" s="20">
        <v>0.69</v>
      </c>
    </row>
    <row r="2845" spans="13:20" x14ac:dyDescent="0.2">
      <c r="M2845" s="20">
        <v>1.8369661035481624E-2</v>
      </c>
      <c r="N2845" s="20">
        <v>1.2453640425819014E-3</v>
      </c>
      <c r="O2845" s="20">
        <v>6.7794612005983051E-2</v>
      </c>
      <c r="P2845" s="20"/>
      <c r="Q2845" s="20">
        <v>0.94</v>
      </c>
      <c r="R2845" s="20">
        <v>0.02</v>
      </c>
      <c r="S2845" s="20">
        <v>3.9999999999999925E-2</v>
      </c>
      <c r="T2845" s="20"/>
    </row>
    <row r="2846" spans="13:20" x14ac:dyDescent="0.2">
      <c r="M2846" s="20">
        <v>1.0909084634781437E-2</v>
      </c>
      <c r="N2846" s="20">
        <v>1.122129742383388E-3</v>
      </c>
      <c r="O2846" s="20">
        <v>0.10286195221235167</v>
      </c>
      <c r="P2846" s="20"/>
      <c r="Q2846" s="20"/>
      <c r="R2846" s="20">
        <v>0.96</v>
      </c>
      <c r="S2846" s="20">
        <v>4.0000000000000036E-2</v>
      </c>
      <c r="T2846" s="20"/>
    </row>
    <row r="2847" spans="13:20" x14ac:dyDescent="0.2">
      <c r="M2847" s="20">
        <v>1.0429352240312708E-2</v>
      </c>
      <c r="N2847" s="20">
        <v>8.6195303356745756E-4</v>
      </c>
      <c r="O2847" s="20">
        <v>8.264684265200474E-2</v>
      </c>
      <c r="P2847" s="20"/>
      <c r="Q2847" s="20">
        <v>7.0000000000000007E-2</v>
      </c>
      <c r="R2847" s="20">
        <v>0.02</v>
      </c>
      <c r="S2847" s="20">
        <v>0.64</v>
      </c>
      <c r="T2847" s="20">
        <v>0.27</v>
      </c>
    </row>
    <row r="2848" spans="13:20" x14ac:dyDescent="0.2">
      <c r="M2848" s="20">
        <v>9.5653657619813506E-3</v>
      </c>
      <c r="N2848" s="20">
        <v>8.7308129623672737E-4</v>
      </c>
      <c r="O2848" s="20">
        <v>9.1275265155765367E-2</v>
      </c>
      <c r="P2848" s="20"/>
      <c r="Q2848" s="20"/>
      <c r="R2848" s="20">
        <v>0.56000000000000005</v>
      </c>
      <c r="S2848" s="20">
        <v>0.43999999999999984</v>
      </c>
      <c r="T2848" s="20"/>
    </row>
    <row r="2849" spans="13:20" x14ac:dyDescent="0.2">
      <c r="M2849" s="20">
        <v>1.1884100720154871E-2</v>
      </c>
      <c r="N2849" s="20">
        <v>1.6676491071828271E-3</v>
      </c>
      <c r="O2849" s="20">
        <v>0.14032606643551693</v>
      </c>
      <c r="P2849" s="20">
        <v>0.33</v>
      </c>
      <c r="Q2849" s="20">
        <v>0.33</v>
      </c>
      <c r="R2849" s="20">
        <v>0.33999999999999997</v>
      </c>
      <c r="S2849" s="20"/>
      <c r="T2849" s="20"/>
    </row>
    <row r="2850" spans="13:20" x14ac:dyDescent="0.2">
      <c r="M2850" s="20">
        <v>1.3151710262340825E-2</v>
      </c>
      <c r="N2850" s="20">
        <v>1.2112737434845132E-3</v>
      </c>
      <c r="O2850" s="20">
        <v>9.2100093396440361E-2</v>
      </c>
      <c r="P2850" s="20"/>
      <c r="Q2850" s="20">
        <v>0.49</v>
      </c>
      <c r="R2850" s="20">
        <v>0.51</v>
      </c>
      <c r="S2850" s="20"/>
      <c r="T2850" s="20"/>
    </row>
    <row r="2851" spans="13:20" x14ac:dyDescent="0.2">
      <c r="M2851" s="20">
        <v>1.0283284436038655E-2</v>
      </c>
      <c r="N2851" s="20">
        <v>9.3794651633924571E-4</v>
      </c>
      <c r="O2851" s="20">
        <v>9.1210791860636603E-2</v>
      </c>
      <c r="P2851" s="20"/>
      <c r="Q2851" s="20"/>
      <c r="R2851" s="20"/>
      <c r="S2851" s="20">
        <v>0.59</v>
      </c>
      <c r="T2851" s="20">
        <v>0.40999999999999992</v>
      </c>
    </row>
    <row r="2852" spans="13:20" x14ac:dyDescent="0.2">
      <c r="M2852" s="20">
        <v>1.0972784808687778E-2</v>
      </c>
      <c r="N2852" s="20">
        <v>1.1283559535370546E-3</v>
      </c>
      <c r="O2852" s="20">
        <v>0.10283223203681814</v>
      </c>
      <c r="P2852" s="20"/>
      <c r="Q2852" s="20"/>
      <c r="R2852" s="20">
        <v>0.97</v>
      </c>
      <c r="S2852" s="20">
        <v>2.9999999999999916E-2</v>
      </c>
      <c r="T2852" s="20"/>
    </row>
    <row r="2853" spans="13:20" x14ac:dyDescent="0.2">
      <c r="M2853" s="20">
        <v>1.0569640821757332E-2</v>
      </c>
      <c r="N2853" s="20">
        <v>7.1605073625211025E-4</v>
      </c>
      <c r="O2853" s="20">
        <v>6.7745985727172331E-2</v>
      </c>
      <c r="P2853" s="20"/>
      <c r="Q2853" s="20"/>
      <c r="R2853" s="20"/>
      <c r="S2853" s="20">
        <v>0.81</v>
      </c>
      <c r="T2853" s="20">
        <v>0.18999999999999995</v>
      </c>
    </row>
    <row r="2854" spans="13:20" x14ac:dyDescent="0.2">
      <c r="M2854" s="20">
        <v>1.1234592652910182E-2</v>
      </c>
      <c r="N2854" s="20">
        <v>6.1518901803068484E-4</v>
      </c>
      <c r="O2854" s="20">
        <v>5.4758462281347398E-2</v>
      </c>
      <c r="P2854" s="20"/>
      <c r="Q2854" s="20"/>
      <c r="R2854" s="20"/>
      <c r="S2854" s="20">
        <v>0.91</v>
      </c>
      <c r="T2854" s="20">
        <v>8.9999999999999858E-2</v>
      </c>
    </row>
    <row r="2855" spans="13:20" x14ac:dyDescent="0.2">
      <c r="M2855" s="20">
        <v>1.4043816940215016E-2</v>
      </c>
      <c r="N2855" s="20">
        <v>2.4225495402496028E-3</v>
      </c>
      <c r="O2855" s="20">
        <v>0.17249936755530743</v>
      </c>
      <c r="P2855" s="20">
        <v>0.87</v>
      </c>
      <c r="Q2855" s="20">
        <v>0.13000000000000012</v>
      </c>
      <c r="R2855" s="20"/>
      <c r="S2855" s="20"/>
      <c r="T2855" s="20"/>
    </row>
    <row r="2856" spans="13:20" x14ac:dyDescent="0.2">
      <c r="M2856" s="20">
        <v>9.8035940648196918E-3</v>
      </c>
      <c r="N2856" s="20">
        <v>1.0293577449597708E-3</v>
      </c>
      <c r="O2856" s="20">
        <v>0.10499799748478292</v>
      </c>
      <c r="P2856" s="20"/>
      <c r="Q2856" s="20"/>
      <c r="R2856" s="20">
        <v>0.73</v>
      </c>
      <c r="S2856" s="20">
        <v>0.22</v>
      </c>
      <c r="T2856" s="20">
        <v>5.0000000000000044E-2</v>
      </c>
    </row>
    <row r="2857" spans="13:20" x14ac:dyDescent="0.2">
      <c r="M2857" s="20">
        <v>9.8731435139752608E-3</v>
      </c>
      <c r="N2857" s="20">
        <v>7.7146546675372859E-4</v>
      </c>
      <c r="O2857" s="20">
        <v>7.8137775032008083E-2</v>
      </c>
      <c r="P2857" s="20"/>
      <c r="Q2857" s="20"/>
      <c r="R2857" s="20">
        <v>0.17</v>
      </c>
      <c r="S2857" s="20">
        <v>0.69</v>
      </c>
      <c r="T2857" s="20">
        <v>0.14000000000000012</v>
      </c>
    </row>
    <row r="2858" spans="13:20" x14ac:dyDescent="0.2">
      <c r="M2858" s="20">
        <v>1.4961254683134251E-2</v>
      </c>
      <c r="N2858" s="20">
        <v>1.2348718009693351E-3</v>
      </c>
      <c r="O2858" s="20">
        <v>8.253798408775169E-2</v>
      </c>
      <c r="P2858" s="20"/>
      <c r="Q2858" s="20">
        <v>0.67</v>
      </c>
      <c r="R2858" s="20">
        <v>0.33000000000000007</v>
      </c>
      <c r="S2858" s="20"/>
      <c r="T2858" s="20"/>
    </row>
    <row r="2859" spans="13:20" x14ac:dyDescent="0.2">
      <c r="M2859" s="20">
        <v>1.1863708145930605E-2</v>
      </c>
      <c r="N2859" s="20">
        <v>5.4458581527568745E-4</v>
      </c>
      <c r="O2859" s="20">
        <v>4.5903507451208414E-2</v>
      </c>
      <c r="P2859" s="20"/>
      <c r="Q2859" s="20"/>
      <c r="R2859" s="20"/>
      <c r="S2859" s="20">
        <v>0.98</v>
      </c>
      <c r="T2859" s="20">
        <v>2.0000000000000018E-2</v>
      </c>
    </row>
    <row r="2860" spans="13:20" x14ac:dyDescent="0.2">
      <c r="M2860" s="20">
        <v>1.3521701753187084E-2</v>
      </c>
      <c r="N2860" s="20">
        <v>1.9148190677397178E-3</v>
      </c>
      <c r="O2860" s="20">
        <v>0.14161080481518476</v>
      </c>
      <c r="P2860" s="20">
        <v>0.35999999999999988</v>
      </c>
      <c r="Q2860" s="20"/>
      <c r="R2860" s="20"/>
      <c r="S2860" s="20"/>
      <c r="T2860" s="20">
        <v>0.64</v>
      </c>
    </row>
    <row r="2861" spans="13:20" x14ac:dyDescent="0.2">
      <c r="M2861" s="20">
        <v>1.0337166813098955E-2</v>
      </c>
      <c r="N2861" s="20">
        <v>1.541630710320445E-3</v>
      </c>
      <c r="O2861" s="20">
        <v>0.14913474244866937</v>
      </c>
      <c r="P2861" s="20">
        <v>0.36</v>
      </c>
      <c r="Q2861" s="20"/>
      <c r="R2861" s="20"/>
      <c r="S2861" s="20">
        <v>0.37</v>
      </c>
      <c r="T2861" s="20">
        <v>0.27</v>
      </c>
    </row>
    <row r="2862" spans="13:20" x14ac:dyDescent="0.2">
      <c r="M2862" s="20">
        <v>9.5194427201361238E-3</v>
      </c>
      <c r="N2862" s="20">
        <v>8.1828773561648993E-4</v>
      </c>
      <c r="O2862" s="20">
        <v>8.5959625964826314E-2</v>
      </c>
      <c r="P2862" s="20"/>
      <c r="Q2862" s="20"/>
      <c r="R2862" s="20">
        <v>0.31</v>
      </c>
      <c r="S2862" s="20">
        <v>0.59</v>
      </c>
      <c r="T2862" s="20">
        <v>0.1000000000000002</v>
      </c>
    </row>
    <row r="2863" spans="13:20" x14ac:dyDescent="0.2">
      <c r="M2863" s="20">
        <v>1.1348321273074351E-2</v>
      </c>
      <c r="N2863" s="20">
        <v>1.0543032453854922E-3</v>
      </c>
      <c r="O2863" s="20">
        <v>9.2903894771378198E-2</v>
      </c>
      <c r="P2863" s="20"/>
      <c r="Q2863" s="20">
        <v>0.28999999999999998</v>
      </c>
      <c r="R2863" s="20">
        <v>0.5</v>
      </c>
      <c r="S2863" s="20">
        <v>0.20999999999999996</v>
      </c>
      <c r="T2863" s="20"/>
    </row>
    <row r="2864" spans="13:20" x14ac:dyDescent="0.2">
      <c r="M2864" s="20">
        <v>1.4054415181796754E-2</v>
      </c>
      <c r="N2864" s="20">
        <v>2.0542321868132806E-3</v>
      </c>
      <c r="O2864" s="20">
        <v>0.14616276524077054</v>
      </c>
      <c r="P2864" s="20">
        <v>0.59</v>
      </c>
      <c r="Q2864" s="20">
        <v>0.40999999999999992</v>
      </c>
      <c r="R2864" s="20"/>
      <c r="S2864" s="20"/>
      <c r="T2864" s="20"/>
    </row>
    <row r="2865" spans="13:20" x14ac:dyDescent="0.2">
      <c r="M2865" s="20">
        <v>1.7484792450961066E-2</v>
      </c>
      <c r="N2865" s="20">
        <v>1.2624028680349605E-3</v>
      </c>
      <c r="O2865" s="20">
        <v>7.2200048789573784E-2</v>
      </c>
      <c r="P2865" s="20"/>
      <c r="Q2865" s="20">
        <v>0.88</v>
      </c>
      <c r="R2865" s="20">
        <v>0.12</v>
      </c>
      <c r="S2865" s="20"/>
      <c r="T2865" s="20"/>
    </row>
    <row r="2866" spans="13:20" x14ac:dyDescent="0.2">
      <c r="M2866" s="20">
        <v>1.3517835691214475E-2</v>
      </c>
      <c r="N2866" s="20">
        <v>1.2165177562589182E-3</v>
      </c>
      <c r="O2866" s="20">
        <v>8.9993530328938559E-2</v>
      </c>
      <c r="P2866" s="20"/>
      <c r="Q2866" s="20">
        <v>0.53</v>
      </c>
      <c r="R2866" s="20">
        <v>0.47</v>
      </c>
      <c r="S2866" s="20"/>
      <c r="T2866" s="20"/>
    </row>
    <row r="2867" spans="13:20" x14ac:dyDescent="0.2">
      <c r="M2867" s="20">
        <v>1.0511635668746161E-2</v>
      </c>
      <c r="N2867" s="20">
        <v>9.0369704258976219E-4</v>
      </c>
      <c r="O2867" s="20">
        <v>8.5971115349506411E-2</v>
      </c>
      <c r="P2867" s="20">
        <v>0.1</v>
      </c>
      <c r="Q2867" s="20">
        <v>0.08</v>
      </c>
      <c r="R2867" s="20">
        <v>0.18</v>
      </c>
      <c r="S2867" s="20">
        <v>0.64</v>
      </c>
      <c r="T2867" s="20"/>
    </row>
    <row r="2868" spans="13:20" x14ac:dyDescent="0.2">
      <c r="M2868" s="20">
        <v>1.4227492800594425E-2</v>
      </c>
      <c r="N2868" s="20">
        <v>1.7875562631083637E-3</v>
      </c>
      <c r="O2868" s="20">
        <v>0.12564098876463176</v>
      </c>
      <c r="P2868" s="20">
        <v>0.24</v>
      </c>
      <c r="Q2868" s="20"/>
      <c r="R2868" s="20"/>
      <c r="S2868" s="20"/>
      <c r="T2868" s="20">
        <v>0.76</v>
      </c>
    </row>
    <row r="2869" spans="13:20" x14ac:dyDescent="0.2">
      <c r="M2869" s="20">
        <v>1.0624398992813928E-2</v>
      </c>
      <c r="N2869" s="20">
        <v>9.5877697791309875E-4</v>
      </c>
      <c r="O2869" s="20">
        <v>9.0242937841622003E-2</v>
      </c>
      <c r="P2869" s="20">
        <v>0.16</v>
      </c>
      <c r="Q2869" s="20">
        <v>3.0000000000000027E-2</v>
      </c>
      <c r="R2869" s="20"/>
      <c r="S2869" s="20">
        <v>0.73</v>
      </c>
      <c r="T2869" s="20">
        <v>0.08</v>
      </c>
    </row>
    <row r="2870" spans="13:20" x14ac:dyDescent="0.2">
      <c r="M2870" s="20">
        <v>1.0663276279045017E-2</v>
      </c>
      <c r="N2870" s="20">
        <v>6.7657858926544519E-4</v>
      </c>
      <c r="O2870" s="20">
        <v>6.3449410064993481E-2</v>
      </c>
      <c r="P2870" s="20"/>
      <c r="Q2870" s="20"/>
      <c r="R2870" s="20">
        <v>0.05</v>
      </c>
      <c r="S2870" s="20">
        <v>0.83</v>
      </c>
      <c r="T2870" s="20">
        <v>0.12</v>
      </c>
    </row>
    <row r="2871" spans="13:20" x14ac:dyDescent="0.2">
      <c r="M2871" s="20">
        <v>1.0340378057050131E-2</v>
      </c>
      <c r="N2871" s="20">
        <v>1.7160772758943593E-3</v>
      </c>
      <c r="O2871" s="20">
        <v>0.16595885241587735</v>
      </c>
      <c r="P2871" s="20">
        <v>0.37</v>
      </c>
      <c r="Q2871" s="20">
        <v>7.0000000000000007E-2</v>
      </c>
      <c r="R2871" s="20">
        <v>0.47</v>
      </c>
      <c r="S2871" s="20">
        <v>0.01</v>
      </c>
      <c r="T2871" s="20">
        <v>7.999999999999996E-2</v>
      </c>
    </row>
    <row r="2872" spans="13:20" x14ac:dyDescent="0.2">
      <c r="M2872" s="20">
        <v>9.8860185038424503E-3</v>
      </c>
      <c r="N2872" s="20">
        <v>7.5478328431706357E-4</v>
      </c>
      <c r="O2872" s="20">
        <v>7.6348560750083366E-2</v>
      </c>
      <c r="P2872" s="20"/>
      <c r="Q2872" s="20"/>
      <c r="R2872" s="20">
        <v>0.37</v>
      </c>
      <c r="S2872" s="20">
        <v>0.62999999999999989</v>
      </c>
      <c r="T2872" s="20"/>
    </row>
    <row r="2873" spans="13:20" x14ac:dyDescent="0.2">
      <c r="M2873" s="20">
        <v>1.5933010011191028E-2</v>
      </c>
      <c r="N2873" s="20">
        <v>1.6596064509886506E-3</v>
      </c>
      <c r="O2873" s="20">
        <v>0.10416151435434835</v>
      </c>
      <c r="P2873" s="20">
        <v>0.28999999999999998</v>
      </c>
      <c r="Q2873" s="20">
        <v>0.71</v>
      </c>
      <c r="R2873" s="20"/>
      <c r="S2873" s="20"/>
      <c r="T2873" s="20"/>
    </row>
    <row r="2874" spans="13:20" x14ac:dyDescent="0.2">
      <c r="M2874" s="20">
        <v>1.2235327216762831E-2</v>
      </c>
      <c r="N2874" s="20">
        <v>1.2203593273592364E-3</v>
      </c>
      <c r="O2874" s="20">
        <v>9.974063674302891E-2</v>
      </c>
      <c r="P2874" s="20"/>
      <c r="Q2874" s="20"/>
      <c r="R2874" s="20"/>
      <c r="S2874" s="20">
        <v>0.31</v>
      </c>
      <c r="T2874" s="20">
        <v>0.69</v>
      </c>
    </row>
    <row r="2875" spans="13:20" x14ac:dyDescent="0.2">
      <c r="M2875" s="20">
        <v>1.3957117456403401E-2</v>
      </c>
      <c r="N2875" s="20">
        <v>1.6444052406955948E-3</v>
      </c>
      <c r="O2875" s="20">
        <v>0.11781839952497902</v>
      </c>
      <c r="P2875" s="20">
        <v>0.23</v>
      </c>
      <c r="Q2875" s="20">
        <v>0.52</v>
      </c>
      <c r="R2875" s="20"/>
      <c r="S2875" s="20"/>
      <c r="T2875" s="20">
        <v>0.25</v>
      </c>
    </row>
    <row r="2876" spans="13:20" x14ac:dyDescent="0.2">
      <c r="M2876" s="20">
        <v>1.338857888529792E-2</v>
      </c>
      <c r="N2876" s="20">
        <v>1.467610909132441E-3</v>
      </c>
      <c r="O2876" s="20">
        <v>0.10961663083929196</v>
      </c>
      <c r="P2876" s="20">
        <v>0.14000000000000001</v>
      </c>
      <c r="Q2876" s="20">
        <v>0.5</v>
      </c>
      <c r="R2876" s="20">
        <v>0.04</v>
      </c>
      <c r="S2876" s="20">
        <v>0.04</v>
      </c>
      <c r="T2876" s="20">
        <v>0.26</v>
      </c>
    </row>
    <row r="2877" spans="13:20" x14ac:dyDescent="0.2">
      <c r="M2877" s="20">
        <v>1.2828908913352437E-2</v>
      </c>
      <c r="N2877" s="20">
        <v>1.8791336630914711E-3</v>
      </c>
      <c r="O2877" s="20">
        <v>0.14647649895897638</v>
      </c>
      <c r="P2877" s="20">
        <v>0.36</v>
      </c>
      <c r="Q2877" s="20">
        <v>0.14000000000000001</v>
      </c>
      <c r="R2877" s="20"/>
      <c r="S2877" s="20"/>
      <c r="T2877" s="20">
        <v>0.5</v>
      </c>
    </row>
    <row r="2878" spans="13:20" x14ac:dyDescent="0.2">
      <c r="M2878" s="20">
        <v>1.0192156839305608E-2</v>
      </c>
      <c r="N2878" s="20">
        <v>8.4717096993996315E-4</v>
      </c>
      <c r="O2878" s="20">
        <v>8.3119891431898421E-2</v>
      </c>
      <c r="P2878" s="20"/>
      <c r="Q2878" s="20"/>
      <c r="R2878" s="20"/>
      <c r="S2878" s="20">
        <v>0.68</v>
      </c>
      <c r="T2878" s="20">
        <v>0.31999999999999995</v>
      </c>
    </row>
    <row r="2879" spans="13:20" x14ac:dyDescent="0.2">
      <c r="M2879" s="20">
        <v>1.0912978398749273E-2</v>
      </c>
      <c r="N2879" s="20">
        <v>6.2403285009006665E-4</v>
      </c>
      <c r="O2879" s="20">
        <v>5.7182634042562255E-2</v>
      </c>
      <c r="P2879" s="20"/>
      <c r="Q2879" s="20"/>
      <c r="R2879" s="20">
        <v>0.16</v>
      </c>
      <c r="S2879" s="20">
        <v>0.84</v>
      </c>
      <c r="T2879" s="20"/>
    </row>
    <row r="2880" spans="13:20" x14ac:dyDescent="0.2">
      <c r="M2880" s="20">
        <v>9.9523073688790042E-3</v>
      </c>
      <c r="N2880" s="20">
        <v>1.0455560392234522E-3</v>
      </c>
      <c r="O2880" s="20">
        <v>0.10505664671219055</v>
      </c>
      <c r="P2880" s="20">
        <v>0.13</v>
      </c>
      <c r="Q2880" s="20"/>
      <c r="R2880" s="20"/>
      <c r="S2880" s="20">
        <v>0.62</v>
      </c>
      <c r="T2880" s="20">
        <v>0.25</v>
      </c>
    </row>
    <row r="2881" spans="13:20" x14ac:dyDescent="0.2">
      <c r="M2881" s="20">
        <v>1.0245280101872246E-2</v>
      </c>
      <c r="N2881" s="20">
        <v>8.0682628265139281E-4</v>
      </c>
      <c r="O2881" s="20">
        <v>7.8751022385805891E-2</v>
      </c>
      <c r="P2881" s="20"/>
      <c r="Q2881" s="20"/>
      <c r="R2881" s="20"/>
      <c r="S2881" s="20">
        <v>0.72</v>
      </c>
      <c r="T2881" s="20">
        <v>0.27999999999999992</v>
      </c>
    </row>
    <row r="2882" spans="13:20" x14ac:dyDescent="0.2">
      <c r="M2882" s="20">
        <v>1.4824539842906609E-2</v>
      </c>
      <c r="N2882" s="20">
        <v>1.6106350549950469E-3</v>
      </c>
      <c r="O2882" s="20">
        <v>0.10864654633888818</v>
      </c>
      <c r="P2882" s="20">
        <v>0.09</v>
      </c>
      <c r="Q2882" s="20">
        <v>7.0000000000000173E-2</v>
      </c>
      <c r="R2882" s="20"/>
      <c r="S2882" s="20"/>
      <c r="T2882" s="20">
        <v>0.84</v>
      </c>
    </row>
    <row r="2883" spans="13:20" x14ac:dyDescent="0.2">
      <c r="M2883" s="20">
        <v>1.0657284975144708E-2</v>
      </c>
      <c r="N2883" s="20">
        <v>1.0287220627385285E-3</v>
      </c>
      <c r="O2883" s="20">
        <v>9.6527592640878984E-2</v>
      </c>
      <c r="P2883" s="20"/>
      <c r="Q2883" s="20"/>
      <c r="R2883" s="20"/>
      <c r="S2883" s="20">
        <v>0.5</v>
      </c>
      <c r="T2883" s="20">
        <v>0.5</v>
      </c>
    </row>
    <row r="2884" spans="13:20" x14ac:dyDescent="0.2">
      <c r="M2884" s="20">
        <v>1.0023761463432531E-2</v>
      </c>
      <c r="N2884" s="20">
        <v>1.0471132249148633E-3</v>
      </c>
      <c r="O2884" s="20">
        <v>0.10446310287159312</v>
      </c>
      <c r="P2884" s="20">
        <v>0.15999999999999992</v>
      </c>
      <c r="Q2884" s="20"/>
      <c r="R2884" s="20"/>
      <c r="S2884" s="20">
        <v>0.65</v>
      </c>
      <c r="T2884" s="20">
        <v>0.19</v>
      </c>
    </row>
    <row r="2885" spans="13:20" x14ac:dyDescent="0.2">
      <c r="M2885" s="20">
        <v>1.2070794273845498E-2</v>
      </c>
      <c r="N2885" s="20">
        <v>1.8504526214492445E-3</v>
      </c>
      <c r="O2885" s="20">
        <v>0.15329998834117564</v>
      </c>
      <c r="P2885" s="20">
        <v>0.46</v>
      </c>
      <c r="Q2885" s="20">
        <v>0.28999999999999998</v>
      </c>
      <c r="R2885" s="20">
        <v>0.25</v>
      </c>
      <c r="S2885" s="20"/>
      <c r="T2885" s="20"/>
    </row>
    <row r="2886" spans="13:20" x14ac:dyDescent="0.2">
      <c r="M2886" s="20">
        <v>1.0283284436038655E-2</v>
      </c>
      <c r="N2886" s="20">
        <v>9.3794651633924571E-4</v>
      </c>
      <c r="O2886" s="20">
        <v>9.1210791860636603E-2</v>
      </c>
      <c r="P2886" s="20"/>
      <c r="Q2886" s="20"/>
      <c r="R2886" s="20"/>
      <c r="S2886" s="20">
        <v>0.59</v>
      </c>
      <c r="T2886" s="20">
        <v>0.40999999999999992</v>
      </c>
    </row>
    <row r="2887" spans="13:20" x14ac:dyDescent="0.2">
      <c r="M2887" s="20">
        <v>1.3967112561819482E-2</v>
      </c>
      <c r="N2887" s="20">
        <v>2.0936947603957439E-3</v>
      </c>
      <c r="O2887" s="20">
        <v>0.14990176037666303</v>
      </c>
      <c r="P2887" s="20">
        <v>0.62</v>
      </c>
      <c r="Q2887" s="20">
        <v>0.38</v>
      </c>
      <c r="R2887" s="20"/>
      <c r="S2887" s="20"/>
      <c r="T2887" s="20"/>
    </row>
    <row r="2888" spans="13:20" x14ac:dyDescent="0.2">
      <c r="M2888" s="20">
        <v>1.275392637728834E-2</v>
      </c>
      <c r="N2888" s="20">
        <v>2.1311103148793052E-3</v>
      </c>
      <c r="O2888" s="20">
        <v>0.16709445011963511</v>
      </c>
      <c r="P2888" s="20">
        <v>0.6</v>
      </c>
      <c r="Q2888" s="20">
        <v>0.15000000000000002</v>
      </c>
      <c r="R2888" s="20"/>
      <c r="S2888" s="20"/>
      <c r="T2888" s="20">
        <v>0.25</v>
      </c>
    </row>
    <row r="2889" spans="13:20" x14ac:dyDescent="0.2">
      <c r="M2889" s="20">
        <v>1.0079903988218845E-2</v>
      </c>
      <c r="N2889" s="20">
        <v>8.3559108793453477E-4</v>
      </c>
      <c r="O2889" s="20">
        <v>8.2896730852908329E-2</v>
      </c>
      <c r="P2889" s="20"/>
      <c r="Q2889" s="20"/>
      <c r="R2889" s="20">
        <v>0.03</v>
      </c>
      <c r="S2889" s="20">
        <v>0.68</v>
      </c>
      <c r="T2889" s="20">
        <v>0.28999999999999981</v>
      </c>
    </row>
    <row r="2890" spans="13:20" x14ac:dyDescent="0.2">
      <c r="M2890" s="20">
        <v>1.0444953040813672E-2</v>
      </c>
      <c r="N2890" s="20">
        <v>1.0723200531540559E-3</v>
      </c>
      <c r="O2890" s="20">
        <v>0.1026639419980122</v>
      </c>
      <c r="P2890" s="20"/>
      <c r="Q2890" s="20"/>
      <c r="R2890" s="20">
        <v>0.88</v>
      </c>
      <c r="S2890" s="20">
        <v>0.11999999999999988</v>
      </c>
      <c r="T2890" s="20"/>
    </row>
    <row r="2891" spans="13:20" x14ac:dyDescent="0.2">
      <c r="M2891" s="20">
        <v>1.2071617542513475E-2</v>
      </c>
      <c r="N2891" s="20">
        <v>1.1929196987740965E-3</v>
      </c>
      <c r="O2891" s="20">
        <v>9.8820203222385591E-2</v>
      </c>
      <c r="P2891" s="20"/>
      <c r="Q2891" s="20">
        <v>0.35</v>
      </c>
      <c r="R2891" s="20">
        <v>0.65</v>
      </c>
      <c r="S2891" s="20"/>
      <c r="T2891" s="20"/>
    </row>
    <row r="2892" spans="13:20" x14ac:dyDescent="0.2">
      <c r="M2892" s="20">
        <v>1.0408189214601274E-2</v>
      </c>
      <c r="N2892" s="20">
        <v>1.0713378547747942E-3</v>
      </c>
      <c r="O2892" s="20">
        <v>0.10293220392956086</v>
      </c>
      <c r="P2892" s="20"/>
      <c r="Q2892" s="20">
        <v>0.04</v>
      </c>
      <c r="R2892" s="20">
        <v>0.83</v>
      </c>
      <c r="S2892" s="20">
        <v>0.12999999999999989</v>
      </c>
      <c r="T2892" s="20"/>
    </row>
    <row r="2893" spans="13:20" x14ac:dyDescent="0.2">
      <c r="M2893" s="20">
        <v>1.6605098630716873E-2</v>
      </c>
      <c r="N2893" s="20">
        <v>1.2532258456797521E-3</v>
      </c>
      <c r="O2893" s="20">
        <v>7.5472351808948457E-2</v>
      </c>
      <c r="P2893" s="20"/>
      <c r="Q2893" s="20">
        <v>0.81</v>
      </c>
      <c r="R2893" s="20">
        <v>0.19000000000000006</v>
      </c>
      <c r="S2893" s="20"/>
      <c r="T2893" s="20"/>
    </row>
    <row r="2894" spans="13:20" x14ac:dyDescent="0.2">
      <c r="M2894" s="20">
        <v>1.4242746835475655E-2</v>
      </c>
      <c r="N2894" s="20">
        <v>1.4751089323984845E-3</v>
      </c>
      <c r="O2894" s="20">
        <v>0.10356913237580702</v>
      </c>
      <c r="P2894" s="20">
        <v>5.0000000000000044E-2</v>
      </c>
      <c r="Q2894" s="20"/>
      <c r="R2894" s="20"/>
      <c r="S2894" s="20">
        <v>0.11</v>
      </c>
      <c r="T2894" s="20">
        <v>0.84</v>
      </c>
    </row>
    <row r="2895" spans="13:20" x14ac:dyDescent="0.2">
      <c r="M2895" s="20">
        <v>1.2894609629780632E-2</v>
      </c>
      <c r="N2895" s="20">
        <v>2.2785113855780452E-3</v>
      </c>
      <c r="O2895" s="20">
        <v>0.17670262621333874</v>
      </c>
      <c r="P2895" s="20">
        <v>0.76000000000000012</v>
      </c>
      <c r="Q2895" s="20"/>
      <c r="R2895" s="20"/>
      <c r="S2895" s="20">
        <v>0.06</v>
      </c>
      <c r="T2895" s="20">
        <v>0.18</v>
      </c>
    </row>
    <row r="2896" spans="13:20" x14ac:dyDescent="0.2">
      <c r="M2896" s="20">
        <v>1.0291889608022969E-2</v>
      </c>
      <c r="N2896" s="20">
        <v>1.030828002422489E-3</v>
      </c>
      <c r="O2896" s="20">
        <v>0.10015925565494935</v>
      </c>
      <c r="P2896" s="20"/>
      <c r="Q2896" s="20">
        <v>0.13</v>
      </c>
      <c r="R2896" s="20">
        <v>0.17</v>
      </c>
      <c r="S2896" s="20">
        <v>0.4</v>
      </c>
      <c r="T2896" s="20">
        <v>0.29999999999999982</v>
      </c>
    </row>
    <row r="2897" spans="13:20" x14ac:dyDescent="0.2">
      <c r="M2897" s="20">
        <v>1.0669972631987283E-2</v>
      </c>
      <c r="N2897" s="20">
        <v>9.1114454810930449E-4</v>
      </c>
      <c r="O2897" s="20">
        <v>8.5393335066090398E-2</v>
      </c>
      <c r="P2897" s="20">
        <v>0.01</v>
      </c>
      <c r="Q2897" s="20">
        <v>0.18</v>
      </c>
      <c r="R2897" s="20">
        <v>0.37</v>
      </c>
      <c r="S2897" s="20">
        <v>0.43999999999999984</v>
      </c>
      <c r="T2897" s="20"/>
    </row>
    <row r="2898" spans="13:20" x14ac:dyDescent="0.2">
      <c r="M2898" s="20">
        <v>1.5644725188612919E-2</v>
      </c>
      <c r="N2898" s="20">
        <v>1.2427378201309424E-3</v>
      </c>
      <c r="O2898" s="20">
        <v>7.9434940860161257E-2</v>
      </c>
      <c r="P2898" s="20"/>
      <c r="Q2898" s="20">
        <v>0.73</v>
      </c>
      <c r="R2898" s="20">
        <v>0.27</v>
      </c>
      <c r="S2898" s="20"/>
      <c r="T2898" s="20"/>
    </row>
    <row r="2899" spans="13:20" x14ac:dyDescent="0.2">
      <c r="M2899" s="20">
        <v>1.441711545283081E-2</v>
      </c>
      <c r="N2899" s="20">
        <v>2.5409372609969914E-3</v>
      </c>
      <c r="O2899" s="20">
        <v>0.17624449698764649</v>
      </c>
      <c r="P2899" s="20">
        <v>0.96</v>
      </c>
      <c r="Q2899" s="20">
        <v>4.0000000000000036E-2</v>
      </c>
      <c r="R2899" s="20"/>
      <c r="S2899" s="20"/>
      <c r="T2899" s="20"/>
    </row>
    <row r="2900" spans="13:20" x14ac:dyDescent="0.2">
      <c r="M2900" s="20">
        <v>1.4925067001820119E-2</v>
      </c>
      <c r="N2900" s="20">
        <v>1.014003599389465E-3</v>
      </c>
      <c r="O2900" s="20">
        <v>6.7939634660655585E-2</v>
      </c>
      <c r="P2900" s="20"/>
      <c r="Q2900" s="20">
        <v>0.6</v>
      </c>
      <c r="R2900" s="20">
        <v>0.06</v>
      </c>
      <c r="S2900" s="20">
        <v>0.34000000000000008</v>
      </c>
      <c r="T2900" s="20"/>
    </row>
    <row r="2901" spans="13:20" x14ac:dyDescent="0.2">
      <c r="M2901" s="20">
        <v>1.6200182288353199E-2</v>
      </c>
      <c r="N2901" s="20">
        <v>1.5436358875649341E-3</v>
      </c>
      <c r="O2901" s="20">
        <v>9.5285093716180005E-2</v>
      </c>
      <c r="P2901" s="20">
        <v>1.0000000000000009E-2</v>
      </c>
      <c r="Q2901" s="20"/>
      <c r="R2901" s="20"/>
      <c r="S2901" s="20"/>
      <c r="T2901" s="20">
        <v>0.99</v>
      </c>
    </row>
    <row r="2902" spans="13:20" x14ac:dyDescent="0.2">
      <c r="M2902" s="20">
        <v>1.4435756593076672E-2</v>
      </c>
      <c r="N2902" s="20">
        <v>1.5113182480311223E-3</v>
      </c>
      <c r="O2902" s="20">
        <v>0.10469269402588459</v>
      </c>
      <c r="P2902" s="20">
        <v>0.03</v>
      </c>
      <c r="Q2902" s="20">
        <v>0.20999999999999985</v>
      </c>
      <c r="R2902" s="20"/>
      <c r="S2902" s="20"/>
      <c r="T2902" s="20">
        <v>0.76</v>
      </c>
    </row>
    <row r="2903" spans="13:20" x14ac:dyDescent="0.2">
      <c r="M2903" s="20">
        <v>1.5081169588307179E-2</v>
      </c>
      <c r="N2903" s="20">
        <v>1.6708986921962887E-3</v>
      </c>
      <c r="O2903" s="20">
        <v>0.11079370750474019</v>
      </c>
      <c r="P2903" s="20">
        <v>0.13</v>
      </c>
      <c r="Q2903" s="20"/>
      <c r="R2903" s="20"/>
      <c r="S2903" s="20"/>
      <c r="T2903" s="20">
        <v>0.87</v>
      </c>
    </row>
    <row r="2904" spans="13:20" x14ac:dyDescent="0.2">
      <c r="M2904" s="20">
        <v>1.4469126985004868E-2</v>
      </c>
      <c r="N2904" s="20">
        <v>2.5540914521911462E-3</v>
      </c>
      <c r="O2904" s="20">
        <v>0.17652007994940455</v>
      </c>
      <c r="P2904" s="20">
        <v>0.97</v>
      </c>
      <c r="Q2904" s="20">
        <v>2.9999999999999916E-2</v>
      </c>
      <c r="R2904" s="20"/>
      <c r="S2904" s="20"/>
      <c r="T2904" s="20"/>
    </row>
    <row r="2905" spans="13:20" x14ac:dyDescent="0.2">
      <c r="M2905" s="20">
        <v>1.2786012775737486E-2</v>
      </c>
      <c r="N2905" s="20">
        <v>2.1035737210316555E-3</v>
      </c>
      <c r="O2905" s="20">
        <v>0.16452147811265763</v>
      </c>
      <c r="P2905" s="20">
        <v>0.55000000000000004</v>
      </c>
      <c r="Q2905" s="20">
        <v>5.0000000000000044E-2</v>
      </c>
      <c r="R2905" s="20"/>
      <c r="S2905" s="20"/>
      <c r="T2905" s="20">
        <v>0.4</v>
      </c>
    </row>
    <row r="2906" spans="13:20" x14ac:dyDescent="0.2">
      <c r="M2906" s="20">
        <v>1.0799797679566986E-2</v>
      </c>
      <c r="N2906" s="20">
        <v>1.7202756147813771E-3</v>
      </c>
      <c r="O2906" s="20">
        <v>0.15928776314357318</v>
      </c>
      <c r="P2906" s="20">
        <v>0.34</v>
      </c>
      <c r="Q2906" s="20">
        <v>0.15</v>
      </c>
      <c r="R2906" s="20">
        <v>0.35000000000000009</v>
      </c>
      <c r="S2906" s="20"/>
      <c r="T2906" s="20">
        <v>0.16</v>
      </c>
    </row>
    <row r="2907" spans="13:20" x14ac:dyDescent="0.2">
      <c r="M2907" s="20">
        <v>1.0839842417194918E-2</v>
      </c>
      <c r="N2907" s="20">
        <v>1.9334229678604601E-3</v>
      </c>
      <c r="O2907" s="20">
        <v>0.17836264527181034</v>
      </c>
      <c r="P2907" s="20">
        <v>0.56000000000000016</v>
      </c>
      <c r="Q2907" s="20"/>
      <c r="R2907" s="20">
        <v>0.24</v>
      </c>
      <c r="S2907" s="20">
        <v>0.1</v>
      </c>
      <c r="T2907" s="20">
        <v>0.1</v>
      </c>
    </row>
    <row r="2908" spans="13:20" x14ac:dyDescent="0.2">
      <c r="M2908" s="20">
        <v>1.7230052311804852E-2</v>
      </c>
      <c r="N2908" s="20">
        <v>1.259780861647758E-3</v>
      </c>
      <c r="O2908" s="20">
        <v>7.3115324251490657E-2</v>
      </c>
      <c r="P2908" s="20"/>
      <c r="Q2908" s="20">
        <v>0.86</v>
      </c>
      <c r="R2908" s="20">
        <v>0.1399999999999999</v>
      </c>
      <c r="S2908" s="20"/>
      <c r="T2908" s="20"/>
    </row>
    <row r="2909" spans="13:20" x14ac:dyDescent="0.2">
      <c r="M2909" s="20">
        <v>1.6360203031018032E-2</v>
      </c>
      <c r="N2909" s="20">
        <v>1.2506038392925494E-3</v>
      </c>
      <c r="O2909" s="20">
        <v>7.6441828803803624E-2</v>
      </c>
      <c r="P2909" s="20"/>
      <c r="Q2909" s="20">
        <v>0.79</v>
      </c>
      <c r="R2909" s="20">
        <v>0.20999999999999996</v>
      </c>
      <c r="S2909" s="20"/>
      <c r="T2909" s="20"/>
    </row>
    <row r="2910" spans="13:20" x14ac:dyDescent="0.2">
      <c r="M2910" s="20">
        <v>1.3170729912103678E-2</v>
      </c>
      <c r="N2910" s="20">
        <v>1.5895125672611603E-3</v>
      </c>
      <c r="O2910" s="20">
        <v>0.12068522988998698</v>
      </c>
      <c r="P2910" s="20">
        <v>0.17</v>
      </c>
      <c r="Q2910" s="20">
        <v>0.41</v>
      </c>
      <c r="R2910" s="20">
        <v>5.0000000000000044E-2</v>
      </c>
      <c r="S2910" s="20"/>
      <c r="T2910" s="20">
        <v>0.37</v>
      </c>
    </row>
    <row r="2911" spans="13:20" x14ac:dyDescent="0.2">
      <c r="M2911" s="20">
        <v>1.1952485275193983E-2</v>
      </c>
      <c r="N2911" s="20">
        <v>1.2652912202824572E-3</v>
      </c>
      <c r="O2911" s="20">
        <v>0.10586009446156144</v>
      </c>
      <c r="P2911" s="20">
        <v>0.13</v>
      </c>
      <c r="Q2911" s="20">
        <v>0.37</v>
      </c>
      <c r="R2911" s="20">
        <v>0.31</v>
      </c>
      <c r="S2911" s="20">
        <v>0.18999999999999995</v>
      </c>
      <c r="T2911" s="20"/>
    </row>
    <row r="2912" spans="13:20" x14ac:dyDescent="0.2">
      <c r="M2912" s="20">
        <v>1.1126261192309094E-2</v>
      </c>
      <c r="N2912" s="20">
        <v>1.0993252654935262E-3</v>
      </c>
      <c r="O2912" s="20">
        <v>9.8804553164132336E-2</v>
      </c>
      <c r="P2912" s="20"/>
      <c r="Q2912" s="20"/>
      <c r="R2912" s="20"/>
      <c r="S2912" s="20">
        <v>0.43</v>
      </c>
      <c r="T2912" s="20">
        <v>0.57000000000000006</v>
      </c>
    </row>
    <row r="2913" spans="13:20" x14ac:dyDescent="0.2">
      <c r="M2913" s="20">
        <v>1.3648693268371669E-2</v>
      </c>
      <c r="N2913" s="20">
        <v>1.754010412115211E-3</v>
      </c>
      <c r="O2913" s="20">
        <v>0.12851123383216523</v>
      </c>
      <c r="P2913" s="20">
        <v>0.23</v>
      </c>
      <c r="Q2913" s="20">
        <v>8.9999999999999858E-2</v>
      </c>
      <c r="R2913" s="20"/>
      <c r="S2913" s="20"/>
      <c r="T2913" s="20">
        <v>0.68</v>
      </c>
    </row>
    <row r="2914" spans="13:20" x14ac:dyDescent="0.2">
      <c r="M2914" s="20">
        <v>1.0267488646913093E-2</v>
      </c>
      <c r="N2914" s="20">
        <v>7.967401108292505E-4</v>
      </c>
      <c r="O2914" s="20">
        <v>7.7598343492572497E-2</v>
      </c>
      <c r="P2914" s="20"/>
      <c r="Q2914" s="20"/>
      <c r="R2914" s="20"/>
      <c r="S2914" s="20">
        <v>0.73</v>
      </c>
      <c r="T2914" s="20">
        <v>0.27</v>
      </c>
    </row>
    <row r="2915" spans="13:20" x14ac:dyDescent="0.2">
      <c r="M2915" s="20">
        <v>1.4877388305421386E-2</v>
      </c>
      <c r="N2915" s="20">
        <v>1.7885263565429921E-3</v>
      </c>
      <c r="O2915" s="20">
        <v>0.12021776402053343</v>
      </c>
      <c r="P2915" s="20">
        <v>0.39</v>
      </c>
      <c r="Q2915" s="20">
        <v>0.59</v>
      </c>
      <c r="R2915" s="20">
        <v>2.0000000000000129E-2</v>
      </c>
      <c r="S2915" s="20"/>
      <c r="T2915" s="20"/>
    </row>
    <row r="2916" spans="13:20" x14ac:dyDescent="0.2">
      <c r="M2916" s="20">
        <v>1.257554760130724E-2</v>
      </c>
      <c r="N2916" s="20">
        <v>1.0966668194067229E-3</v>
      </c>
      <c r="O2916" s="20">
        <v>8.7206287485462927E-2</v>
      </c>
      <c r="P2916" s="20">
        <v>0.16</v>
      </c>
      <c r="Q2916" s="20">
        <v>0.32000000000000006</v>
      </c>
      <c r="R2916" s="20"/>
      <c r="S2916" s="20">
        <v>0.52</v>
      </c>
      <c r="T2916" s="20">
        <v>0</v>
      </c>
    </row>
    <row r="2917" spans="13:20" x14ac:dyDescent="0.2">
      <c r="M2917" s="20">
        <v>9.5662104058997343E-3</v>
      </c>
      <c r="N2917" s="20">
        <v>8.7930750739039388E-4</v>
      </c>
      <c r="O2917" s="20">
        <v>9.1918060556989395E-2</v>
      </c>
      <c r="P2917" s="20"/>
      <c r="Q2917" s="20"/>
      <c r="R2917" s="20">
        <v>0.56999999999999995</v>
      </c>
      <c r="S2917" s="20">
        <v>0.42999999999999994</v>
      </c>
      <c r="T2917" s="20"/>
    </row>
    <row r="2918" spans="13:20" x14ac:dyDescent="0.2">
      <c r="M2918" s="20">
        <v>9.2546340751692695E-3</v>
      </c>
      <c r="N2918" s="20">
        <v>1.0438392604036144E-3</v>
      </c>
      <c r="O2918" s="20">
        <v>0.11279098146130886</v>
      </c>
      <c r="P2918" s="20">
        <v>2.0000000000000018E-2</v>
      </c>
      <c r="Q2918" s="20"/>
      <c r="R2918" s="20">
        <v>0.46</v>
      </c>
      <c r="S2918" s="20">
        <v>0.33</v>
      </c>
      <c r="T2918" s="20">
        <v>0.19</v>
      </c>
    </row>
    <row r="2919" spans="13:20" x14ac:dyDescent="0.2">
      <c r="M2919" s="20">
        <v>1.0666632172008018E-2</v>
      </c>
      <c r="N2919" s="20">
        <v>1.0972248977687219E-3</v>
      </c>
      <c r="O2919" s="20">
        <v>0.1028651668188317</v>
      </c>
      <c r="P2919" s="20"/>
      <c r="Q2919" s="20"/>
      <c r="R2919" s="20">
        <v>0.92</v>
      </c>
      <c r="S2919" s="20">
        <v>7.999999999999996E-2</v>
      </c>
      <c r="T2919" s="20"/>
    </row>
    <row r="2920" spans="13:20" x14ac:dyDescent="0.2">
      <c r="M2920" s="20">
        <v>9.6555161853307987E-3</v>
      </c>
      <c r="N2920" s="20">
        <v>8.1081918470006216E-4</v>
      </c>
      <c r="O2920" s="20">
        <v>8.3974711360528198E-2</v>
      </c>
      <c r="P2920" s="20"/>
      <c r="Q2920" s="20"/>
      <c r="R2920" s="20">
        <v>0.46</v>
      </c>
      <c r="S2920" s="20">
        <v>0.53999999999999992</v>
      </c>
      <c r="T2920" s="20"/>
    </row>
    <row r="2921" spans="13:20" x14ac:dyDescent="0.2">
      <c r="M2921" s="20">
        <v>1.230633445419657E-2</v>
      </c>
      <c r="N2921" s="20">
        <v>1.9811068928788076E-3</v>
      </c>
      <c r="O2921" s="20">
        <v>0.1609826955583214</v>
      </c>
      <c r="P2921" s="20">
        <v>0.46</v>
      </c>
      <c r="Q2921" s="20">
        <v>0.05</v>
      </c>
      <c r="R2921" s="20">
        <v>6.999999999999984E-2</v>
      </c>
      <c r="S2921" s="20"/>
      <c r="T2921" s="20">
        <v>0.42</v>
      </c>
    </row>
    <row r="2922" spans="13:20" x14ac:dyDescent="0.2">
      <c r="M2922" s="20">
        <v>9.6730729121530835E-3</v>
      </c>
      <c r="N2922" s="20">
        <v>9.4156961892705919E-4</v>
      </c>
      <c r="O2922" s="20">
        <v>9.7339245499130603E-2</v>
      </c>
      <c r="P2922" s="20"/>
      <c r="Q2922" s="20"/>
      <c r="R2922" s="20">
        <v>0.67</v>
      </c>
      <c r="S2922" s="20">
        <v>0.32999999999999996</v>
      </c>
      <c r="T2922" s="20"/>
    </row>
    <row r="2923" spans="13:20" x14ac:dyDescent="0.2">
      <c r="M2923" s="20">
        <v>9.7922382850035936E-3</v>
      </c>
      <c r="N2923" s="20">
        <v>9.7270067469539174E-4</v>
      </c>
      <c r="O2923" s="20">
        <v>9.9333844457711207E-2</v>
      </c>
      <c r="P2923" s="20"/>
      <c r="Q2923" s="20"/>
      <c r="R2923" s="20">
        <v>0.72</v>
      </c>
      <c r="S2923" s="20">
        <v>0.28000000000000003</v>
      </c>
      <c r="T2923" s="20"/>
    </row>
    <row r="2924" spans="13:20" x14ac:dyDescent="0.2">
      <c r="M2924" s="20">
        <v>1.3674008432626252E-2</v>
      </c>
      <c r="N2924" s="20">
        <v>1.8830033665818793E-3</v>
      </c>
      <c r="O2924" s="20">
        <v>0.13770675774113345</v>
      </c>
      <c r="P2924" s="20">
        <v>0.32999999999999985</v>
      </c>
      <c r="Q2924" s="20"/>
      <c r="R2924" s="20"/>
      <c r="S2924" s="20">
        <v>0</v>
      </c>
      <c r="T2924" s="20">
        <v>0.67</v>
      </c>
    </row>
    <row r="2925" spans="13:20" x14ac:dyDescent="0.2">
      <c r="M2925" s="20">
        <v>1.2846171239135906E-2</v>
      </c>
      <c r="N2925" s="20">
        <v>1.6535119151681837E-3</v>
      </c>
      <c r="O2925" s="20">
        <v>0.12871632211555409</v>
      </c>
      <c r="P2925" s="20">
        <v>0.35</v>
      </c>
      <c r="Q2925" s="20">
        <v>0.39</v>
      </c>
      <c r="R2925" s="20"/>
      <c r="S2925" s="20">
        <v>0.15</v>
      </c>
      <c r="T2925" s="20">
        <v>0.11</v>
      </c>
    </row>
    <row r="2926" spans="13:20" x14ac:dyDescent="0.2">
      <c r="M2926" s="20">
        <v>1.082186683766298E-2</v>
      </c>
      <c r="N2926" s="20">
        <v>1.6849133634189882E-3</v>
      </c>
      <c r="O2926" s="20">
        <v>0.15569525930175382</v>
      </c>
      <c r="P2926" s="20">
        <v>0.39999999999999991</v>
      </c>
      <c r="Q2926" s="20"/>
      <c r="R2926" s="20"/>
      <c r="S2926" s="20">
        <v>0.27</v>
      </c>
      <c r="T2926" s="20">
        <v>0.33</v>
      </c>
    </row>
    <row r="2927" spans="13:20" x14ac:dyDescent="0.2">
      <c r="M2927" s="20">
        <v>1.1863708145930605E-2</v>
      </c>
      <c r="N2927" s="20">
        <v>5.4458581527568745E-4</v>
      </c>
      <c r="O2927" s="20">
        <v>4.5903507451208414E-2</v>
      </c>
      <c r="P2927" s="20"/>
      <c r="Q2927" s="20"/>
      <c r="R2927" s="20"/>
      <c r="S2927" s="20">
        <v>0.98</v>
      </c>
      <c r="T2927" s="20">
        <v>2.0000000000000018E-2</v>
      </c>
    </row>
    <row r="2928" spans="13:20" x14ac:dyDescent="0.2">
      <c r="M2928" s="20">
        <v>1.3268784103789988E-2</v>
      </c>
      <c r="N2928" s="20">
        <v>1.9784504700553953E-3</v>
      </c>
      <c r="O2928" s="20">
        <v>0.14910563429020499</v>
      </c>
      <c r="P2928" s="20">
        <v>0.42000000000000004</v>
      </c>
      <c r="Q2928" s="20"/>
      <c r="R2928" s="20"/>
      <c r="S2928" s="20"/>
      <c r="T2928" s="20">
        <v>0.57999999999999996</v>
      </c>
    </row>
    <row r="2929" spans="13:20" x14ac:dyDescent="0.2">
      <c r="M2929" s="20">
        <v>1.1049869421247749E-2</v>
      </c>
      <c r="N2929" s="20">
        <v>1.5163945293033103E-3</v>
      </c>
      <c r="O2929" s="20">
        <v>0.13723189582561415</v>
      </c>
      <c r="P2929" s="20">
        <v>0.32</v>
      </c>
      <c r="Q2929" s="20">
        <v>0.16999999999999993</v>
      </c>
      <c r="R2929" s="20"/>
      <c r="S2929" s="20">
        <v>0.31</v>
      </c>
      <c r="T2929" s="20">
        <v>0.2</v>
      </c>
    </row>
    <row r="2930" spans="13:20" x14ac:dyDescent="0.2">
      <c r="M2930" s="20">
        <v>9.6385020773340543E-3</v>
      </c>
      <c r="N2930" s="20">
        <v>8.1704539585372867E-4</v>
      </c>
      <c r="O2930" s="20">
        <v>8.4768918375304009E-2</v>
      </c>
      <c r="P2930" s="20"/>
      <c r="Q2930" s="20"/>
      <c r="R2930" s="20">
        <v>0.47</v>
      </c>
      <c r="S2930" s="20">
        <v>0.52999999999999992</v>
      </c>
      <c r="T2930" s="20"/>
    </row>
    <row r="2931" spans="13:20" x14ac:dyDescent="0.2">
      <c r="M2931" s="20">
        <v>1.0860578606190309E-2</v>
      </c>
      <c r="N2931" s="20">
        <v>9.5795926687895273E-4</v>
      </c>
      <c r="O2931" s="20">
        <v>8.8205177791626621E-2</v>
      </c>
      <c r="P2931" s="20"/>
      <c r="Q2931" s="20">
        <v>0.22</v>
      </c>
      <c r="R2931" s="20">
        <v>0.43</v>
      </c>
      <c r="S2931" s="20">
        <v>0.35</v>
      </c>
      <c r="T2931" s="20"/>
    </row>
    <row r="2932" spans="13:20" x14ac:dyDescent="0.2">
      <c r="M2932" s="20">
        <v>1.4054415181796754E-2</v>
      </c>
      <c r="N2932" s="20">
        <v>2.0542321868132806E-3</v>
      </c>
      <c r="O2932" s="20">
        <v>0.14616276524077054</v>
      </c>
      <c r="P2932" s="20">
        <v>0.59</v>
      </c>
      <c r="Q2932" s="20">
        <v>0.40999999999999992</v>
      </c>
      <c r="R2932" s="20"/>
      <c r="S2932" s="20"/>
      <c r="T2932" s="20"/>
    </row>
    <row r="2933" spans="13:20" x14ac:dyDescent="0.2">
      <c r="M2933" s="20">
        <v>1.6728668547775244E-2</v>
      </c>
      <c r="N2933" s="20">
        <v>1.2545368488733532E-3</v>
      </c>
      <c r="O2933" s="20">
        <v>7.4993227661277029E-2</v>
      </c>
      <c r="P2933" s="20"/>
      <c r="Q2933" s="20">
        <v>0.82</v>
      </c>
      <c r="R2933" s="20">
        <v>0.18000000000000005</v>
      </c>
      <c r="S2933" s="20"/>
      <c r="T2933" s="20"/>
    </row>
    <row r="2934" spans="13:20" x14ac:dyDescent="0.2">
      <c r="M2934" s="20">
        <v>1.2892704871804054E-2</v>
      </c>
      <c r="N2934" s="20">
        <v>1.2073407339037098E-3</v>
      </c>
      <c r="O2934" s="20">
        <v>9.364526264338266E-2</v>
      </c>
      <c r="P2934" s="20"/>
      <c r="Q2934" s="20">
        <v>0.46</v>
      </c>
      <c r="R2934" s="20">
        <v>0.53999999999999992</v>
      </c>
      <c r="S2934" s="20"/>
      <c r="T2934" s="20"/>
    </row>
    <row r="2935" spans="13:20" x14ac:dyDescent="0.2">
      <c r="M2935" s="20">
        <v>1.1029918287158566E-2</v>
      </c>
      <c r="N2935" s="20">
        <v>6.9074184518195776E-4</v>
      </c>
      <c r="O2935" s="20">
        <v>6.2624384623605478E-2</v>
      </c>
      <c r="P2935" s="20">
        <v>0.04</v>
      </c>
      <c r="Q2935" s="20">
        <v>0.02</v>
      </c>
      <c r="R2935" s="20">
        <v>0.11</v>
      </c>
      <c r="S2935" s="20">
        <v>0.83</v>
      </c>
      <c r="T2935" s="20">
        <v>0</v>
      </c>
    </row>
    <row r="2936" spans="13:20" x14ac:dyDescent="0.2">
      <c r="M2936" s="20">
        <v>1.0245395744649558E-2</v>
      </c>
      <c r="N2936" s="20">
        <v>1.0474152085393899E-3</v>
      </c>
      <c r="O2936" s="20">
        <v>0.10223277212950806</v>
      </c>
      <c r="P2936" s="20"/>
      <c r="Q2936" s="20"/>
      <c r="R2936" s="20">
        <v>0.84</v>
      </c>
      <c r="S2936" s="20">
        <v>0.16000000000000014</v>
      </c>
      <c r="T2936" s="20"/>
    </row>
    <row r="2937" spans="13:20" x14ac:dyDescent="0.2">
      <c r="M2937" s="20">
        <v>1.2302708298046361E-2</v>
      </c>
      <c r="N2937" s="20">
        <v>2.1485051503491097E-3</v>
      </c>
      <c r="O2937" s="20">
        <v>0.17463676275981338</v>
      </c>
      <c r="P2937" s="20">
        <v>0.71</v>
      </c>
      <c r="Q2937" s="20">
        <v>0.09</v>
      </c>
      <c r="R2937" s="20">
        <v>0.14000000000000001</v>
      </c>
      <c r="S2937" s="20">
        <v>6.0000000000000053E-2</v>
      </c>
      <c r="T2937" s="20"/>
    </row>
    <row r="2938" spans="13:20" x14ac:dyDescent="0.2">
      <c r="M2938" s="20">
        <v>1.0840390896534007E-2</v>
      </c>
      <c r="N2938" s="20">
        <v>1.0589805782049563E-3</v>
      </c>
      <c r="O2938" s="20">
        <v>9.76884125593242E-2</v>
      </c>
      <c r="P2938" s="20"/>
      <c r="Q2938" s="20"/>
      <c r="R2938" s="20"/>
      <c r="S2938" s="20">
        <v>0.47</v>
      </c>
      <c r="T2938" s="20">
        <v>0.53000000000000014</v>
      </c>
    </row>
    <row r="2939" spans="13:20" x14ac:dyDescent="0.2">
      <c r="M2939" s="20">
        <v>1.2573978720675961E-2</v>
      </c>
      <c r="N2939" s="20">
        <v>1.3191334954648585E-3</v>
      </c>
      <c r="O2939" s="20">
        <v>0.10490979225976799</v>
      </c>
      <c r="P2939" s="20">
        <v>0</v>
      </c>
      <c r="Q2939" s="20">
        <v>0.4</v>
      </c>
      <c r="R2939" s="20">
        <v>0.29000000000000004</v>
      </c>
      <c r="S2939" s="20"/>
      <c r="T2939" s="20">
        <v>0.31</v>
      </c>
    </row>
    <row r="2940" spans="13:20" x14ac:dyDescent="0.2">
      <c r="M2940" s="20">
        <v>9.7529358725109445E-3</v>
      </c>
      <c r="N2940" s="20">
        <v>8.7209909785746571E-4</v>
      </c>
      <c r="O2940" s="20">
        <v>8.9419135864054367E-2</v>
      </c>
      <c r="P2940" s="20"/>
      <c r="Q2940" s="20">
        <v>0.04</v>
      </c>
      <c r="R2940" s="20">
        <v>0.51</v>
      </c>
      <c r="S2940" s="20">
        <v>0.45000000000000007</v>
      </c>
      <c r="T2940" s="20"/>
    </row>
    <row r="2941" spans="13:20" x14ac:dyDescent="0.2">
      <c r="M2941" s="20">
        <v>1.3069308094087951E-2</v>
      </c>
      <c r="N2941" s="20">
        <v>2.283862694259408E-3</v>
      </c>
      <c r="O2941" s="20">
        <v>0.17475008453527383</v>
      </c>
      <c r="P2941" s="20">
        <v>0.72</v>
      </c>
      <c r="Q2941" s="20">
        <v>5.0000000000000044E-2</v>
      </c>
      <c r="R2941" s="20"/>
      <c r="S2941" s="20"/>
      <c r="T2941" s="20">
        <v>0.23</v>
      </c>
    </row>
    <row r="2942" spans="13:20" x14ac:dyDescent="0.2">
      <c r="M2942" s="20">
        <v>1.0082088787414381E-2</v>
      </c>
      <c r="N2942" s="20">
        <v>9.8503900829059743E-4</v>
      </c>
      <c r="O2942" s="20">
        <v>9.7701877960074707E-2</v>
      </c>
      <c r="P2942" s="20">
        <v>0.13</v>
      </c>
      <c r="Q2942" s="20"/>
      <c r="R2942" s="20"/>
      <c r="S2942" s="20">
        <v>0.68</v>
      </c>
      <c r="T2942" s="20">
        <v>0.19</v>
      </c>
    </row>
    <row r="2943" spans="13:20" x14ac:dyDescent="0.2">
      <c r="M2943" s="20">
        <v>1.3549413122192863E-2</v>
      </c>
      <c r="N2943" s="20">
        <v>2.4132650525458569E-3</v>
      </c>
      <c r="O2943" s="20">
        <v>0.17810845612147738</v>
      </c>
      <c r="P2943" s="20">
        <v>0.83000000000000007</v>
      </c>
      <c r="Q2943" s="20"/>
      <c r="R2943" s="20"/>
      <c r="S2943" s="20"/>
      <c r="T2943" s="20">
        <v>0.17</v>
      </c>
    </row>
    <row r="2944" spans="13:20" x14ac:dyDescent="0.2">
      <c r="M2944" s="20">
        <v>1.1732397192662145E-2</v>
      </c>
      <c r="N2944" s="20">
        <v>1.6321046123888229E-3</v>
      </c>
      <c r="O2944" s="20">
        <v>0.13911092384509441</v>
      </c>
      <c r="P2944" s="20">
        <v>0.2</v>
      </c>
      <c r="Q2944" s="20">
        <v>0.08</v>
      </c>
      <c r="R2944" s="20">
        <v>0.24</v>
      </c>
      <c r="S2944" s="20"/>
      <c r="T2944" s="20">
        <v>0.48</v>
      </c>
    </row>
    <row r="2945" spans="13:20" x14ac:dyDescent="0.2">
      <c r="M2945" s="20">
        <v>1.2875325842512086E-2</v>
      </c>
      <c r="N2945" s="20">
        <v>1.771760579883142E-3</v>
      </c>
      <c r="O2945" s="20">
        <v>0.13760898959411938</v>
      </c>
      <c r="P2945" s="20">
        <v>0.28999999999999998</v>
      </c>
      <c r="Q2945" s="20">
        <v>0.27</v>
      </c>
      <c r="R2945" s="20"/>
      <c r="S2945" s="20"/>
      <c r="T2945" s="20">
        <v>0.44</v>
      </c>
    </row>
    <row r="2946" spans="13:20" x14ac:dyDescent="0.2">
      <c r="M2946" s="20">
        <v>9.5973862690342821E-3</v>
      </c>
      <c r="N2946" s="20">
        <v>9.1043856315872643E-4</v>
      </c>
      <c r="O2946" s="20">
        <v>9.486317812342647E-2</v>
      </c>
      <c r="P2946" s="20"/>
      <c r="Q2946" s="20"/>
      <c r="R2946" s="20">
        <v>0.62</v>
      </c>
      <c r="S2946" s="20">
        <v>0.37999999999999989</v>
      </c>
      <c r="T2946" s="20"/>
    </row>
    <row r="2947" spans="13:20" x14ac:dyDescent="0.2">
      <c r="M2947" s="20">
        <v>1.0526989278335511E-2</v>
      </c>
      <c r="N2947" s="20">
        <v>1.0841190818964667E-3</v>
      </c>
      <c r="O2947" s="20">
        <v>0.10298472366905304</v>
      </c>
      <c r="P2947" s="20"/>
      <c r="Q2947" s="20">
        <v>0.09</v>
      </c>
      <c r="R2947" s="20">
        <v>0.79</v>
      </c>
      <c r="S2947" s="20">
        <v>0.11999999999999988</v>
      </c>
      <c r="T2947" s="20"/>
    </row>
    <row r="2948" spans="13:20" x14ac:dyDescent="0.2">
      <c r="M2948" s="20">
        <v>1.2560921745630702E-2</v>
      </c>
      <c r="N2948" s="20">
        <v>2.2292580004343756E-3</v>
      </c>
      <c r="O2948" s="20">
        <v>0.17747566982572913</v>
      </c>
      <c r="P2948" s="20">
        <v>0.74</v>
      </c>
      <c r="Q2948" s="20">
        <v>0.09</v>
      </c>
      <c r="R2948" s="20">
        <v>0.17000000000000004</v>
      </c>
      <c r="S2948" s="20"/>
      <c r="T2948" s="20"/>
    </row>
    <row r="2949" spans="13:20" x14ac:dyDescent="0.2">
      <c r="M2949" s="20">
        <v>1.5185250871918809E-2</v>
      </c>
      <c r="N2949" s="20">
        <v>1.2374938073565376E-3</v>
      </c>
      <c r="O2949" s="20">
        <v>8.149314211495591E-2</v>
      </c>
      <c r="P2949" s="20"/>
      <c r="Q2949" s="20">
        <v>0.69</v>
      </c>
      <c r="R2949" s="20">
        <v>0.31000000000000005</v>
      </c>
      <c r="S2949" s="20"/>
      <c r="T2949" s="20"/>
    </row>
    <row r="2950" spans="13:20" x14ac:dyDescent="0.2">
      <c r="M2950" s="20">
        <v>1.4076638263943286E-2</v>
      </c>
      <c r="N2950" s="20">
        <v>2.4357037314437571E-3</v>
      </c>
      <c r="O2950" s="20">
        <v>0.17303163481033032</v>
      </c>
      <c r="P2950" s="20">
        <v>0.88</v>
      </c>
      <c r="Q2950" s="20">
        <v>0.12</v>
      </c>
      <c r="R2950" s="20"/>
      <c r="S2950" s="20"/>
      <c r="T2950" s="20"/>
    </row>
    <row r="2951" spans="13:20" x14ac:dyDescent="0.2">
      <c r="M2951" s="20">
        <v>1.1126261192309094E-2</v>
      </c>
      <c r="N2951" s="20">
        <v>1.0993252654935262E-3</v>
      </c>
      <c r="O2951" s="20">
        <v>9.8804553164132336E-2</v>
      </c>
      <c r="P2951" s="20"/>
      <c r="Q2951" s="20"/>
      <c r="R2951" s="20"/>
      <c r="S2951" s="20">
        <v>0.43</v>
      </c>
      <c r="T2951" s="20">
        <v>0.56999999999999995</v>
      </c>
    </row>
    <row r="2952" spans="13:20" x14ac:dyDescent="0.2">
      <c r="M2952" s="20">
        <v>1.0266210767927339E-2</v>
      </c>
      <c r="N2952" s="20">
        <v>1.2060357206158895E-3</v>
      </c>
      <c r="O2952" s="20">
        <v>0.11747622836496449</v>
      </c>
      <c r="P2952" s="20">
        <v>0.26</v>
      </c>
      <c r="Q2952" s="20">
        <v>2.9999999999999916E-2</v>
      </c>
      <c r="R2952" s="20"/>
      <c r="S2952" s="20">
        <v>0.59</v>
      </c>
      <c r="T2952" s="20">
        <v>0.12</v>
      </c>
    </row>
    <row r="2953" spans="13:20" x14ac:dyDescent="0.2">
      <c r="M2953" s="20">
        <v>1.8928536094734424E-2</v>
      </c>
      <c r="N2953" s="20">
        <v>1.2768239031645738E-3</v>
      </c>
      <c r="O2953" s="20">
        <v>6.745497363210054E-2</v>
      </c>
      <c r="P2953" s="20"/>
      <c r="Q2953" s="20">
        <v>0.99</v>
      </c>
      <c r="R2953" s="20">
        <v>1.0000000000000009E-2</v>
      </c>
      <c r="S2953" s="20"/>
      <c r="T2953" s="20"/>
    </row>
    <row r="2954" spans="13:20" x14ac:dyDescent="0.2">
      <c r="M2954" s="20">
        <v>9.5736305537674742E-3</v>
      </c>
      <c r="N2954" s="20">
        <v>8.5440266277572795E-4</v>
      </c>
      <c r="O2954" s="20">
        <v>8.924541823263675E-2</v>
      </c>
      <c r="P2954" s="20"/>
      <c r="Q2954" s="20"/>
      <c r="R2954" s="20">
        <v>0.53</v>
      </c>
      <c r="S2954" s="20">
        <v>0.47</v>
      </c>
      <c r="T2954" s="20"/>
    </row>
    <row r="2955" spans="13:20" x14ac:dyDescent="0.2">
      <c r="M2955" s="20">
        <v>1.2874030432799787E-2</v>
      </c>
      <c r="N2955" s="20">
        <v>1.9845723805198478E-3</v>
      </c>
      <c r="O2955" s="20">
        <v>0.15415315280470809</v>
      </c>
      <c r="P2955" s="20">
        <v>0.55000000000000004</v>
      </c>
      <c r="Q2955" s="20">
        <v>0.32</v>
      </c>
      <c r="R2955" s="20">
        <v>0.12999999999999989</v>
      </c>
      <c r="S2955" s="20"/>
      <c r="T2955" s="20"/>
    </row>
    <row r="2956" spans="13:20" x14ac:dyDescent="0.2">
      <c r="M2956" s="20">
        <v>1.0444953040813672E-2</v>
      </c>
      <c r="N2956" s="20">
        <v>1.0723200531540561E-3</v>
      </c>
      <c r="O2956" s="20">
        <v>0.10266394199801222</v>
      </c>
      <c r="P2956" s="20"/>
      <c r="Q2956" s="20"/>
      <c r="R2956" s="20">
        <v>0.88</v>
      </c>
      <c r="S2956" s="20">
        <v>0.12</v>
      </c>
      <c r="T2956" s="20"/>
    </row>
    <row r="2957" spans="13:20" x14ac:dyDescent="0.2">
      <c r="M2957" s="20">
        <v>1.0972784808687778E-2</v>
      </c>
      <c r="N2957" s="20">
        <v>1.1283559535370546E-3</v>
      </c>
      <c r="O2957" s="20">
        <v>0.10283223203681814</v>
      </c>
      <c r="P2957" s="20"/>
      <c r="Q2957" s="20"/>
      <c r="R2957" s="20">
        <v>0.97</v>
      </c>
      <c r="S2957" s="20">
        <v>2.9999999999999916E-2</v>
      </c>
      <c r="T2957" s="20"/>
    </row>
    <row r="2958" spans="13:20" x14ac:dyDescent="0.2">
      <c r="M2958" s="20">
        <v>1.5167446413524818E-2</v>
      </c>
      <c r="N2958" s="20">
        <v>1.6602934584770089E-3</v>
      </c>
      <c r="O2958" s="20">
        <v>0.10946427059709435</v>
      </c>
      <c r="P2958" s="20">
        <v>0.11999999999999988</v>
      </c>
      <c r="Q2958" s="20"/>
      <c r="R2958" s="20"/>
      <c r="S2958" s="20"/>
      <c r="T2958" s="20">
        <v>0.88</v>
      </c>
    </row>
    <row r="2959" spans="13:20" x14ac:dyDescent="0.2">
      <c r="M2959" s="20">
        <v>1.5761864063279733E-2</v>
      </c>
      <c r="N2959" s="20">
        <v>1.2440488233245435E-3</v>
      </c>
      <c r="O2959" s="20">
        <v>7.8927772649860145E-2</v>
      </c>
      <c r="P2959" s="20"/>
      <c r="Q2959" s="20">
        <v>0.74</v>
      </c>
      <c r="R2959" s="20">
        <v>0.26</v>
      </c>
      <c r="S2959" s="20"/>
      <c r="T2959" s="20"/>
    </row>
    <row r="2960" spans="13:20" x14ac:dyDescent="0.2">
      <c r="M2960" s="20">
        <v>1.4670749734442233E-2</v>
      </c>
      <c r="N2960" s="20">
        <v>1.7239248607926862E-3</v>
      </c>
      <c r="O2960" s="20">
        <v>0.11750761835609952</v>
      </c>
      <c r="P2960" s="20">
        <v>0.17999999999999994</v>
      </c>
      <c r="Q2960" s="20"/>
      <c r="R2960" s="20"/>
      <c r="S2960" s="20"/>
      <c r="T2960" s="20">
        <v>0.82</v>
      </c>
    </row>
    <row r="2961" spans="13:20" x14ac:dyDescent="0.2">
      <c r="M2961" s="20">
        <v>1.3832055665075558E-2</v>
      </c>
      <c r="N2961" s="20">
        <v>2.2778534371139048E-3</v>
      </c>
      <c r="O2961" s="20">
        <v>0.16467931392621835</v>
      </c>
      <c r="P2961" s="20">
        <v>0.76</v>
      </c>
      <c r="Q2961" s="20">
        <v>0.24</v>
      </c>
      <c r="R2961" s="20"/>
      <c r="S2961" s="20"/>
      <c r="T2961" s="20"/>
    </row>
    <row r="2962" spans="13:20" x14ac:dyDescent="0.2">
      <c r="M2962" s="20">
        <v>1.1941092954631667E-2</v>
      </c>
      <c r="N2962" s="20">
        <v>1.6381966612924348E-3</v>
      </c>
      <c r="O2962" s="20">
        <v>0.13718984246387741</v>
      </c>
      <c r="P2962" s="20">
        <v>0.20999999999999996</v>
      </c>
      <c r="Q2962" s="20"/>
      <c r="R2962" s="20">
        <v>0.2</v>
      </c>
      <c r="S2962" s="20">
        <v>0.04</v>
      </c>
      <c r="T2962" s="20">
        <v>0.55000000000000004</v>
      </c>
    </row>
    <row r="2963" spans="13:20" x14ac:dyDescent="0.2">
      <c r="M2963" s="20">
        <v>1.3900120420019861E-2</v>
      </c>
      <c r="N2963" s="20">
        <v>2.1331573339782072E-3</v>
      </c>
      <c r="O2963" s="20">
        <v>0.15346322690168171</v>
      </c>
      <c r="P2963" s="20">
        <v>0.65</v>
      </c>
      <c r="Q2963" s="20">
        <v>0.35</v>
      </c>
      <c r="R2963" s="20"/>
      <c r="S2963" s="20"/>
      <c r="T2963" s="20"/>
    </row>
    <row r="2964" spans="13:20" x14ac:dyDescent="0.2">
      <c r="M2964" s="20">
        <v>9.3318324651219253E-3</v>
      </c>
      <c r="N2964" s="20">
        <v>9.8678883284899067E-4</v>
      </c>
      <c r="O2964" s="20">
        <v>0.10574437941713496</v>
      </c>
      <c r="P2964" s="20">
        <v>7.0000000000000007E-2</v>
      </c>
      <c r="Q2964" s="20">
        <v>0.18</v>
      </c>
      <c r="R2964" s="20">
        <v>0.11</v>
      </c>
      <c r="S2964" s="20">
        <v>0.33</v>
      </c>
      <c r="T2964" s="20">
        <v>0.18</v>
      </c>
    </row>
    <row r="2965" spans="13:20" x14ac:dyDescent="0.2">
      <c r="M2965" s="20">
        <v>1.3173711623416857E-2</v>
      </c>
      <c r="N2965" s="20">
        <v>1.5477107789304851E-3</v>
      </c>
      <c r="O2965" s="20">
        <v>0.11748479268206845</v>
      </c>
      <c r="P2965" s="20">
        <v>0.09</v>
      </c>
      <c r="Q2965" s="20">
        <v>0.12</v>
      </c>
      <c r="R2965" s="20">
        <v>0.13000000000000012</v>
      </c>
      <c r="S2965" s="20"/>
      <c r="T2965" s="20">
        <v>0.66</v>
      </c>
    </row>
    <row r="2966" spans="13:20" x14ac:dyDescent="0.2">
      <c r="M2966" s="20">
        <v>1.0340435881771927E-2</v>
      </c>
      <c r="N2966" s="20">
        <v>7.8769206280138203E-4</v>
      </c>
      <c r="O2966" s="20">
        <v>7.6175905136641492E-2</v>
      </c>
      <c r="P2966" s="20">
        <v>2.0000000000000018E-2</v>
      </c>
      <c r="Q2966" s="20"/>
      <c r="R2966" s="20"/>
      <c r="S2966" s="20">
        <v>0.76</v>
      </c>
      <c r="T2966" s="20">
        <v>0.22</v>
      </c>
    </row>
    <row r="2967" spans="13:20" x14ac:dyDescent="0.2">
      <c r="M2967" s="20">
        <v>1.4111664700453743E-2</v>
      </c>
      <c r="N2967" s="20">
        <v>2.4488579226379114E-3</v>
      </c>
      <c r="O2967" s="20">
        <v>0.17353430474855114</v>
      </c>
      <c r="P2967" s="20">
        <v>0.89</v>
      </c>
      <c r="Q2967" s="20">
        <v>0.10999999999999999</v>
      </c>
      <c r="R2967" s="20"/>
      <c r="S2967" s="20"/>
      <c r="T2967" s="20"/>
    </row>
    <row r="2968" spans="13:20" x14ac:dyDescent="0.2">
      <c r="M2968" s="20">
        <v>1.4614498876524258E-2</v>
      </c>
      <c r="N2968" s="20">
        <v>9.2388583203659191E-4</v>
      </c>
      <c r="O2968" s="20">
        <v>6.3217072295284768E-2</v>
      </c>
      <c r="P2968" s="20"/>
      <c r="Q2968" s="20">
        <v>0.53</v>
      </c>
      <c r="R2968" s="20">
        <v>0</v>
      </c>
      <c r="S2968" s="20">
        <v>0.47000000000000008</v>
      </c>
      <c r="T2968" s="20"/>
    </row>
    <row r="2969" spans="13:20" x14ac:dyDescent="0.2">
      <c r="M2969" s="20">
        <v>1.5618520989042381E-2</v>
      </c>
      <c r="N2969" s="20">
        <v>1.6072672898806116E-3</v>
      </c>
      <c r="O2969" s="20">
        <v>0.10290777795210161</v>
      </c>
      <c r="P2969" s="20">
        <v>7.0000000000000062E-2</v>
      </c>
      <c r="Q2969" s="20"/>
      <c r="R2969" s="20"/>
      <c r="S2969" s="20"/>
      <c r="T2969" s="20">
        <v>0.93</v>
      </c>
    </row>
    <row r="2970" spans="13:20" x14ac:dyDescent="0.2">
      <c r="M2970" s="20">
        <v>1.3842810103737418E-2</v>
      </c>
      <c r="N2970" s="20">
        <v>1.851187665424041E-3</v>
      </c>
      <c r="O2970" s="20">
        <v>0.13372918154271574</v>
      </c>
      <c r="P2970" s="20">
        <v>0.30000000000000004</v>
      </c>
      <c r="Q2970" s="20"/>
      <c r="R2970" s="20"/>
      <c r="S2970" s="20"/>
      <c r="T2970" s="20">
        <v>0.7</v>
      </c>
    </row>
    <row r="2971" spans="13:20" x14ac:dyDescent="0.2">
      <c r="M2971" s="20">
        <v>1.2563352034584363E-2</v>
      </c>
      <c r="N2971" s="20">
        <v>1.250617842825664E-3</v>
      </c>
      <c r="O2971" s="20">
        <v>9.9544917581149236E-2</v>
      </c>
      <c r="P2971" s="20"/>
      <c r="Q2971" s="20"/>
      <c r="R2971" s="20"/>
      <c r="S2971" s="20">
        <v>0.28000000000000003</v>
      </c>
      <c r="T2971" s="20">
        <v>0.72</v>
      </c>
    </row>
    <row r="2972" spans="13:20" x14ac:dyDescent="0.2">
      <c r="M2972" s="20">
        <v>1.4000173937607607E-2</v>
      </c>
      <c r="N2972" s="20">
        <v>2.498106922300093E-3</v>
      </c>
      <c r="O2972" s="20">
        <v>0.17843399185131675</v>
      </c>
      <c r="P2972" s="20">
        <v>0.90999999999999992</v>
      </c>
      <c r="Q2972" s="20"/>
      <c r="R2972" s="20"/>
      <c r="S2972" s="20"/>
      <c r="T2972" s="20">
        <v>0.09</v>
      </c>
    </row>
    <row r="2973" spans="13:20" x14ac:dyDescent="0.2">
      <c r="M2973" s="20">
        <v>1.6482271217304091E-2</v>
      </c>
      <c r="N2973" s="20">
        <v>1.2519148424861505E-3</v>
      </c>
      <c r="O2973" s="20">
        <v>7.595523857002269E-2</v>
      </c>
      <c r="P2973" s="20"/>
      <c r="Q2973" s="20">
        <v>0.8</v>
      </c>
      <c r="R2973" s="20">
        <v>0.19999999999999984</v>
      </c>
      <c r="S2973" s="20"/>
      <c r="T2973" s="20"/>
    </row>
    <row r="2974" spans="13:20" x14ac:dyDescent="0.2">
      <c r="M2974" s="20">
        <v>1.0766449179106637E-2</v>
      </c>
      <c r="N2974" s="20">
        <v>1.2531170346910478E-3</v>
      </c>
      <c r="O2974" s="20">
        <v>0.1163909301799191</v>
      </c>
      <c r="P2974" s="20"/>
      <c r="Q2974" s="20"/>
      <c r="R2974" s="20">
        <v>0.49</v>
      </c>
      <c r="S2974" s="20">
        <v>0.09</v>
      </c>
      <c r="T2974" s="20">
        <v>0.42000000000000004</v>
      </c>
    </row>
    <row r="2975" spans="13:20" x14ac:dyDescent="0.2">
      <c r="M2975" s="20">
        <v>1.6114488837884348E-2</v>
      </c>
      <c r="N2975" s="20">
        <v>1.633298068600342E-3</v>
      </c>
      <c r="O2975" s="20">
        <v>0.10135587203737674</v>
      </c>
      <c r="P2975" s="20">
        <v>0.27</v>
      </c>
      <c r="Q2975" s="20">
        <v>0.72999999999999987</v>
      </c>
      <c r="R2975" s="20"/>
      <c r="S2975" s="20"/>
      <c r="T2975" s="20"/>
    </row>
    <row r="2976" spans="13:20" x14ac:dyDescent="0.2">
      <c r="M2976" s="20">
        <v>1.4125154049091999E-2</v>
      </c>
      <c r="N2976" s="20">
        <v>1.4440000186324517E-3</v>
      </c>
      <c r="O2976" s="20">
        <v>0.10222897489215529</v>
      </c>
      <c r="P2976" s="20"/>
      <c r="Q2976" s="20">
        <v>0.17</v>
      </c>
      <c r="R2976" s="20">
        <v>0.04</v>
      </c>
      <c r="S2976" s="20">
        <v>0.03</v>
      </c>
      <c r="T2976" s="20">
        <v>0.76</v>
      </c>
    </row>
    <row r="2977" spans="13:20" x14ac:dyDescent="0.2">
      <c r="M2977" s="20">
        <v>1.6482271217304091E-2</v>
      </c>
      <c r="N2977" s="20">
        <v>1.2519148424861507E-3</v>
      </c>
      <c r="O2977" s="20">
        <v>7.5955238570022704E-2</v>
      </c>
      <c r="P2977" s="20"/>
      <c r="Q2977" s="20">
        <v>0.8</v>
      </c>
      <c r="R2977" s="20">
        <v>0.19999999999999996</v>
      </c>
      <c r="S2977" s="20"/>
      <c r="T2977" s="20"/>
    </row>
    <row r="2978" spans="13:20" x14ac:dyDescent="0.2">
      <c r="M2978" s="20">
        <v>1.6360203031018032E-2</v>
      </c>
      <c r="N2978" s="20">
        <v>1.2506038392925494E-3</v>
      </c>
      <c r="O2978" s="20">
        <v>7.6441828803803624E-2</v>
      </c>
      <c r="P2978" s="20"/>
      <c r="Q2978" s="20">
        <v>0.79</v>
      </c>
      <c r="R2978" s="20">
        <v>0.20999999999999996</v>
      </c>
      <c r="S2978" s="20"/>
      <c r="T2978" s="20"/>
    </row>
    <row r="2979" spans="13:20" x14ac:dyDescent="0.2">
      <c r="M2979" s="20">
        <v>9.8001939586845246E-3</v>
      </c>
      <c r="N2979" s="20">
        <v>1.4171826970947525E-3</v>
      </c>
      <c r="O2979" s="20">
        <v>0.14460761726444241</v>
      </c>
      <c r="P2979" s="20">
        <v>0.34</v>
      </c>
      <c r="Q2979" s="20">
        <v>0.11</v>
      </c>
      <c r="R2979" s="20">
        <v>0.06</v>
      </c>
      <c r="S2979" s="20">
        <v>0.3</v>
      </c>
      <c r="T2979" s="20">
        <v>0.11</v>
      </c>
    </row>
    <row r="2980" spans="13:20" x14ac:dyDescent="0.2">
      <c r="M2980" s="20">
        <v>1.8395715759419593E-2</v>
      </c>
      <c r="N2980" s="20">
        <v>1.2715798903901688E-3</v>
      </c>
      <c r="O2980" s="20">
        <v>6.9123697442381477E-2</v>
      </c>
      <c r="P2980" s="20"/>
      <c r="Q2980" s="20">
        <v>0.95</v>
      </c>
      <c r="R2980" s="20">
        <v>5.0000000000000044E-2</v>
      </c>
      <c r="S2980" s="20"/>
      <c r="T2980" s="20"/>
    </row>
    <row r="2981" spans="13:20" x14ac:dyDescent="0.2">
      <c r="M2981" s="20">
        <v>1.5072756399316824E-2</v>
      </c>
      <c r="N2981" s="20">
        <v>1.2361828041629363E-3</v>
      </c>
      <c r="O2981" s="20">
        <v>8.2014382201451005E-2</v>
      </c>
      <c r="P2981" s="20"/>
      <c r="Q2981" s="20">
        <v>0.68</v>
      </c>
      <c r="R2981" s="20">
        <v>0.31999999999999995</v>
      </c>
      <c r="S2981" s="20"/>
      <c r="T2981" s="20"/>
    </row>
    <row r="2982" spans="13:20" x14ac:dyDescent="0.2">
      <c r="M2982" s="20">
        <v>1.0200049368475052E-2</v>
      </c>
      <c r="N2982" s="20">
        <v>8.3708479811782084E-4</v>
      </c>
      <c r="O2982" s="20">
        <v>8.2066739863531496E-2</v>
      </c>
      <c r="P2982" s="20"/>
      <c r="Q2982" s="20"/>
      <c r="R2982" s="20"/>
      <c r="S2982" s="20">
        <v>0.69</v>
      </c>
      <c r="T2982" s="20">
        <v>0.31000000000000016</v>
      </c>
    </row>
    <row r="2983" spans="13:20" x14ac:dyDescent="0.2">
      <c r="M2983" s="20">
        <v>1.1085065477628289E-2</v>
      </c>
      <c r="N2983" s="20">
        <v>1.1086993377605503E-3</v>
      </c>
      <c r="O2983" s="20">
        <v>0.10001739186819514</v>
      </c>
      <c r="P2983" s="20"/>
      <c r="Q2983" s="20">
        <v>0.23</v>
      </c>
      <c r="R2983" s="20">
        <v>0.66</v>
      </c>
      <c r="S2983" s="20">
        <v>0.10999999999999988</v>
      </c>
      <c r="T2983" s="20"/>
    </row>
    <row r="2984" spans="13:20" x14ac:dyDescent="0.2">
      <c r="M2984" s="20">
        <v>1.73570973225694E-2</v>
      </c>
      <c r="N2984" s="20">
        <v>1.2610918648413591E-3</v>
      </c>
      <c r="O2984" s="20">
        <v>7.2655688990207121E-2</v>
      </c>
      <c r="P2984" s="20"/>
      <c r="Q2984" s="20">
        <v>0.87</v>
      </c>
      <c r="R2984" s="20">
        <v>0.12999999999999989</v>
      </c>
      <c r="S2984" s="20"/>
      <c r="T2984" s="20"/>
    </row>
    <row r="2985" spans="13:20" x14ac:dyDescent="0.2">
      <c r="M2985" s="20">
        <v>1.3005566087976737E-2</v>
      </c>
      <c r="N2985" s="20">
        <v>2.0026192987886095E-3</v>
      </c>
      <c r="O2985" s="20">
        <v>0.15398170946514755</v>
      </c>
      <c r="P2985" s="20">
        <v>0.45</v>
      </c>
      <c r="Q2985" s="20">
        <v>2.9999999999999916E-2</v>
      </c>
      <c r="R2985" s="20"/>
      <c r="S2985" s="20"/>
      <c r="T2985" s="20">
        <v>0.52</v>
      </c>
    </row>
    <row r="2986" spans="13:20" x14ac:dyDescent="0.2">
      <c r="M2986" s="20">
        <v>1.4367156485985239E-2</v>
      </c>
      <c r="N2986" s="20">
        <v>2.5277830698028371E-3</v>
      </c>
      <c r="O2986" s="20">
        <v>0.17594177889470466</v>
      </c>
      <c r="P2986" s="20">
        <v>0.95</v>
      </c>
      <c r="Q2986" s="20">
        <v>4.9999999999999933E-2</v>
      </c>
      <c r="R2986" s="20"/>
      <c r="S2986" s="20"/>
      <c r="T2986" s="20"/>
    </row>
    <row r="2987" spans="13:20" x14ac:dyDescent="0.2">
      <c r="M2987" s="20">
        <v>9.588121303623345E-3</v>
      </c>
      <c r="N2987" s="20">
        <v>8.4195024046839482E-4</v>
      </c>
      <c r="O2987" s="20">
        <v>8.7811805233442591E-2</v>
      </c>
      <c r="P2987" s="20"/>
      <c r="Q2987" s="20"/>
      <c r="R2987" s="20">
        <v>0.51</v>
      </c>
      <c r="S2987" s="20">
        <v>0.49</v>
      </c>
      <c r="T2987" s="20">
        <v>0</v>
      </c>
    </row>
    <row r="2988" spans="13:20" x14ac:dyDescent="0.2">
      <c r="M2988" s="20">
        <v>1.3981223806034494E-2</v>
      </c>
      <c r="N2988" s="20">
        <v>1.0842779973301232E-3</v>
      </c>
      <c r="O2988" s="20">
        <v>7.7552438353939629E-2</v>
      </c>
      <c r="P2988" s="20"/>
      <c r="Q2988" s="20">
        <v>0.55000000000000004</v>
      </c>
      <c r="R2988" s="20">
        <v>0.12</v>
      </c>
      <c r="S2988" s="20">
        <v>0.26</v>
      </c>
      <c r="T2988" s="20">
        <v>6.9999999999999951E-2</v>
      </c>
    </row>
    <row r="2989" spans="13:20" x14ac:dyDescent="0.2">
      <c r="M2989" s="20">
        <v>1.2540317543232909E-2</v>
      </c>
      <c r="N2989" s="20">
        <v>1.718910709507701E-3</v>
      </c>
      <c r="O2989" s="20">
        <v>0.13707074829498805</v>
      </c>
      <c r="P2989" s="20">
        <v>0.36</v>
      </c>
      <c r="Q2989" s="20">
        <v>0.39</v>
      </c>
      <c r="R2989" s="20">
        <v>0.25</v>
      </c>
      <c r="S2989" s="20"/>
      <c r="T2989" s="20"/>
    </row>
    <row r="2990" spans="13:20" x14ac:dyDescent="0.2">
      <c r="M2990" s="20">
        <v>1.3424167007732985E-2</v>
      </c>
      <c r="N2990" s="20">
        <v>1.2152067530653171E-3</v>
      </c>
      <c r="O2990" s="20">
        <v>9.052381070388188E-2</v>
      </c>
      <c r="P2990" s="20"/>
      <c r="Q2990" s="20">
        <v>0.52</v>
      </c>
      <c r="R2990" s="20">
        <v>0.48000000000000009</v>
      </c>
      <c r="S2990" s="20"/>
      <c r="T2990" s="20"/>
    </row>
    <row r="2991" spans="13:20" x14ac:dyDescent="0.2">
      <c r="M2991" s="20">
        <v>1.2953779016432502E-2</v>
      </c>
      <c r="N2991" s="20">
        <v>2.1693446770024273E-3</v>
      </c>
      <c r="O2991" s="20">
        <v>0.16746809361580953</v>
      </c>
      <c r="P2991" s="20">
        <v>0.6</v>
      </c>
      <c r="Q2991" s="20"/>
      <c r="R2991" s="20"/>
      <c r="S2991" s="20"/>
      <c r="T2991" s="20">
        <v>0.4</v>
      </c>
    </row>
    <row r="2992" spans="13:20" x14ac:dyDescent="0.2">
      <c r="M2992" s="20">
        <v>9.6544161042757554E-3</v>
      </c>
      <c r="N2992" s="20">
        <v>9.3534340777339268E-4</v>
      </c>
      <c r="O2992" s="20">
        <v>9.6882441948938483E-2</v>
      </c>
      <c r="P2992" s="20"/>
      <c r="Q2992" s="20"/>
      <c r="R2992" s="20">
        <v>0.66</v>
      </c>
      <c r="S2992" s="20">
        <v>0.33999999999999997</v>
      </c>
      <c r="T2992" s="20"/>
    </row>
    <row r="2993" spans="13:20" x14ac:dyDescent="0.2">
      <c r="M2993" s="20">
        <v>9.6375102621556533E-3</v>
      </c>
      <c r="N2993" s="20">
        <v>9.2911719661972606E-4</v>
      </c>
      <c r="O2993" s="20">
        <v>9.6406350950220154E-2</v>
      </c>
      <c r="P2993" s="20"/>
      <c r="Q2993" s="20"/>
      <c r="R2993" s="20">
        <v>0.65</v>
      </c>
      <c r="S2993" s="20">
        <v>0.34999999999999987</v>
      </c>
      <c r="T2993" s="20"/>
    </row>
    <row r="2994" spans="13:20" x14ac:dyDescent="0.2">
      <c r="M2994" s="20">
        <v>1.148920964723065E-2</v>
      </c>
      <c r="N2994" s="20">
        <v>5.8493050256425735E-4</v>
      </c>
      <c r="O2994" s="20">
        <v>5.0911291596567619E-2</v>
      </c>
      <c r="P2994" s="20"/>
      <c r="Q2994" s="20"/>
      <c r="R2994" s="20"/>
      <c r="S2994" s="20">
        <v>0.94</v>
      </c>
      <c r="T2994" s="20">
        <v>5.9999999999999942E-2</v>
      </c>
    </row>
    <row r="2995" spans="13:20" x14ac:dyDescent="0.2">
      <c r="M2995" s="20">
        <v>1.5099864826381558E-2</v>
      </c>
      <c r="N2995" s="20">
        <v>1.7490637829605288E-3</v>
      </c>
      <c r="O2995" s="20">
        <v>0.11583307553221747</v>
      </c>
      <c r="P2995" s="20">
        <v>0.36</v>
      </c>
      <c r="Q2995" s="20">
        <v>0.62</v>
      </c>
      <c r="R2995" s="20">
        <v>2.0000000000000018E-2</v>
      </c>
      <c r="S2995" s="20"/>
      <c r="T2995" s="20"/>
    </row>
    <row r="2996" spans="13:20" x14ac:dyDescent="0.2">
      <c r="M2996" s="20">
        <v>1.0884484305988538E-2</v>
      </c>
      <c r="N2996" s="20">
        <v>1.2193683580169999E-3</v>
      </c>
      <c r="O2996" s="20">
        <v>0.11202812404682463</v>
      </c>
      <c r="P2996" s="20"/>
      <c r="Q2996" s="20"/>
      <c r="R2996" s="20">
        <v>0.28999999999999998</v>
      </c>
      <c r="S2996" s="20">
        <v>0.2</v>
      </c>
      <c r="T2996" s="20">
        <v>0.51</v>
      </c>
    </row>
    <row r="2997" spans="13:20" x14ac:dyDescent="0.2">
      <c r="M2997" s="20">
        <v>1.0031491481697635E-2</v>
      </c>
      <c r="N2997" s="20">
        <v>7.2987843970239753E-4</v>
      </c>
      <c r="O2997" s="20">
        <v>7.2758715992936263E-2</v>
      </c>
      <c r="P2997" s="20"/>
      <c r="Q2997" s="20"/>
      <c r="R2997" s="20">
        <v>0.33</v>
      </c>
      <c r="S2997" s="20">
        <v>0.67</v>
      </c>
      <c r="T2997" s="20"/>
    </row>
    <row r="2998" spans="13:20" x14ac:dyDescent="0.2">
      <c r="M2998" s="20">
        <v>1.0192156839305608E-2</v>
      </c>
      <c r="N2998" s="20">
        <v>8.4717096993996315E-4</v>
      </c>
      <c r="O2998" s="20">
        <v>8.3119891431898421E-2</v>
      </c>
      <c r="P2998" s="20"/>
      <c r="Q2998" s="20"/>
      <c r="R2998" s="20"/>
      <c r="S2998" s="20">
        <v>0.68</v>
      </c>
      <c r="T2998" s="20">
        <v>0.32000000000000006</v>
      </c>
    </row>
    <row r="2999" spans="13:20" x14ac:dyDescent="0.2">
      <c r="M2999" s="20">
        <v>1.5081169588307183E-2</v>
      </c>
      <c r="N2999" s="20">
        <v>1.6708986921962891E-3</v>
      </c>
      <c r="O2999" s="20">
        <v>0.1107937075047402</v>
      </c>
      <c r="P2999" s="20">
        <v>0.13000000000000012</v>
      </c>
      <c r="Q2999" s="20"/>
      <c r="R2999" s="20"/>
      <c r="S2999" s="20"/>
      <c r="T2999" s="20">
        <v>0.87</v>
      </c>
    </row>
    <row r="3000" spans="13:20" x14ac:dyDescent="0.2">
      <c r="M3000" s="20">
        <v>1.3137086450399392E-2</v>
      </c>
      <c r="N3000" s="20">
        <v>2.1489776908177063E-3</v>
      </c>
      <c r="O3000" s="20">
        <v>0.16358099635953702</v>
      </c>
      <c r="P3000" s="20">
        <v>0.67</v>
      </c>
      <c r="Q3000" s="20">
        <v>0.25</v>
      </c>
      <c r="R3000" s="20">
        <v>7.999999999999996E-2</v>
      </c>
      <c r="S3000" s="20"/>
      <c r="T3000" s="20"/>
    </row>
    <row r="3001" spans="13:20" x14ac:dyDescent="0.2">
      <c r="M3001" s="20">
        <v>9.7939735866188482E-3</v>
      </c>
      <c r="N3001" s="20">
        <v>7.7346191777806321E-4</v>
      </c>
      <c r="O3001" s="20">
        <v>7.8973249308617322E-2</v>
      </c>
      <c r="P3001" s="20"/>
      <c r="Q3001" s="20"/>
      <c r="R3001" s="20">
        <v>0.4</v>
      </c>
      <c r="S3001" s="20">
        <v>0.60000000000000009</v>
      </c>
      <c r="T3001" s="20"/>
    </row>
    <row r="3002" spans="13:20" x14ac:dyDescent="0.2">
      <c r="M3002" s="20">
        <v>1.0860578606190309E-2</v>
      </c>
      <c r="N3002" s="20">
        <v>9.5795926687895273E-4</v>
      </c>
      <c r="O3002" s="20">
        <v>8.8205177791626621E-2</v>
      </c>
      <c r="P3002" s="20"/>
      <c r="Q3002" s="20">
        <v>0.22</v>
      </c>
      <c r="R3002" s="20">
        <v>0.43</v>
      </c>
      <c r="S3002" s="20">
        <v>0.35</v>
      </c>
      <c r="T3002" s="20"/>
    </row>
    <row r="3003" spans="13:20" x14ac:dyDescent="0.2">
      <c r="M3003" s="20">
        <v>1.3364933883600744E-2</v>
      </c>
      <c r="N3003" s="20">
        <v>1.9503538197117899E-3</v>
      </c>
      <c r="O3003" s="20">
        <v>0.14593067475664392</v>
      </c>
      <c r="P3003" s="20">
        <v>0.52</v>
      </c>
      <c r="Q3003" s="20">
        <v>0.39</v>
      </c>
      <c r="R3003" s="20">
        <v>8.9999999999999858E-2</v>
      </c>
      <c r="S3003" s="20"/>
      <c r="T3003" s="20"/>
    </row>
    <row r="3004" spans="13:20" x14ac:dyDescent="0.2">
      <c r="M3004" s="20">
        <v>9.5945093023728761E-3</v>
      </c>
      <c r="N3004" s="20">
        <v>1.3763508364095932E-3</v>
      </c>
      <c r="O3004" s="20">
        <v>0.14345192578730415</v>
      </c>
      <c r="P3004" s="20">
        <v>0.28000000000000003</v>
      </c>
      <c r="Q3004" s="20"/>
      <c r="R3004" s="20">
        <v>0.13</v>
      </c>
      <c r="S3004" s="20">
        <v>0.4</v>
      </c>
      <c r="T3004" s="20">
        <v>0.19</v>
      </c>
    </row>
    <row r="3005" spans="13:20" x14ac:dyDescent="0.2">
      <c r="M3005" s="20">
        <v>1.6100360939876667E-2</v>
      </c>
      <c r="N3005" s="20">
        <v>1.5542411212842138E-3</v>
      </c>
      <c r="O3005" s="20">
        <v>9.6534551435722024E-2</v>
      </c>
      <c r="P3005" s="20">
        <v>2.0000000000000018E-2</v>
      </c>
      <c r="Q3005" s="20"/>
      <c r="R3005" s="20"/>
      <c r="S3005" s="20"/>
      <c r="T3005" s="20">
        <v>0.98</v>
      </c>
    </row>
    <row r="3006" spans="13:20" x14ac:dyDescent="0.2">
      <c r="M3006" s="20">
        <v>1.3219461110641038E-2</v>
      </c>
      <c r="N3006" s="20">
        <v>2.2138126309784473E-3</v>
      </c>
      <c r="O3006" s="20">
        <v>0.16746617826928159</v>
      </c>
      <c r="P3006" s="20">
        <v>0.69</v>
      </c>
      <c r="Q3006" s="20">
        <v>0.20000000000000007</v>
      </c>
      <c r="R3006" s="20"/>
      <c r="S3006" s="20"/>
      <c r="T3006" s="20">
        <v>0.11</v>
      </c>
    </row>
    <row r="3007" spans="13:20" x14ac:dyDescent="0.2">
      <c r="M3007" s="20">
        <v>1.1286071671928849E-2</v>
      </c>
      <c r="N3007" s="20">
        <v>1.1194976091378111E-3</v>
      </c>
      <c r="O3007" s="20">
        <v>9.9192849529944824E-2</v>
      </c>
      <c r="P3007" s="20"/>
      <c r="Q3007" s="20"/>
      <c r="R3007" s="20"/>
      <c r="S3007" s="20">
        <v>0.41</v>
      </c>
      <c r="T3007" s="20">
        <v>0.59</v>
      </c>
    </row>
    <row r="3008" spans="13:20" x14ac:dyDescent="0.2">
      <c r="M3008" s="20">
        <v>1.441711545283081E-2</v>
      </c>
      <c r="N3008" s="20">
        <v>2.5409372609969914E-3</v>
      </c>
      <c r="O3008" s="20">
        <v>0.17624449698764649</v>
      </c>
      <c r="P3008" s="20">
        <v>0.96</v>
      </c>
      <c r="Q3008" s="20">
        <v>3.9999999999999925E-2</v>
      </c>
      <c r="R3008" s="20"/>
      <c r="S3008" s="20"/>
      <c r="T3008" s="20"/>
    </row>
    <row r="3009" spans="13:20" x14ac:dyDescent="0.2">
      <c r="M3009" s="20">
        <v>1.0725350755565655E-2</v>
      </c>
      <c r="N3009" s="20">
        <v>1.1034511089223888E-3</v>
      </c>
      <c r="O3009" s="20">
        <v>0.10288251956233507</v>
      </c>
      <c r="P3009" s="20"/>
      <c r="Q3009" s="20"/>
      <c r="R3009" s="20">
        <v>0.93</v>
      </c>
      <c r="S3009" s="20">
        <v>7.0000000000000062E-2</v>
      </c>
      <c r="T3009" s="20"/>
    </row>
    <row r="3010" spans="13:20" x14ac:dyDescent="0.2">
      <c r="M3010" s="20">
        <v>1.3709273138729026E-2</v>
      </c>
      <c r="N3010" s="20">
        <v>1.2191397626461205E-3</v>
      </c>
      <c r="O3010" s="20">
        <v>8.8928110944264518E-2</v>
      </c>
      <c r="P3010" s="20"/>
      <c r="Q3010" s="20">
        <v>0.55000000000000004</v>
      </c>
      <c r="R3010" s="20">
        <v>0.44999999999999984</v>
      </c>
      <c r="S3010" s="20"/>
      <c r="T3010" s="20"/>
    </row>
    <row r="3011" spans="13:20" x14ac:dyDescent="0.2">
      <c r="M3011" s="20">
        <v>1.1632813289439372E-2</v>
      </c>
      <c r="N3011" s="20">
        <v>5.9605479818067406E-4</v>
      </c>
      <c r="O3011" s="20">
        <v>5.1239092672603202E-2</v>
      </c>
      <c r="P3011" s="20">
        <v>2.0000000000000018E-2</v>
      </c>
      <c r="Q3011" s="20"/>
      <c r="R3011" s="20">
        <v>0</v>
      </c>
      <c r="S3011" s="20">
        <v>0.95</v>
      </c>
      <c r="T3011" s="20">
        <v>0.03</v>
      </c>
    </row>
    <row r="3012" spans="13:20" x14ac:dyDescent="0.2">
      <c r="M3012" s="20">
        <v>1.336073469643307E-2</v>
      </c>
      <c r="N3012" s="20">
        <v>1.6160498392083843E-3</v>
      </c>
      <c r="O3012" s="20">
        <v>0.12095516271570177</v>
      </c>
      <c r="P3012" s="20">
        <v>0.16</v>
      </c>
      <c r="Q3012" s="20">
        <v>0.33999999999999997</v>
      </c>
      <c r="R3012" s="20"/>
      <c r="S3012" s="20"/>
      <c r="T3012" s="20">
        <v>0.5</v>
      </c>
    </row>
    <row r="3013" spans="13:20" x14ac:dyDescent="0.2">
      <c r="M3013" s="20">
        <v>1.3882356534975661E-2</v>
      </c>
      <c r="N3013" s="20">
        <v>2.1463115251723615E-3</v>
      </c>
      <c r="O3013" s="20">
        <v>0.15460714611131576</v>
      </c>
      <c r="P3013" s="20">
        <v>0.66</v>
      </c>
      <c r="Q3013" s="20">
        <v>0.33999999999999997</v>
      </c>
      <c r="R3013" s="20"/>
      <c r="S3013" s="20"/>
      <c r="T3013" s="20"/>
    </row>
    <row r="3014" spans="13:20" x14ac:dyDescent="0.2">
      <c r="M3014" s="20">
        <v>1.4054415181796755E-2</v>
      </c>
      <c r="N3014" s="20">
        <v>2.054232186813281E-3</v>
      </c>
      <c r="O3014" s="20">
        <v>0.14616276524077057</v>
      </c>
      <c r="P3014" s="20">
        <v>0.59</v>
      </c>
      <c r="Q3014" s="20">
        <v>0.41000000000000014</v>
      </c>
      <c r="R3014" s="20"/>
      <c r="S3014" s="20"/>
      <c r="T3014" s="20"/>
    </row>
    <row r="3015" spans="13:20" x14ac:dyDescent="0.2">
      <c r="M3015" s="20">
        <v>1.3937612922088958E-2</v>
      </c>
      <c r="N3015" s="20">
        <v>2.4875016885808135E-3</v>
      </c>
      <c r="O3015" s="20">
        <v>0.17847401147426825</v>
      </c>
      <c r="P3015" s="20">
        <v>0.9</v>
      </c>
      <c r="Q3015" s="20"/>
      <c r="R3015" s="20"/>
      <c r="S3015" s="20"/>
      <c r="T3015" s="20">
        <v>0.1</v>
      </c>
    </row>
    <row r="3016" spans="13:20" x14ac:dyDescent="0.2">
      <c r="M3016" s="20">
        <v>1.1602063520216919E-2</v>
      </c>
      <c r="N3016" s="20">
        <v>1.6124684541389902E-3</v>
      </c>
      <c r="O3016" s="20">
        <v>0.138981177902467</v>
      </c>
      <c r="P3016" s="20">
        <v>0.19</v>
      </c>
      <c r="Q3016" s="20">
        <v>7.0000000000000007E-2</v>
      </c>
      <c r="R3016" s="20">
        <v>0.27</v>
      </c>
      <c r="S3016" s="20"/>
      <c r="T3016" s="20">
        <v>0.47</v>
      </c>
    </row>
    <row r="3017" spans="13:20" x14ac:dyDescent="0.2">
      <c r="M3017" s="20">
        <v>1.3289001004459197E-2</v>
      </c>
      <c r="N3017" s="20">
        <v>1.6749927303940921E-3</v>
      </c>
      <c r="O3017" s="20">
        <v>0.12604354005481971</v>
      </c>
      <c r="P3017" s="20">
        <v>0.23</v>
      </c>
      <c r="Q3017" s="20">
        <v>0.39999999999999991</v>
      </c>
      <c r="R3017" s="20"/>
      <c r="S3017" s="20"/>
      <c r="T3017" s="20">
        <v>0.37</v>
      </c>
    </row>
    <row r="3018" spans="13:20" x14ac:dyDescent="0.2">
      <c r="M3018" s="20">
        <v>9.5663214340211758E-3</v>
      </c>
      <c r="N3018" s="20">
        <v>8.6685508508306086E-4</v>
      </c>
      <c r="O3018" s="20">
        <v>9.0615299837220803E-2</v>
      </c>
      <c r="P3018" s="20"/>
      <c r="Q3018" s="20"/>
      <c r="R3018" s="20">
        <v>0.55000000000000004</v>
      </c>
      <c r="S3018" s="20">
        <v>0.44999999999999996</v>
      </c>
      <c r="T3018" s="20"/>
    </row>
    <row r="3019" spans="13:20" x14ac:dyDescent="0.2">
      <c r="M3019" s="20">
        <v>9.9175650844898905E-3</v>
      </c>
      <c r="N3019" s="20">
        <v>9.9400131454359364E-4</v>
      </c>
      <c r="O3019" s="20">
        <v>0.10022634649487859</v>
      </c>
      <c r="P3019" s="20"/>
      <c r="Q3019" s="20">
        <v>0.02</v>
      </c>
      <c r="R3019" s="20">
        <v>0.73</v>
      </c>
      <c r="S3019" s="20">
        <v>0.25</v>
      </c>
      <c r="T3019" s="20"/>
    </row>
    <row r="3020" spans="13:20" x14ac:dyDescent="0.2">
      <c r="M3020" s="20">
        <v>1.2417150173716677E-2</v>
      </c>
      <c r="N3020" s="20">
        <v>2.2134818028530187E-3</v>
      </c>
      <c r="O3020" s="20">
        <v>0.17826004935804715</v>
      </c>
      <c r="P3020" s="20">
        <v>0.73</v>
      </c>
      <c r="Q3020" s="20">
        <v>0.08</v>
      </c>
      <c r="R3020" s="20">
        <v>0.19000000000000006</v>
      </c>
      <c r="S3020" s="20"/>
      <c r="T3020" s="20"/>
    </row>
    <row r="3021" spans="13:20" x14ac:dyDescent="0.2">
      <c r="M3021" s="20">
        <v>1.5185250871918809E-2</v>
      </c>
      <c r="N3021" s="20">
        <v>1.2374938073565376E-3</v>
      </c>
      <c r="O3021" s="20">
        <v>8.149314211495591E-2</v>
      </c>
      <c r="P3021" s="20"/>
      <c r="Q3021" s="20">
        <v>0.69</v>
      </c>
      <c r="R3021" s="20">
        <v>0.31000000000000005</v>
      </c>
      <c r="S3021" s="20"/>
      <c r="T3021" s="20"/>
    </row>
    <row r="3022" spans="13:20" x14ac:dyDescent="0.2">
      <c r="M3022" s="20">
        <v>1.4593023709096226E-2</v>
      </c>
      <c r="N3022" s="20">
        <v>1.7345300945119659E-3</v>
      </c>
      <c r="O3022" s="20">
        <v>0.1188602258921012</v>
      </c>
      <c r="P3022" s="20">
        <v>0.18999999999999995</v>
      </c>
      <c r="Q3022" s="20"/>
      <c r="R3022" s="20"/>
      <c r="S3022" s="20"/>
      <c r="T3022" s="20">
        <v>0.81</v>
      </c>
    </row>
    <row r="3023" spans="13:20" x14ac:dyDescent="0.2">
      <c r="M3023" s="20">
        <v>9.448595151311235E-3</v>
      </c>
      <c r="N3023" s="20">
        <v>8.3547265889420393E-4</v>
      </c>
      <c r="O3023" s="20">
        <v>8.8422950239143289E-2</v>
      </c>
      <c r="P3023" s="20"/>
      <c r="Q3023" s="20"/>
      <c r="R3023" s="20">
        <v>0.37</v>
      </c>
      <c r="S3023" s="20">
        <v>0.55000000000000004</v>
      </c>
      <c r="T3023" s="20">
        <v>8.0000000000000071E-2</v>
      </c>
    </row>
    <row r="3024" spans="13:20" x14ac:dyDescent="0.2">
      <c r="M3024" s="20">
        <v>1.3219134076746113E-2</v>
      </c>
      <c r="N3024" s="20">
        <v>2.1634428852054617E-3</v>
      </c>
      <c r="O3024" s="20">
        <v>0.16365995477806614</v>
      </c>
      <c r="P3024" s="20">
        <v>0.68</v>
      </c>
      <c r="Q3024" s="20">
        <v>0.25</v>
      </c>
      <c r="R3024" s="20">
        <v>6.9999999999999951E-2</v>
      </c>
      <c r="S3024" s="20"/>
      <c r="T3024" s="20"/>
    </row>
    <row r="3025" spans="13:20" x14ac:dyDescent="0.2">
      <c r="M3025" s="20">
        <v>1.8794551774568874E-2</v>
      </c>
      <c r="N3025" s="20">
        <v>1.2755128999709724E-3</v>
      </c>
      <c r="O3025" s="20">
        <v>6.7866098392241725E-2</v>
      </c>
      <c r="P3025" s="20"/>
      <c r="Q3025" s="20">
        <v>0.98</v>
      </c>
      <c r="R3025" s="20">
        <v>2.0000000000000018E-2</v>
      </c>
      <c r="S3025" s="20"/>
      <c r="T3025" s="20"/>
    </row>
    <row r="3026" spans="13:20" x14ac:dyDescent="0.2">
      <c r="M3026" s="20">
        <v>9.5799798832001421E-3</v>
      </c>
      <c r="N3026" s="20">
        <v>8.4817645162206144E-4</v>
      </c>
      <c r="O3026" s="20">
        <v>8.853634996765071E-2</v>
      </c>
      <c r="P3026" s="20"/>
      <c r="Q3026" s="20"/>
      <c r="R3026" s="20">
        <v>0.52</v>
      </c>
      <c r="S3026" s="20">
        <v>0.48000000000000009</v>
      </c>
      <c r="T3026" s="20"/>
    </row>
    <row r="3027" spans="13:20" x14ac:dyDescent="0.2">
      <c r="M3027" s="20">
        <v>1.2118142238853153E-2</v>
      </c>
      <c r="N3027" s="20">
        <v>1.7266887489646361E-3</v>
      </c>
      <c r="O3027" s="20">
        <v>0.1424879090318425</v>
      </c>
      <c r="P3027" s="20">
        <v>0.26</v>
      </c>
      <c r="Q3027" s="20">
        <v>0.11</v>
      </c>
      <c r="R3027" s="20">
        <v>0.14000000000000012</v>
      </c>
      <c r="S3027" s="20"/>
      <c r="T3027" s="20">
        <v>0.49</v>
      </c>
    </row>
    <row r="3028" spans="13:20" x14ac:dyDescent="0.2">
      <c r="M3028" s="20">
        <v>9.6555161853307987E-3</v>
      </c>
      <c r="N3028" s="20">
        <v>8.1081918470006216E-4</v>
      </c>
      <c r="O3028" s="20">
        <v>8.3974711360528198E-2</v>
      </c>
      <c r="P3028" s="20"/>
      <c r="Q3028" s="20"/>
      <c r="R3028" s="20">
        <v>0.46</v>
      </c>
      <c r="S3028" s="20">
        <v>0.53999999999999992</v>
      </c>
      <c r="T3028" s="20"/>
    </row>
    <row r="3029" spans="13:20" x14ac:dyDescent="0.2">
      <c r="M3029" s="20">
        <v>1.0602495561197557E-2</v>
      </c>
      <c r="N3029" s="20">
        <v>1.0186358909163862E-3</v>
      </c>
      <c r="O3029" s="20">
        <v>9.6075106566828938E-2</v>
      </c>
      <c r="P3029" s="20"/>
      <c r="Q3029" s="20"/>
      <c r="R3029" s="20"/>
      <c r="S3029" s="20">
        <v>0.51</v>
      </c>
      <c r="T3029" s="20">
        <v>0.4900000000000001</v>
      </c>
    </row>
    <row r="3030" spans="13:20" x14ac:dyDescent="0.2">
      <c r="M3030" s="20">
        <v>1.0111038660449708E-2</v>
      </c>
      <c r="N3030" s="20">
        <v>1.0287365750783904E-3</v>
      </c>
      <c r="O3030" s="20">
        <v>0.10174390679588553</v>
      </c>
      <c r="P3030" s="20"/>
      <c r="Q3030" s="20"/>
      <c r="R3030" s="20">
        <v>0.81</v>
      </c>
      <c r="S3030" s="20">
        <v>0.18999999999999995</v>
      </c>
      <c r="T3030" s="20"/>
    </row>
    <row r="3031" spans="13:20" x14ac:dyDescent="0.2">
      <c r="M3031" s="20">
        <v>1.1286654108406747E-2</v>
      </c>
      <c r="N3031" s="20">
        <v>1.1571980237962815E-3</v>
      </c>
      <c r="O3031" s="20">
        <v>0.10252799569133199</v>
      </c>
      <c r="P3031" s="20"/>
      <c r="Q3031" s="20">
        <v>0.22</v>
      </c>
      <c r="R3031" s="20">
        <v>0.75</v>
      </c>
      <c r="S3031" s="20">
        <v>3.0000000000000138E-2</v>
      </c>
      <c r="T3031" s="20"/>
    </row>
    <row r="3032" spans="13:20" x14ac:dyDescent="0.2">
      <c r="M3032" s="20">
        <v>1.235915827290977E-2</v>
      </c>
      <c r="N3032" s="20">
        <v>2.0642502034816236E-3</v>
      </c>
      <c r="O3032" s="20">
        <v>0.16702190860410659</v>
      </c>
      <c r="P3032" s="20">
        <v>0.67</v>
      </c>
      <c r="Q3032" s="20">
        <v>0.10999999999999999</v>
      </c>
      <c r="R3032" s="20"/>
      <c r="S3032" s="20">
        <v>0.15</v>
      </c>
      <c r="T3032" s="20">
        <v>7.0000000000000007E-2</v>
      </c>
    </row>
    <row r="3033" spans="13:20" x14ac:dyDescent="0.2">
      <c r="M3033" s="20">
        <v>1.3009110546230461E-2</v>
      </c>
      <c r="N3033" s="20">
        <v>2.0845028072481913E-3</v>
      </c>
      <c r="O3033" s="20">
        <v>0.16023407594550726</v>
      </c>
      <c r="P3033" s="20">
        <v>0.52</v>
      </c>
      <c r="Q3033" s="20"/>
      <c r="R3033" s="20"/>
      <c r="S3033" s="20"/>
      <c r="T3033" s="20">
        <v>0.48</v>
      </c>
    </row>
    <row r="3034" spans="13:20" x14ac:dyDescent="0.2">
      <c r="M3034" s="20">
        <v>1.039134687011423E-2</v>
      </c>
      <c r="N3034" s="20">
        <v>7.5639542354068038E-4</v>
      </c>
      <c r="O3034" s="20">
        <v>7.2790893518923164E-2</v>
      </c>
      <c r="P3034" s="20"/>
      <c r="Q3034" s="20"/>
      <c r="R3034" s="20"/>
      <c r="S3034" s="20">
        <v>0.77</v>
      </c>
      <c r="T3034" s="20">
        <v>0.22999999999999998</v>
      </c>
    </row>
    <row r="3035" spans="13:20" x14ac:dyDescent="0.2">
      <c r="M3035" s="20">
        <v>1.3853733404099842E-2</v>
      </c>
      <c r="N3035" s="20">
        <v>2.1726199075606705E-3</v>
      </c>
      <c r="O3035" s="20">
        <v>0.1568255894773975</v>
      </c>
      <c r="P3035" s="20">
        <v>0.68</v>
      </c>
      <c r="Q3035" s="20">
        <v>0.32000000000000006</v>
      </c>
      <c r="R3035" s="20"/>
      <c r="S3035" s="20"/>
      <c r="T3035" s="20"/>
    </row>
    <row r="3036" spans="13:20" x14ac:dyDescent="0.2">
      <c r="M3036" s="20">
        <v>9.8441397482599315E-3</v>
      </c>
      <c r="N3036" s="20">
        <v>8.1344557656875226E-4</v>
      </c>
      <c r="O3036" s="20">
        <v>8.2632469405215264E-2</v>
      </c>
      <c r="P3036" s="20">
        <v>0</v>
      </c>
      <c r="Q3036" s="20">
        <v>0.04</v>
      </c>
      <c r="R3036" s="20">
        <v>0.27</v>
      </c>
      <c r="S3036" s="20">
        <v>0.6</v>
      </c>
      <c r="T3036" s="20">
        <v>9.0000000000000191E-2</v>
      </c>
    </row>
    <row r="3037" spans="13:20" x14ac:dyDescent="0.2">
      <c r="M3037" s="20">
        <v>1.1262559524077986E-2</v>
      </c>
      <c r="N3037" s="20">
        <v>1.1825242078053284E-3</v>
      </c>
      <c r="O3037" s="20">
        <v>0.10499604510655283</v>
      </c>
      <c r="P3037" s="20">
        <v>0.02</v>
      </c>
      <c r="Q3037" s="20">
        <v>0.24</v>
      </c>
      <c r="R3037" s="20">
        <v>0.7</v>
      </c>
      <c r="S3037" s="20">
        <v>4.0000000000000147E-2</v>
      </c>
      <c r="T3037" s="20"/>
    </row>
    <row r="3038" spans="13:20" x14ac:dyDescent="0.2">
      <c r="M3038" s="20">
        <v>1.1405326812685485E-2</v>
      </c>
      <c r="N3038" s="20">
        <v>1.1758766572572807E-3</v>
      </c>
      <c r="O3038" s="20">
        <v>0.10309890076533545</v>
      </c>
      <c r="P3038" s="20"/>
      <c r="Q3038" s="20">
        <v>0.22</v>
      </c>
      <c r="R3038" s="20">
        <v>0.77999999999999992</v>
      </c>
      <c r="S3038" s="20"/>
      <c r="T3038" s="20"/>
    </row>
    <row r="3039" spans="13:20" x14ac:dyDescent="0.2">
      <c r="M3039" s="20">
        <v>9.3157820228693417E-3</v>
      </c>
      <c r="N3039" s="20">
        <v>9.9560906828572316E-4</v>
      </c>
      <c r="O3039" s="20">
        <v>0.10687337529384001</v>
      </c>
      <c r="P3039" s="20"/>
      <c r="Q3039" s="20">
        <v>0</v>
      </c>
      <c r="R3039" s="20">
        <v>0.53</v>
      </c>
      <c r="S3039" s="20">
        <v>0.33</v>
      </c>
      <c r="T3039" s="20">
        <v>0.1399999999999999</v>
      </c>
    </row>
    <row r="3040" spans="13:20" x14ac:dyDescent="0.2">
      <c r="M3040" s="20">
        <v>1.4912738377618208E-2</v>
      </c>
      <c r="N3040" s="20">
        <v>1.6921091596348479E-3</v>
      </c>
      <c r="O3040" s="20">
        <v>0.11346736707823232</v>
      </c>
      <c r="P3040" s="20">
        <v>0.15000000000000002</v>
      </c>
      <c r="Q3040" s="20"/>
      <c r="R3040" s="20"/>
      <c r="S3040" s="20"/>
      <c r="T3040" s="20">
        <v>0.85</v>
      </c>
    </row>
    <row r="3041" spans="13:20" x14ac:dyDescent="0.2">
      <c r="M3041" s="20">
        <v>1.1316847661369096E-2</v>
      </c>
      <c r="N3041" s="20">
        <v>6.0510284620854231E-4</v>
      </c>
      <c r="O3041" s="20">
        <v>5.34692048806229E-2</v>
      </c>
      <c r="P3041" s="20"/>
      <c r="Q3041" s="20"/>
      <c r="R3041" s="20"/>
      <c r="S3041" s="20">
        <v>0.92</v>
      </c>
      <c r="T3041" s="20">
        <v>7.9999999999999849E-2</v>
      </c>
    </row>
    <row r="3042" spans="13:20" x14ac:dyDescent="0.2">
      <c r="M3042" s="20">
        <v>1.7871638832514841E-2</v>
      </c>
      <c r="N3042" s="20">
        <v>1.2663358776157643E-3</v>
      </c>
      <c r="O3042" s="20">
        <v>7.0857288997573681E-2</v>
      </c>
      <c r="P3042" s="20"/>
      <c r="Q3042" s="20">
        <v>0.91</v>
      </c>
      <c r="R3042" s="20">
        <v>9.000000000000008E-2</v>
      </c>
      <c r="S3042" s="20"/>
      <c r="T3042" s="20"/>
    </row>
    <row r="3043" spans="13:20" x14ac:dyDescent="0.2">
      <c r="M3043" s="20">
        <v>1.3849894403893377E-2</v>
      </c>
      <c r="N3043" s="20">
        <v>2.3041618195022134E-3</v>
      </c>
      <c r="O3043" s="20">
        <v>0.16636674275686067</v>
      </c>
      <c r="P3043" s="20">
        <v>0.78</v>
      </c>
      <c r="Q3043" s="20">
        <v>0.21999999999999986</v>
      </c>
      <c r="R3043" s="20"/>
      <c r="S3043" s="20"/>
      <c r="T3043" s="20"/>
    </row>
    <row r="3044" spans="13:20" x14ac:dyDescent="0.2">
      <c r="M3044" s="20">
        <v>1.1579199744869626E-2</v>
      </c>
      <c r="N3044" s="20">
        <v>5.7484433074211504E-4</v>
      </c>
      <c r="O3044" s="20">
        <v>4.9644564685639027E-2</v>
      </c>
      <c r="P3044" s="20"/>
      <c r="Q3044" s="20"/>
      <c r="R3044" s="20"/>
      <c r="S3044" s="20">
        <v>0.95</v>
      </c>
      <c r="T3044" s="20">
        <v>5.0000000000000044E-2</v>
      </c>
    </row>
    <row r="3045" spans="13:20" x14ac:dyDescent="0.2">
      <c r="M3045" s="20">
        <v>1.0199118291272596E-2</v>
      </c>
      <c r="N3045" s="20">
        <v>1.0411889973857235E-3</v>
      </c>
      <c r="O3045" s="20">
        <v>0.10208617722148304</v>
      </c>
      <c r="P3045" s="20"/>
      <c r="Q3045" s="20"/>
      <c r="R3045" s="20">
        <v>0.83</v>
      </c>
      <c r="S3045" s="20">
        <v>0.17000000000000004</v>
      </c>
      <c r="T3045" s="20"/>
    </row>
    <row r="3046" spans="13:20" x14ac:dyDescent="0.2">
      <c r="M3046" s="20">
        <v>1.0218522226017952E-2</v>
      </c>
      <c r="N3046" s="20">
        <v>1.4505403631457955E-3</v>
      </c>
      <c r="O3046" s="20">
        <v>0.14195206812316691</v>
      </c>
      <c r="P3046" s="20">
        <v>0.2</v>
      </c>
      <c r="Q3046" s="20">
        <v>0.02</v>
      </c>
      <c r="R3046" s="20">
        <v>0.74999999999999989</v>
      </c>
      <c r="S3046" s="20"/>
      <c r="T3046" s="20">
        <v>0.03</v>
      </c>
    </row>
    <row r="3047" spans="13:20" x14ac:dyDescent="0.2">
      <c r="M3047" s="20">
        <v>1.4125154049091999E-2</v>
      </c>
      <c r="N3047" s="20">
        <v>1.4440000186324517E-3</v>
      </c>
      <c r="O3047" s="20">
        <v>0.10222897489215529</v>
      </c>
      <c r="P3047" s="20"/>
      <c r="Q3047" s="20">
        <v>0.17</v>
      </c>
      <c r="R3047" s="20">
        <v>0.04</v>
      </c>
      <c r="S3047" s="20">
        <v>0.03</v>
      </c>
      <c r="T3047" s="20">
        <v>0.76</v>
      </c>
    </row>
    <row r="3048" spans="13:20" x14ac:dyDescent="0.2">
      <c r="M3048" s="20">
        <v>1.6360203031018032E-2</v>
      </c>
      <c r="N3048" s="20">
        <v>1.2506038392925494E-3</v>
      </c>
      <c r="O3048" s="20">
        <v>7.6441828803803624E-2</v>
      </c>
      <c r="P3048" s="20"/>
      <c r="Q3048" s="20">
        <v>0.79</v>
      </c>
      <c r="R3048" s="20">
        <v>0.20999999999999996</v>
      </c>
      <c r="S3048" s="20"/>
      <c r="T3048" s="20"/>
    </row>
    <row r="3049" spans="13:20" x14ac:dyDescent="0.2">
      <c r="M3049" s="20">
        <v>1.5528474120001454E-2</v>
      </c>
      <c r="N3049" s="20">
        <v>1.2414268169373412E-3</v>
      </c>
      <c r="O3049" s="20">
        <v>7.9945190193434476E-2</v>
      </c>
      <c r="P3049" s="20"/>
      <c r="Q3049" s="20">
        <v>0.72</v>
      </c>
      <c r="R3049" s="20">
        <v>0.28000000000000014</v>
      </c>
      <c r="S3049" s="20"/>
      <c r="T3049" s="20"/>
    </row>
    <row r="3050" spans="13:20" x14ac:dyDescent="0.2">
      <c r="M3050" s="20">
        <v>6.7121432716622711E-3</v>
      </c>
      <c r="N3050" s="20">
        <v>9.7728233187988219E-4</v>
      </c>
      <c r="O3050" s="20">
        <v>0.14559914655067502</v>
      </c>
      <c r="P3050" s="20">
        <v>0.28000000000000003</v>
      </c>
      <c r="Q3050" s="20">
        <v>0.05</v>
      </c>
      <c r="R3050" s="20">
        <v>0</v>
      </c>
      <c r="S3050" s="20">
        <v>0.24</v>
      </c>
      <c r="T3050" s="20">
        <v>0.04</v>
      </c>
    </row>
    <row r="3051" spans="13:20" x14ac:dyDescent="0.2">
      <c r="M3051" s="20">
        <v>1.8395715759419593E-2</v>
      </c>
      <c r="N3051" s="20">
        <v>1.2715798903901688E-3</v>
      </c>
      <c r="O3051" s="20">
        <v>6.9123697442381477E-2</v>
      </c>
      <c r="P3051" s="20"/>
      <c r="Q3051" s="20">
        <v>0.95</v>
      </c>
      <c r="R3051" s="20">
        <v>5.0000000000000044E-2</v>
      </c>
      <c r="S3051" s="20"/>
      <c r="T3051" s="20"/>
    </row>
    <row r="3052" spans="13:20" x14ac:dyDescent="0.2">
      <c r="M3052" s="20">
        <v>1.5072756399316824E-2</v>
      </c>
      <c r="N3052" s="20">
        <v>1.2361828041629363E-3</v>
      </c>
      <c r="O3052" s="20">
        <v>8.2014382201451005E-2</v>
      </c>
      <c r="P3052" s="20"/>
      <c r="Q3052" s="20">
        <v>0.68</v>
      </c>
      <c r="R3052" s="20">
        <v>0.31999999999999995</v>
      </c>
      <c r="S3052" s="20"/>
      <c r="T3052" s="20"/>
    </row>
    <row r="3053" spans="13:20" x14ac:dyDescent="0.2">
      <c r="M3053" s="20">
        <v>1.0200049368475052E-2</v>
      </c>
      <c r="N3053" s="20">
        <v>8.3708479811782084E-4</v>
      </c>
      <c r="O3053" s="20">
        <v>8.2066739863531496E-2</v>
      </c>
      <c r="P3053" s="20"/>
      <c r="Q3053" s="20"/>
      <c r="R3053" s="20"/>
      <c r="S3053" s="20">
        <v>0.69</v>
      </c>
      <c r="T3053" s="20">
        <v>0.31000000000000016</v>
      </c>
    </row>
    <row r="3054" spans="13:20" x14ac:dyDescent="0.2">
      <c r="M3054" s="20">
        <v>1.4131033776610676E-2</v>
      </c>
      <c r="N3054" s="20">
        <v>1.4558268856246144E-3</v>
      </c>
      <c r="O3054" s="20">
        <v>0.10302338163215359</v>
      </c>
      <c r="P3054" s="20">
        <v>0.16</v>
      </c>
      <c r="Q3054" s="20">
        <v>0.59</v>
      </c>
      <c r="R3054" s="20">
        <v>0.24999999999999989</v>
      </c>
      <c r="S3054" s="20"/>
      <c r="T3054" s="20"/>
    </row>
    <row r="3055" spans="13:20" x14ac:dyDescent="0.2">
      <c r="M3055" s="20">
        <v>1.6605098630716873E-2</v>
      </c>
      <c r="N3055" s="20">
        <v>1.2532258456797521E-3</v>
      </c>
      <c r="O3055" s="20">
        <v>7.5472351808948457E-2</v>
      </c>
      <c r="P3055" s="20"/>
      <c r="Q3055" s="20">
        <v>0.81</v>
      </c>
      <c r="R3055" s="20">
        <v>0.19000000000000006</v>
      </c>
      <c r="S3055" s="20"/>
      <c r="T3055" s="20"/>
    </row>
    <row r="3056" spans="13:20" x14ac:dyDescent="0.2">
      <c r="M3056" s="20">
        <v>1.3005566087976737E-2</v>
      </c>
      <c r="N3056" s="20">
        <v>2.0026192987886095E-3</v>
      </c>
      <c r="O3056" s="20">
        <v>0.15398170946514755</v>
      </c>
      <c r="P3056" s="20">
        <v>0.45</v>
      </c>
      <c r="Q3056" s="20">
        <v>2.9999999999999916E-2</v>
      </c>
      <c r="R3056" s="20"/>
      <c r="S3056" s="20"/>
      <c r="T3056" s="20">
        <v>0.52</v>
      </c>
    </row>
    <row r="3057" spans="13:20" x14ac:dyDescent="0.2">
      <c r="M3057" s="20">
        <v>1.4367156485985239E-2</v>
      </c>
      <c r="N3057" s="20">
        <v>2.5277830698028371E-3</v>
      </c>
      <c r="O3057" s="20">
        <v>0.17594177889470466</v>
      </c>
      <c r="P3057" s="20">
        <v>0.95</v>
      </c>
      <c r="Q3057" s="20">
        <v>4.9999999999999933E-2</v>
      </c>
      <c r="R3057" s="20"/>
      <c r="S3057" s="20"/>
      <c r="T3057" s="20"/>
    </row>
    <row r="3058" spans="13:20" x14ac:dyDescent="0.2">
      <c r="M3058" s="20">
        <v>9.3187560275488669E-3</v>
      </c>
      <c r="N3058" s="20">
        <v>9.1641340389186845E-4</v>
      </c>
      <c r="O3058" s="20">
        <v>9.8340744320668153E-2</v>
      </c>
      <c r="P3058" s="20"/>
      <c r="Q3058" s="20"/>
      <c r="R3058" s="20">
        <v>0.5</v>
      </c>
      <c r="S3058" s="20">
        <v>0.42</v>
      </c>
      <c r="T3058" s="20">
        <v>7.999999999999996E-2</v>
      </c>
    </row>
    <row r="3059" spans="13:20" x14ac:dyDescent="0.2">
      <c r="M3059" s="20">
        <v>1.0578744887028991E-2</v>
      </c>
      <c r="N3059" s="20">
        <v>1.7080398523180206E-3</v>
      </c>
      <c r="O3059" s="20">
        <v>0.16145959379475294</v>
      </c>
      <c r="P3059" s="20">
        <v>0.49</v>
      </c>
      <c r="Q3059" s="20">
        <v>0.06</v>
      </c>
      <c r="R3059" s="20">
        <v>0.2</v>
      </c>
      <c r="S3059" s="20">
        <v>0.25</v>
      </c>
      <c r="T3059" s="20"/>
    </row>
    <row r="3060" spans="13:20" x14ac:dyDescent="0.2">
      <c r="M3060" s="20">
        <v>1.1802072767918633E-2</v>
      </c>
      <c r="N3060" s="20">
        <v>1.6242535240195604E-3</v>
      </c>
      <c r="O3060" s="20">
        <v>0.13762442885750883</v>
      </c>
      <c r="P3060" s="20">
        <v>0.3</v>
      </c>
      <c r="Q3060" s="20">
        <v>0.33</v>
      </c>
      <c r="R3060" s="20">
        <v>0.36999999999999988</v>
      </c>
      <c r="S3060" s="20"/>
      <c r="T3060" s="20"/>
    </row>
    <row r="3061" spans="13:20" x14ac:dyDescent="0.2">
      <c r="M3061" s="20">
        <v>1.3424167007732985E-2</v>
      </c>
      <c r="N3061" s="20">
        <v>1.2152067530653171E-3</v>
      </c>
      <c r="O3061" s="20">
        <v>9.052381070388188E-2</v>
      </c>
      <c r="P3061" s="20"/>
      <c r="Q3061" s="20">
        <v>0.52</v>
      </c>
      <c r="R3061" s="20">
        <v>0.48000000000000009</v>
      </c>
      <c r="S3061" s="20"/>
      <c r="T3061" s="20"/>
    </row>
    <row r="3062" spans="13:20" x14ac:dyDescent="0.2">
      <c r="M3062" s="20">
        <v>1.2956551174077428E-2</v>
      </c>
      <c r="N3062" s="20">
        <v>2.1799499107217069E-3</v>
      </c>
      <c r="O3062" s="20">
        <v>0.16825078536973634</v>
      </c>
      <c r="P3062" s="20">
        <v>0.61</v>
      </c>
      <c r="Q3062" s="20"/>
      <c r="R3062" s="20"/>
      <c r="S3062" s="20"/>
      <c r="T3062" s="20">
        <v>0.39</v>
      </c>
    </row>
    <row r="3063" spans="13:20" x14ac:dyDescent="0.2">
      <c r="M3063" s="20">
        <v>1.4210476746707952E-2</v>
      </c>
      <c r="N3063" s="20">
        <v>1.2256947786141266E-3</v>
      </c>
      <c r="O3063" s="20">
        <v>8.625289639899486E-2</v>
      </c>
      <c r="P3063" s="20"/>
      <c r="Q3063" s="20">
        <v>0.6</v>
      </c>
      <c r="R3063" s="20">
        <v>0.39999999999999991</v>
      </c>
      <c r="S3063" s="20"/>
      <c r="T3063" s="20"/>
    </row>
    <row r="3064" spans="13:20" x14ac:dyDescent="0.2">
      <c r="M3064" s="20">
        <v>9.5732977198468207E-3</v>
      </c>
      <c r="N3064" s="20">
        <v>8.917599296977269E-4</v>
      </c>
      <c r="O3064" s="20">
        <v>9.3150757011241855E-2</v>
      </c>
      <c r="P3064" s="20"/>
      <c r="Q3064" s="20"/>
      <c r="R3064" s="20">
        <v>0.59</v>
      </c>
      <c r="S3064" s="20">
        <v>0.41000000000000003</v>
      </c>
      <c r="T3064" s="20"/>
    </row>
    <row r="3065" spans="13:20" x14ac:dyDescent="0.2">
      <c r="M3065" s="20">
        <v>1.0444953040813672E-2</v>
      </c>
      <c r="N3065" s="20">
        <v>1.0723200531540561E-3</v>
      </c>
      <c r="O3065" s="20">
        <v>0.10266394199801222</v>
      </c>
      <c r="P3065" s="20"/>
      <c r="Q3065" s="20"/>
      <c r="R3065" s="20">
        <v>0.88</v>
      </c>
      <c r="S3065" s="20">
        <v>0.12000000000000011</v>
      </c>
      <c r="T3065" s="20"/>
    </row>
    <row r="3066" spans="13:20" x14ac:dyDescent="0.2">
      <c r="M3066" s="20">
        <v>1.5054569369537061E-2</v>
      </c>
      <c r="N3066" s="20">
        <v>1.7345985885727732E-3</v>
      </c>
      <c r="O3066" s="20">
        <v>0.11522073770391171</v>
      </c>
      <c r="P3066" s="20">
        <v>0.35</v>
      </c>
      <c r="Q3066" s="20">
        <v>0.62</v>
      </c>
      <c r="R3066" s="20">
        <v>3.0000000000000027E-2</v>
      </c>
      <c r="S3066" s="20"/>
      <c r="T3066" s="20"/>
    </row>
    <row r="3067" spans="13:20" x14ac:dyDescent="0.2">
      <c r="M3067" s="20">
        <v>1.0955838867752705E-2</v>
      </c>
      <c r="N3067" s="20">
        <v>1.223228318685476E-3</v>
      </c>
      <c r="O3067" s="20">
        <v>0.11165081318290586</v>
      </c>
      <c r="P3067" s="20"/>
      <c r="Q3067" s="20"/>
      <c r="R3067" s="20">
        <v>0.28000000000000003</v>
      </c>
      <c r="S3067" s="20">
        <v>0.2</v>
      </c>
      <c r="T3067" s="20">
        <v>0.52</v>
      </c>
    </row>
    <row r="3068" spans="13:20" x14ac:dyDescent="0.2">
      <c r="M3068" s="20">
        <v>1.1618843258280597E-2</v>
      </c>
      <c r="N3068" s="20">
        <v>1.1824316732252866E-3</v>
      </c>
      <c r="O3068" s="20">
        <v>0.10176845034746321</v>
      </c>
      <c r="P3068" s="20"/>
      <c r="Q3068" s="20">
        <v>0.27</v>
      </c>
      <c r="R3068" s="20">
        <v>0.72999999999999987</v>
      </c>
      <c r="S3068" s="20"/>
      <c r="T3068" s="20"/>
    </row>
    <row r="3069" spans="13:20" x14ac:dyDescent="0.2">
      <c r="M3069" s="20">
        <v>9.5973862690342821E-3</v>
      </c>
      <c r="N3069" s="20">
        <v>9.1043856315872643E-4</v>
      </c>
      <c r="O3069" s="20">
        <v>9.486317812342647E-2</v>
      </c>
      <c r="P3069" s="20"/>
      <c r="Q3069" s="20"/>
      <c r="R3069" s="20">
        <v>0.62</v>
      </c>
      <c r="S3069" s="20">
        <v>0.37999999999999989</v>
      </c>
      <c r="T3069" s="20"/>
    </row>
    <row r="3070" spans="13:20" x14ac:dyDescent="0.2">
      <c r="M3070" s="20">
        <v>1.5255066422544934E-2</v>
      </c>
      <c r="N3070" s="20">
        <v>1.6496882247577299E-3</v>
      </c>
      <c r="O3070" s="20">
        <v>0.10814035016718858</v>
      </c>
      <c r="P3070" s="20">
        <v>0.1100000000000001</v>
      </c>
      <c r="Q3070" s="20"/>
      <c r="R3070" s="20"/>
      <c r="S3070" s="20"/>
      <c r="T3070" s="20">
        <v>0.89</v>
      </c>
    </row>
    <row r="3071" spans="13:20" x14ac:dyDescent="0.2">
      <c r="M3071" s="20">
        <v>1.3476815384015758E-2</v>
      </c>
      <c r="N3071" s="20">
        <v>2.1805300859804194E-3</v>
      </c>
      <c r="O3071" s="20">
        <v>0.16179861664994294</v>
      </c>
      <c r="P3071" s="20">
        <v>0.69</v>
      </c>
      <c r="Q3071" s="20">
        <v>0.27</v>
      </c>
      <c r="R3071" s="20">
        <v>4.0000000000000036E-2</v>
      </c>
      <c r="S3071" s="20"/>
      <c r="T3071" s="20"/>
    </row>
    <row r="3072" spans="13:20" x14ac:dyDescent="0.2">
      <c r="M3072" s="20">
        <v>9.7409704201740031E-3</v>
      </c>
      <c r="N3072" s="20">
        <v>7.8591434008539623E-4</v>
      </c>
      <c r="O3072" s="20">
        <v>8.0681318819912543E-2</v>
      </c>
      <c r="P3072" s="20"/>
      <c r="Q3072" s="20"/>
      <c r="R3072" s="20">
        <v>0.42</v>
      </c>
      <c r="S3072" s="20">
        <v>0.58000000000000007</v>
      </c>
      <c r="T3072" s="20"/>
    </row>
    <row r="3073" spans="13:20" x14ac:dyDescent="0.2">
      <c r="M3073" s="20">
        <v>1.066504244025005E-2</v>
      </c>
      <c r="N3073" s="20">
        <v>9.0290556487521568E-4</v>
      </c>
      <c r="O3073" s="20">
        <v>8.4660288032950989E-2</v>
      </c>
      <c r="P3073" s="20"/>
      <c r="Q3073" s="20">
        <v>0.18</v>
      </c>
      <c r="R3073" s="20">
        <v>0.39</v>
      </c>
      <c r="S3073" s="20">
        <v>0.43000000000000005</v>
      </c>
      <c r="T3073" s="20"/>
    </row>
    <row r="3074" spans="13:20" x14ac:dyDescent="0.2">
      <c r="M3074" s="20">
        <v>1.2726230744355057E-2</v>
      </c>
      <c r="N3074" s="20">
        <v>1.8872490293863626E-3</v>
      </c>
      <c r="O3074" s="20">
        <v>0.14829599331471224</v>
      </c>
      <c r="P3074" s="20">
        <v>0.48</v>
      </c>
      <c r="Q3074" s="20">
        <v>0.35</v>
      </c>
      <c r="R3074" s="20">
        <v>0.16999999999999993</v>
      </c>
      <c r="S3074" s="20"/>
      <c r="T3074" s="20"/>
    </row>
    <row r="3075" spans="13:20" x14ac:dyDescent="0.2">
      <c r="M3075" s="20">
        <v>9.4537584062651028E-3</v>
      </c>
      <c r="N3075" s="20">
        <v>1.2848271691126788E-3</v>
      </c>
      <c r="O3075" s="20">
        <v>0.13590649495138468</v>
      </c>
      <c r="P3075" s="20">
        <v>0.22000000000000008</v>
      </c>
      <c r="Q3075" s="20"/>
      <c r="R3075" s="20">
        <v>0.15</v>
      </c>
      <c r="S3075" s="20">
        <v>0.42</v>
      </c>
      <c r="T3075" s="20">
        <v>0.21</v>
      </c>
    </row>
    <row r="3076" spans="13:20" x14ac:dyDescent="0.2">
      <c r="M3076" s="20">
        <v>1.4637253852239254E-2</v>
      </c>
      <c r="N3076" s="20">
        <v>2.593554025773609E-3</v>
      </c>
      <c r="O3076" s="20">
        <v>0.17718856637693953</v>
      </c>
      <c r="P3076" s="20">
        <v>1</v>
      </c>
      <c r="Q3076" s="20">
        <v>0</v>
      </c>
      <c r="R3076" s="20"/>
      <c r="S3076" s="20"/>
      <c r="T3076" s="20"/>
    </row>
    <row r="3077" spans="13:20" x14ac:dyDescent="0.2">
      <c r="M3077" s="20">
        <v>1.3061675215031326E-2</v>
      </c>
      <c r="N3077" s="20">
        <v>1.7593739952304842E-3</v>
      </c>
      <c r="O3077" s="20">
        <v>0.13469742328348536</v>
      </c>
      <c r="P3077" s="20">
        <v>0.28000000000000003</v>
      </c>
      <c r="Q3077" s="20"/>
      <c r="R3077" s="20"/>
      <c r="S3077" s="20">
        <v>7.0000000000000007E-2</v>
      </c>
      <c r="T3077" s="20">
        <v>0.65</v>
      </c>
    </row>
    <row r="3078" spans="13:20" x14ac:dyDescent="0.2">
      <c r="M3078" s="20">
        <v>1.1486351318839291E-2</v>
      </c>
      <c r="N3078" s="20">
        <v>1.1810527638649406E-3</v>
      </c>
      <c r="O3078" s="20">
        <v>0.10282227411308949</v>
      </c>
      <c r="P3078" s="20">
        <v>2.0000000000000129E-2</v>
      </c>
      <c r="Q3078" s="20"/>
      <c r="R3078" s="20"/>
      <c r="S3078" s="20">
        <v>0.37</v>
      </c>
      <c r="T3078" s="20">
        <v>0.61</v>
      </c>
    </row>
    <row r="3079" spans="13:20" x14ac:dyDescent="0.2">
      <c r="M3079" s="20">
        <v>1.8442017106727406E-2</v>
      </c>
      <c r="N3079" s="20">
        <v>1.3294406679411912E-3</v>
      </c>
      <c r="O3079" s="20">
        <v>7.2087595421231263E-2</v>
      </c>
      <c r="P3079" s="20">
        <v>0.04</v>
      </c>
      <c r="Q3079" s="20">
        <v>0.95</v>
      </c>
      <c r="R3079" s="20">
        <v>1.0000000000000009E-2</v>
      </c>
      <c r="S3079" s="20"/>
      <c r="T3079" s="20"/>
    </row>
    <row r="3080" spans="13:20" x14ac:dyDescent="0.2">
      <c r="M3080" s="20">
        <v>9.7707749482850645E-3</v>
      </c>
      <c r="N3080" s="20">
        <v>9.928730183396768E-4</v>
      </c>
      <c r="O3080" s="20">
        <v>0.10161660908113974</v>
      </c>
      <c r="P3080" s="20"/>
      <c r="Q3080" s="20"/>
      <c r="R3080" s="20">
        <v>0.72</v>
      </c>
      <c r="S3080" s="20">
        <v>0.26</v>
      </c>
      <c r="T3080" s="20">
        <v>2.0000000000000129E-2</v>
      </c>
    </row>
    <row r="3081" spans="13:20" x14ac:dyDescent="0.2">
      <c r="M3081" s="20">
        <v>1.8661079521685268E-2</v>
      </c>
      <c r="N3081" s="20">
        <v>1.2742018967773715E-3</v>
      </c>
      <c r="O3081" s="20">
        <v>6.8281253252078705E-2</v>
      </c>
      <c r="P3081" s="20"/>
      <c r="Q3081" s="20">
        <v>0.97</v>
      </c>
      <c r="R3081" s="20">
        <v>3.0000000000000138E-2</v>
      </c>
      <c r="S3081" s="20"/>
      <c r="T3081" s="20"/>
    </row>
    <row r="3082" spans="13:20" x14ac:dyDescent="0.2">
      <c r="M3082" s="20">
        <v>1.906302168500059E-2</v>
      </c>
      <c r="N3082" s="20">
        <v>1.2781349063581749E-3</v>
      </c>
      <c r="O3082" s="20">
        <v>6.7047865101252727E-2</v>
      </c>
      <c r="P3082" s="20"/>
      <c r="Q3082" s="20">
        <v>1</v>
      </c>
      <c r="R3082" s="20">
        <v>0</v>
      </c>
      <c r="S3082" s="20"/>
      <c r="T3082" s="20"/>
    </row>
    <row r="3083" spans="13:20" x14ac:dyDescent="0.2">
      <c r="M3083" s="20">
        <v>1.4043816940215014E-2</v>
      </c>
      <c r="N3083" s="20">
        <v>2.4225495402496028E-3</v>
      </c>
      <c r="O3083" s="20">
        <v>0.17249936755530743</v>
      </c>
      <c r="P3083" s="20">
        <v>0.87</v>
      </c>
      <c r="Q3083" s="20">
        <v>0.13</v>
      </c>
      <c r="R3083" s="20"/>
      <c r="S3083" s="20"/>
      <c r="T3083" s="20"/>
    </row>
    <row r="3084" spans="13:20" x14ac:dyDescent="0.2">
      <c r="M3084" s="20">
        <v>1.5072756399316824E-2</v>
      </c>
      <c r="N3084" s="20">
        <v>1.2361828041629363E-3</v>
      </c>
      <c r="O3084" s="20">
        <v>8.2014382201451005E-2</v>
      </c>
      <c r="P3084" s="20"/>
      <c r="Q3084" s="20">
        <v>0.68</v>
      </c>
      <c r="R3084" s="20">
        <v>0.31999999999999995</v>
      </c>
      <c r="S3084" s="20"/>
      <c r="T3084" s="20"/>
    </row>
    <row r="3085" spans="13:20" x14ac:dyDescent="0.2">
      <c r="M3085" s="20">
        <v>1.3993973667379787E-2</v>
      </c>
      <c r="N3085" s="20">
        <v>2.08054056920159E-3</v>
      </c>
      <c r="O3085" s="20">
        <v>0.14867403774321578</v>
      </c>
      <c r="P3085" s="20">
        <v>0.61</v>
      </c>
      <c r="Q3085" s="20">
        <v>0.39000000000000012</v>
      </c>
      <c r="R3085" s="20"/>
      <c r="S3085" s="20"/>
      <c r="T3085" s="20"/>
    </row>
    <row r="3086" spans="13:20" x14ac:dyDescent="0.2">
      <c r="M3086" s="20">
        <v>1.3817706763828255E-2</v>
      </c>
      <c r="N3086" s="20">
        <v>2.466291221142254E-3</v>
      </c>
      <c r="O3086" s="20">
        <v>0.17848773774809487</v>
      </c>
      <c r="P3086" s="20">
        <v>0.87999999999999989</v>
      </c>
      <c r="Q3086" s="20"/>
      <c r="R3086" s="20"/>
      <c r="S3086" s="20"/>
      <c r="T3086" s="20">
        <v>0.12</v>
      </c>
    </row>
    <row r="3087" spans="13:20" x14ac:dyDescent="0.2">
      <c r="M3087" s="20">
        <v>1.1173025858215857E-2</v>
      </c>
      <c r="N3087" s="20">
        <v>1.5339238211396593E-3</v>
      </c>
      <c r="O3087" s="20">
        <v>0.1372881295188017</v>
      </c>
      <c r="P3087" s="20">
        <v>0.15</v>
      </c>
      <c r="Q3087" s="20">
        <v>0.03</v>
      </c>
      <c r="R3087" s="20">
        <v>0.39</v>
      </c>
      <c r="S3087" s="20">
        <v>0</v>
      </c>
      <c r="T3087" s="20">
        <v>0.43</v>
      </c>
    </row>
    <row r="3088" spans="13:20" x14ac:dyDescent="0.2">
      <c r="M3088" s="20">
        <v>1.383981491350712E-2</v>
      </c>
      <c r="N3088" s="20">
        <v>2.2910076283080591E-3</v>
      </c>
      <c r="O3088" s="20">
        <v>0.16553744704144308</v>
      </c>
      <c r="P3088" s="20">
        <v>0.77</v>
      </c>
      <c r="Q3088" s="20">
        <v>0.22999999999999998</v>
      </c>
      <c r="R3088" s="20"/>
      <c r="S3088" s="20"/>
      <c r="T3088" s="20"/>
    </row>
    <row r="3089" spans="13:20" x14ac:dyDescent="0.2">
      <c r="M3089" s="20">
        <v>9.5662104058997343E-3</v>
      </c>
      <c r="N3089" s="20">
        <v>8.7930750739039388E-4</v>
      </c>
      <c r="O3089" s="20">
        <v>9.1918060556989395E-2</v>
      </c>
      <c r="P3089" s="20"/>
      <c r="Q3089" s="20"/>
      <c r="R3089" s="20">
        <v>0.56999999999999995</v>
      </c>
      <c r="S3089" s="20">
        <v>0.42999999999999994</v>
      </c>
      <c r="T3089" s="20"/>
    </row>
    <row r="3090" spans="13:20" x14ac:dyDescent="0.2">
      <c r="M3090" s="20">
        <v>1.0085693567215347E-2</v>
      </c>
      <c r="N3090" s="20">
        <v>1.0215281655454622E-3</v>
      </c>
      <c r="O3090" s="20">
        <v>0.10128487036985255</v>
      </c>
      <c r="P3090" s="20"/>
      <c r="Q3090" s="20">
        <v>0.04</v>
      </c>
      <c r="R3090" s="20">
        <v>0.75</v>
      </c>
      <c r="S3090" s="20">
        <v>0.20999999999999996</v>
      </c>
      <c r="T3090" s="20"/>
    </row>
    <row r="3091" spans="13:20" x14ac:dyDescent="0.2">
      <c r="M3091" s="20">
        <v>1.1882796521238392E-2</v>
      </c>
      <c r="N3091" s="20">
        <v>2.150377012527592E-3</v>
      </c>
      <c r="O3091" s="20">
        <v>0.18096556721173962</v>
      </c>
      <c r="P3091" s="20">
        <v>0.69</v>
      </c>
      <c r="Q3091" s="20">
        <v>0.04</v>
      </c>
      <c r="R3091" s="20">
        <v>0.27000000000000013</v>
      </c>
      <c r="S3091" s="20"/>
      <c r="T3091" s="20"/>
    </row>
    <row r="3092" spans="13:20" x14ac:dyDescent="0.2">
      <c r="M3092" s="20">
        <v>1.4741319428931792E-2</v>
      </c>
      <c r="N3092" s="20">
        <v>1.2322497945821327E-3</v>
      </c>
      <c r="O3092" s="20">
        <v>8.3591553695232954E-2</v>
      </c>
      <c r="P3092" s="20"/>
      <c r="Q3092" s="20">
        <v>0.65</v>
      </c>
      <c r="R3092" s="20">
        <v>0.35</v>
      </c>
      <c r="S3092" s="20"/>
      <c r="T3092" s="20"/>
    </row>
    <row r="3093" spans="13:20" x14ac:dyDescent="0.2">
      <c r="M3093" s="20">
        <v>1.4749960029107697E-2</v>
      </c>
      <c r="N3093" s="20">
        <v>1.7133196270734071E-3</v>
      </c>
      <c r="O3093" s="20">
        <v>0.11615757762680899</v>
      </c>
      <c r="P3093" s="20">
        <v>0.17000000000000015</v>
      </c>
      <c r="Q3093" s="20"/>
      <c r="R3093" s="20"/>
      <c r="S3093" s="20"/>
      <c r="T3093" s="20">
        <v>0.83</v>
      </c>
    </row>
    <row r="3094" spans="13:20" x14ac:dyDescent="0.2">
      <c r="M3094" s="20">
        <v>9.5873623670378865E-3</v>
      </c>
      <c r="N3094" s="20">
        <v>8.0758039391296682E-4</v>
      </c>
      <c r="O3094" s="20">
        <v>8.4233844825714763E-2</v>
      </c>
      <c r="P3094" s="20"/>
      <c r="Q3094" s="20"/>
      <c r="R3094" s="20">
        <v>0.39</v>
      </c>
      <c r="S3094" s="20">
        <v>0.56999999999999995</v>
      </c>
      <c r="T3094" s="20">
        <v>4.0000000000000036E-2</v>
      </c>
    </row>
    <row r="3095" spans="13:20" x14ac:dyDescent="0.2">
      <c r="M3095" s="20">
        <v>1.2572189861927166E-2</v>
      </c>
      <c r="N3095" s="20">
        <v>2.100338094880035E-3</v>
      </c>
      <c r="O3095" s="20">
        <v>0.16706223163560135</v>
      </c>
      <c r="P3095" s="20">
        <v>0.64</v>
      </c>
      <c r="Q3095" s="20">
        <v>0.21</v>
      </c>
      <c r="R3095" s="20">
        <v>0.15000000000000002</v>
      </c>
      <c r="S3095" s="20"/>
      <c r="T3095" s="20"/>
    </row>
    <row r="3096" spans="13:20" x14ac:dyDescent="0.2">
      <c r="M3096" s="20">
        <v>1.4319271568267726E-2</v>
      </c>
      <c r="N3096" s="20">
        <v>2.5146288786086829E-3</v>
      </c>
      <c r="O3096" s="20">
        <v>0.175611508352229</v>
      </c>
      <c r="P3096" s="20">
        <v>0.94</v>
      </c>
      <c r="Q3096" s="20">
        <v>6.0000000000000164E-2</v>
      </c>
      <c r="R3096" s="20"/>
      <c r="S3096" s="20"/>
      <c r="T3096" s="20"/>
    </row>
    <row r="3097" spans="13:20" x14ac:dyDescent="0.2">
      <c r="M3097" s="20">
        <v>9.6232476208579377E-3</v>
      </c>
      <c r="N3097" s="20">
        <v>8.2327160700739529E-4</v>
      </c>
      <c r="O3097" s="20">
        <v>8.5550288160827617E-2</v>
      </c>
      <c r="P3097" s="20"/>
      <c r="Q3097" s="20"/>
      <c r="R3097" s="20">
        <v>0.48</v>
      </c>
      <c r="S3097" s="20">
        <v>0.52000000000000013</v>
      </c>
      <c r="T3097" s="20"/>
    </row>
    <row r="3098" spans="13:20" x14ac:dyDescent="0.2">
      <c r="M3098" s="20">
        <v>1.2461492430334014E-2</v>
      </c>
      <c r="N3098" s="20">
        <v>1.7659610654643017E-3</v>
      </c>
      <c r="O3098" s="20">
        <v>0.14171344847632888</v>
      </c>
      <c r="P3098" s="20">
        <v>0.28000000000000003</v>
      </c>
      <c r="Q3098" s="20">
        <v>0.13</v>
      </c>
      <c r="R3098" s="20">
        <v>7.999999999999996E-2</v>
      </c>
      <c r="S3098" s="20"/>
      <c r="T3098" s="20">
        <v>0.51</v>
      </c>
    </row>
    <row r="3099" spans="13:20" x14ac:dyDescent="0.2">
      <c r="M3099" s="20">
        <v>9.6232476208579342E-3</v>
      </c>
      <c r="N3099" s="20">
        <v>8.2327160700739518E-4</v>
      </c>
      <c r="O3099" s="20">
        <v>8.5550288160827617E-2</v>
      </c>
      <c r="P3099" s="20"/>
      <c r="Q3099" s="20"/>
      <c r="R3099" s="20">
        <v>0.48</v>
      </c>
      <c r="S3099" s="20">
        <v>0.51999999999999991</v>
      </c>
      <c r="T3099" s="20"/>
    </row>
    <row r="3100" spans="13:20" x14ac:dyDescent="0.2">
      <c r="M3100" s="20">
        <v>9.638502077334056E-3</v>
      </c>
      <c r="N3100" s="20">
        <v>8.1704539585372878E-4</v>
      </c>
      <c r="O3100" s="20">
        <v>8.4768918375304023E-2</v>
      </c>
      <c r="P3100" s="20"/>
      <c r="Q3100" s="20"/>
      <c r="R3100" s="20">
        <v>0.47</v>
      </c>
      <c r="S3100" s="20">
        <v>0.53000000000000014</v>
      </c>
      <c r="T3100" s="20"/>
    </row>
    <row r="3101" spans="13:20" x14ac:dyDescent="0.2">
      <c r="M3101" s="20">
        <v>9.9178413612654118E-3</v>
      </c>
      <c r="N3101" s="20">
        <v>9.9760551931005778E-4</v>
      </c>
      <c r="O3101" s="20">
        <v>0.10058696070762457</v>
      </c>
      <c r="P3101" s="20"/>
      <c r="Q3101" s="20"/>
      <c r="R3101" s="20">
        <v>0.76</v>
      </c>
      <c r="S3101" s="20">
        <v>0.24</v>
      </c>
      <c r="T3101" s="20"/>
    </row>
    <row r="3102" spans="13:20" x14ac:dyDescent="0.2">
      <c r="M3102" s="20">
        <v>1.1484025901896058E-2</v>
      </c>
      <c r="N3102" s="20">
        <v>1.1784986636444832E-3</v>
      </c>
      <c r="O3102" s="20">
        <v>0.10262069014054631</v>
      </c>
      <c r="P3102" s="20"/>
      <c r="Q3102" s="20">
        <v>0.24</v>
      </c>
      <c r="R3102" s="20">
        <v>0.76</v>
      </c>
      <c r="S3102" s="20"/>
      <c r="T3102" s="20"/>
    </row>
    <row r="3103" spans="13:20" x14ac:dyDescent="0.2">
      <c r="M3103" s="20">
        <v>1.4273481573858949E-2</v>
      </c>
      <c r="N3103" s="20">
        <v>2.5014746874145286E-3</v>
      </c>
      <c r="O3103" s="20">
        <v>0.17525329573380569</v>
      </c>
      <c r="P3103" s="20">
        <v>0.93</v>
      </c>
      <c r="Q3103" s="20">
        <v>6.999999999999984E-2</v>
      </c>
      <c r="R3103" s="20"/>
      <c r="S3103" s="20"/>
      <c r="T3103" s="20"/>
    </row>
    <row r="3104" spans="13:20" x14ac:dyDescent="0.2">
      <c r="M3104" s="20">
        <v>1.2448201929324788E-2</v>
      </c>
      <c r="N3104" s="20">
        <v>1.9062438990636046E-3</v>
      </c>
      <c r="O3104" s="20">
        <v>0.15313407589998843</v>
      </c>
      <c r="P3104" s="20">
        <v>0.5</v>
      </c>
      <c r="Q3104" s="20">
        <v>0.26</v>
      </c>
      <c r="R3104" s="20"/>
      <c r="S3104" s="20">
        <v>0.09</v>
      </c>
      <c r="T3104" s="20">
        <v>0.15</v>
      </c>
    </row>
    <row r="3105" spans="13:20" x14ac:dyDescent="0.2">
      <c r="M3105" s="20">
        <v>1.0657284975144706E-2</v>
      </c>
      <c r="N3105" s="20">
        <v>1.0287220627385283E-3</v>
      </c>
      <c r="O3105" s="20">
        <v>9.6527592640878984E-2</v>
      </c>
      <c r="P3105" s="20"/>
      <c r="Q3105" s="20"/>
      <c r="R3105" s="20"/>
      <c r="S3105" s="20">
        <v>0.5</v>
      </c>
      <c r="T3105" s="20">
        <v>0.49999999999999989</v>
      </c>
    </row>
    <row r="3106" spans="13:20" x14ac:dyDescent="0.2">
      <c r="M3106" s="20">
        <v>1.1671651481763246E-2</v>
      </c>
      <c r="N3106" s="20">
        <v>5.6475815891997251E-4</v>
      </c>
      <c r="O3106" s="20">
        <v>4.8387167814460307E-2</v>
      </c>
      <c r="P3106" s="20"/>
      <c r="Q3106" s="20"/>
      <c r="R3106" s="20"/>
      <c r="S3106" s="20">
        <v>0.96</v>
      </c>
      <c r="T3106" s="20">
        <v>4.0000000000000036E-2</v>
      </c>
    </row>
    <row r="3107" spans="13:20" x14ac:dyDescent="0.2">
      <c r="M3107" s="20">
        <v>1.3619209747268509E-2</v>
      </c>
      <c r="N3107" s="20">
        <v>2.351534571504426E-3</v>
      </c>
      <c r="O3107" s="20">
        <v>0.17266307040876974</v>
      </c>
      <c r="P3107" s="20">
        <v>0.82</v>
      </c>
      <c r="Q3107" s="20">
        <v>0.14000000000000001</v>
      </c>
      <c r="R3107" s="20">
        <v>4.0000000000000036E-2</v>
      </c>
      <c r="S3107" s="20"/>
      <c r="T3107" s="20"/>
    </row>
    <row r="3108" spans="13:20" x14ac:dyDescent="0.2">
      <c r="M3108" s="20">
        <v>1.2452013241390435E-2</v>
      </c>
      <c r="N3108" s="20">
        <v>1.2405316710035216E-3</v>
      </c>
      <c r="O3108" s="20">
        <v>9.9624988100719333E-2</v>
      </c>
      <c r="P3108" s="20"/>
      <c r="Q3108" s="20"/>
      <c r="R3108" s="20"/>
      <c r="S3108" s="20">
        <v>0.28999999999999998</v>
      </c>
      <c r="T3108" s="20">
        <v>0.71000000000000008</v>
      </c>
    </row>
    <row r="3109" spans="13:20" x14ac:dyDescent="0.2">
      <c r="M3109" s="20">
        <v>1.142506052557132E-2</v>
      </c>
      <c r="N3109" s="20">
        <v>1.2389814475827078E-3</v>
      </c>
      <c r="O3109" s="20">
        <v>0.10844419115414285</v>
      </c>
      <c r="P3109" s="20">
        <v>0.04</v>
      </c>
      <c r="Q3109" s="20">
        <v>0.26</v>
      </c>
      <c r="R3109" s="20">
        <v>0.7</v>
      </c>
      <c r="S3109" s="20"/>
      <c r="T3109" s="20"/>
    </row>
    <row r="3110" spans="13:20" x14ac:dyDescent="0.2">
      <c r="M3110" s="20">
        <v>1.2348515866267099E-2</v>
      </c>
      <c r="N3110" s="20">
        <v>2.0569425117167679E-3</v>
      </c>
      <c r="O3110" s="20">
        <v>0.1665740671991032</v>
      </c>
      <c r="P3110" s="20">
        <v>0.61</v>
      </c>
      <c r="Q3110" s="20">
        <v>0.21</v>
      </c>
      <c r="R3110" s="20">
        <v>0.18000000000000005</v>
      </c>
      <c r="S3110" s="20"/>
      <c r="T3110" s="20"/>
    </row>
    <row r="3111" spans="13:20" x14ac:dyDescent="0.2">
      <c r="M3111" s="20">
        <v>1.8661079521685268E-2</v>
      </c>
      <c r="N3111" s="20">
        <v>1.2742018967773713E-3</v>
      </c>
      <c r="O3111" s="20">
        <v>6.8281253252078691E-2</v>
      </c>
      <c r="P3111" s="20"/>
      <c r="Q3111" s="20">
        <v>0.97</v>
      </c>
      <c r="R3111" s="20">
        <v>3.0000000000000027E-2</v>
      </c>
      <c r="S3111" s="20"/>
      <c r="T3111" s="20"/>
    </row>
    <row r="3112" spans="13:20" x14ac:dyDescent="0.2">
      <c r="M3112" s="20">
        <v>1.2989156683119321E-2</v>
      </c>
      <c r="N3112" s="20">
        <v>2.2223708455988249E-3</v>
      </c>
      <c r="O3112" s="20">
        <v>0.1710943134966578</v>
      </c>
      <c r="P3112" s="20">
        <v>0.65</v>
      </c>
      <c r="Q3112" s="20"/>
      <c r="R3112" s="20"/>
      <c r="S3112" s="20"/>
      <c r="T3112" s="20">
        <v>0.35</v>
      </c>
    </row>
    <row r="3113" spans="13:20" x14ac:dyDescent="0.2">
      <c r="M3113" s="20">
        <v>1.516744641352482E-2</v>
      </c>
      <c r="N3113" s="20">
        <v>1.6602934584770096E-3</v>
      </c>
      <c r="O3113" s="20">
        <v>0.10946427059709438</v>
      </c>
      <c r="P3113" s="20">
        <v>0.12000000000000011</v>
      </c>
      <c r="Q3113" s="20"/>
      <c r="R3113" s="20"/>
      <c r="S3113" s="20"/>
      <c r="T3113" s="20">
        <v>0.88</v>
      </c>
    </row>
    <row r="3114" spans="13:20" x14ac:dyDescent="0.2">
      <c r="M3114" s="20">
        <v>1.0190149252564945E-2</v>
      </c>
      <c r="N3114" s="20">
        <v>8.7742948540639064E-4</v>
      </c>
      <c r="O3114" s="20">
        <v>8.6105655928987931E-2</v>
      </c>
      <c r="P3114" s="20"/>
      <c r="Q3114" s="20"/>
      <c r="R3114" s="20"/>
      <c r="S3114" s="20">
        <v>0.65</v>
      </c>
      <c r="T3114" s="20">
        <v>0.35</v>
      </c>
    </row>
    <row r="3115" spans="13:20" x14ac:dyDescent="0.2">
      <c r="M3115" s="20">
        <v>1.2851780203183156E-2</v>
      </c>
      <c r="N3115" s="20">
        <v>1.3121729975527931E-3</v>
      </c>
      <c r="O3115" s="20">
        <v>0.10210048544308216</v>
      </c>
      <c r="P3115" s="20">
        <v>2.0000000000000018E-2</v>
      </c>
      <c r="Q3115" s="20"/>
      <c r="R3115" s="20"/>
      <c r="S3115" s="20">
        <v>0.24</v>
      </c>
      <c r="T3115" s="20">
        <v>0.74</v>
      </c>
    </row>
    <row r="3116" spans="13:20" x14ac:dyDescent="0.2">
      <c r="M3116" s="20">
        <v>1.499625912981839E-2</v>
      </c>
      <c r="N3116" s="20">
        <v>1.6815039259155686E-3</v>
      </c>
      <c r="O3116" s="20">
        <v>0.11212822553673306</v>
      </c>
      <c r="P3116" s="20">
        <v>0.14000000000000012</v>
      </c>
      <c r="Q3116" s="20"/>
      <c r="R3116" s="20"/>
      <c r="S3116" s="20"/>
      <c r="T3116" s="20">
        <v>0.86</v>
      </c>
    </row>
    <row r="3117" spans="13:20" x14ac:dyDescent="0.2">
      <c r="M3117" s="20">
        <v>1.2737583146090536E-2</v>
      </c>
      <c r="N3117" s="20">
        <v>1.9308390856723353E-3</v>
      </c>
      <c r="O3117" s="20">
        <v>0.15158598483927896</v>
      </c>
      <c r="P3117" s="20">
        <v>0.44</v>
      </c>
      <c r="Q3117" s="20">
        <v>0.27000000000000013</v>
      </c>
      <c r="R3117" s="20"/>
      <c r="S3117" s="20"/>
      <c r="T3117" s="20">
        <v>0.28999999999999998</v>
      </c>
    </row>
    <row r="3118" spans="13:20" x14ac:dyDescent="0.2">
      <c r="M3118" s="20">
        <v>1.0176240361465999E-2</v>
      </c>
      <c r="N3118" s="20">
        <v>1.4898126796454611E-3</v>
      </c>
      <c r="O3118" s="20">
        <v>0.14640108986486608</v>
      </c>
      <c r="P3118" s="20">
        <v>0.22</v>
      </c>
      <c r="Q3118" s="20">
        <v>0.04</v>
      </c>
      <c r="R3118" s="20">
        <v>0.69000000000000006</v>
      </c>
      <c r="S3118" s="20"/>
      <c r="T3118" s="20">
        <v>0.05</v>
      </c>
    </row>
    <row r="3119" spans="13:20" x14ac:dyDescent="0.2">
      <c r="M3119" s="20">
        <v>1.116685011001498E-2</v>
      </c>
      <c r="N3119" s="20">
        <v>1.16407762851487E-3</v>
      </c>
      <c r="O3119" s="20">
        <v>0.10424404528102943</v>
      </c>
      <c r="P3119" s="20"/>
      <c r="Q3119" s="20">
        <v>0.13</v>
      </c>
      <c r="R3119" s="20">
        <v>0.87000000000000011</v>
      </c>
      <c r="S3119" s="20"/>
      <c r="T3119" s="20"/>
    </row>
    <row r="3120" spans="13:20" x14ac:dyDescent="0.2">
      <c r="M3120" s="20">
        <v>1.206492048453863E-2</v>
      </c>
      <c r="N3120" s="20">
        <v>5.2441347163140238E-4</v>
      </c>
      <c r="O3120" s="20">
        <v>4.3465969983262284E-2</v>
      </c>
      <c r="P3120" s="20"/>
      <c r="Q3120" s="20"/>
      <c r="R3120" s="20"/>
      <c r="S3120" s="20">
        <v>1</v>
      </c>
      <c r="T3120" s="20">
        <v>0</v>
      </c>
    </row>
    <row r="3121" spans="13:20" x14ac:dyDescent="0.2">
      <c r="M3121" s="20">
        <v>1.0031491481697635E-2</v>
      </c>
      <c r="N3121" s="20">
        <v>7.2987843970239753E-4</v>
      </c>
      <c r="O3121" s="20">
        <v>7.2758715992936263E-2</v>
      </c>
      <c r="P3121" s="20"/>
      <c r="Q3121" s="20"/>
      <c r="R3121" s="20">
        <v>0.33</v>
      </c>
      <c r="S3121" s="20">
        <v>0.66999999999999993</v>
      </c>
      <c r="T3121" s="20"/>
    </row>
    <row r="3122" spans="13:20" x14ac:dyDescent="0.2">
      <c r="M3122" s="20">
        <v>1.0830604417662265E-2</v>
      </c>
      <c r="N3122" s="20">
        <v>1.7384585939125229E-3</v>
      </c>
      <c r="O3122" s="20">
        <v>0.16051353432108464</v>
      </c>
      <c r="P3122" s="20">
        <v>0.45999999999999996</v>
      </c>
      <c r="Q3122" s="20"/>
      <c r="R3122" s="20"/>
      <c r="S3122" s="20">
        <v>0.28000000000000003</v>
      </c>
      <c r="T3122" s="20">
        <v>0.26</v>
      </c>
    </row>
    <row r="3123" spans="13:20" x14ac:dyDescent="0.2">
      <c r="M3123" s="20">
        <v>1.4687882405459705E-2</v>
      </c>
      <c r="N3123" s="20">
        <v>1.4705448406727888E-3</v>
      </c>
      <c r="O3123" s="20">
        <v>0.10011959519271242</v>
      </c>
      <c r="P3123" s="20"/>
      <c r="Q3123" s="20">
        <v>0.06</v>
      </c>
      <c r="R3123" s="20">
        <v>7.0000000000000007E-2</v>
      </c>
      <c r="S3123" s="20">
        <v>0.02</v>
      </c>
      <c r="T3123" s="20">
        <v>0.85</v>
      </c>
    </row>
    <row r="3124" spans="13:20" x14ac:dyDescent="0.2">
      <c r="M3124" s="20">
        <v>1.4921230354064298E-2</v>
      </c>
      <c r="N3124" s="20">
        <v>1.5925686510824201E-3</v>
      </c>
      <c r="O3124" s="20">
        <v>0.10673172475007268</v>
      </c>
      <c r="P3124" s="20">
        <v>0.25</v>
      </c>
      <c r="Q3124" s="20">
        <v>0.64</v>
      </c>
      <c r="R3124" s="20">
        <v>0.1100000000000001</v>
      </c>
      <c r="S3124" s="20"/>
      <c r="T3124" s="20"/>
    </row>
    <row r="3125" spans="13:20" x14ac:dyDescent="0.2">
      <c r="M3125" s="20">
        <v>1.0502583005742474E-2</v>
      </c>
      <c r="N3125" s="20">
        <v>9.9846354727210068E-4</v>
      </c>
      <c r="O3125" s="20">
        <v>9.5068379533508371E-2</v>
      </c>
      <c r="P3125" s="20"/>
      <c r="Q3125" s="20"/>
      <c r="R3125" s="20"/>
      <c r="S3125" s="20">
        <v>0.53</v>
      </c>
      <c r="T3125" s="20">
        <v>0.46999999999999986</v>
      </c>
    </row>
    <row r="3126" spans="13:20" x14ac:dyDescent="0.2">
      <c r="M3126" s="20">
        <v>1.4013216223519354E-2</v>
      </c>
      <c r="N3126" s="20">
        <v>2.4093953490554481E-3</v>
      </c>
      <c r="O3126" s="20">
        <v>0.17193735618034586</v>
      </c>
      <c r="P3126" s="20">
        <v>0.86</v>
      </c>
      <c r="Q3126" s="20">
        <v>0.1399999999999999</v>
      </c>
      <c r="R3126" s="20"/>
      <c r="S3126" s="20"/>
      <c r="T3126" s="20"/>
    </row>
    <row r="3127" spans="13:20" x14ac:dyDescent="0.2">
      <c r="M3127" s="20">
        <v>1.0220621362782867E-2</v>
      </c>
      <c r="N3127" s="20">
        <v>9.0768800087281834E-4</v>
      </c>
      <c r="O3127" s="20">
        <v>8.8809473382709628E-2</v>
      </c>
      <c r="P3127" s="20"/>
      <c r="Q3127" s="20"/>
      <c r="R3127" s="20"/>
      <c r="S3127" s="20">
        <v>0.62</v>
      </c>
      <c r="T3127" s="20">
        <v>0.38</v>
      </c>
    </row>
    <row r="3128" spans="13:20" x14ac:dyDescent="0.2">
      <c r="M3128" s="20">
        <v>1.2697990747457701E-2</v>
      </c>
      <c r="N3128" s="20">
        <v>1.9809068929740772E-3</v>
      </c>
      <c r="O3128" s="20">
        <v>0.15600160154240778</v>
      </c>
      <c r="P3128" s="20">
        <v>0.48</v>
      </c>
      <c r="Q3128" s="20">
        <v>0.24</v>
      </c>
      <c r="R3128" s="20"/>
      <c r="S3128" s="20"/>
      <c r="T3128" s="20">
        <v>0.28000000000000003</v>
      </c>
    </row>
    <row r="3129" spans="13:20" x14ac:dyDescent="0.2">
      <c r="M3129" s="20">
        <v>9.7666263457272025E-3</v>
      </c>
      <c r="N3129" s="20">
        <v>7.7968812893172961E-4</v>
      </c>
      <c r="O3129" s="20">
        <v>7.9831878617209001E-2</v>
      </c>
      <c r="P3129" s="20"/>
      <c r="Q3129" s="20"/>
      <c r="R3129" s="20">
        <v>0.41</v>
      </c>
      <c r="S3129" s="20">
        <v>0.59</v>
      </c>
      <c r="T3129" s="20"/>
    </row>
    <row r="3130" spans="13:20" x14ac:dyDescent="0.2">
      <c r="M3130" s="20">
        <v>1.3496918443774489E-2</v>
      </c>
      <c r="N3130" s="20">
        <v>1.8881064695020415E-3</v>
      </c>
      <c r="O3130" s="20">
        <v>0.13989167063337621</v>
      </c>
      <c r="P3130" s="20">
        <v>0.46</v>
      </c>
      <c r="Q3130" s="20">
        <v>0.43</v>
      </c>
      <c r="R3130" s="20">
        <v>6.0000000000000053E-2</v>
      </c>
      <c r="S3130" s="20"/>
      <c r="T3130" s="20">
        <v>0.05</v>
      </c>
    </row>
    <row r="3131" spans="13:20" x14ac:dyDescent="0.2">
      <c r="M3131" s="20">
        <v>9.6457435193395089E-3</v>
      </c>
      <c r="N3131" s="20">
        <v>1.3758861401982972E-3</v>
      </c>
      <c r="O3131" s="20">
        <v>0.14264179194062904</v>
      </c>
      <c r="P3131" s="20">
        <v>0.22</v>
      </c>
      <c r="Q3131" s="20">
        <v>8.0000000000000071E-2</v>
      </c>
      <c r="R3131" s="20">
        <v>0.41</v>
      </c>
      <c r="S3131" s="20">
        <v>0.21</v>
      </c>
      <c r="T3131" s="20">
        <v>0.08</v>
      </c>
    </row>
    <row r="3132" spans="13:20" x14ac:dyDescent="0.2">
      <c r="M3132" s="20">
        <v>1.2030262807684834E-2</v>
      </c>
      <c r="N3132" s="20">
        <v>1.6558059191822741E-3</v>
      </c>
      <c r="O3132" s="20">
        <v>0.13763672046503911</v>
      </c>
      <c r="P3132" s="20">
        <v>0.32</v>
      </c>
      <c r="Q3132" s="20">
        <v>0.35</v>
      </c>
      <c r="R3132" s="20">
        <v>0.33000000000000007</v>
      </c>
      <c r="S3132" s="20"/>
      <c r="T3132" s="20"/>
    </row>
    <row r="3133" spans="13:20" x14ac:dyDescent="0.2">
      <c r="M3133" s="20">
        <v>1.2977494831131907E-2</v>
      </c>
      <c r="N3133" s="20">
        <v>1.208651737097311E-3</v>
      </c>
      <c r="O3133" s="20">
        <v>9.31344418028862E-2</v>
      </c>
      <c r="P3133" s="20"/>
      <c r="Q3133" s="20">
        <v>0.47</v>
      </c>
      <c r="R3133" s="20">
        <v>0.53</v>
      </c>
      <c r="S3133" s="20"/>
      <c r="T3133" s="20"/>
    </row>
    <row r="3134" spans="13:20" x14ac:dyDescent="0.2">
      <c r="M3134" s="20">
        <v>1.2947504530533947E-2</v>
      </c>
      <c r="N3134" s="20">
        <v>2.209216654404671E-3</v>
      </c>
      <c r="O3134" s="20">
        <v>0.17062876087007359</v>
      </c>
      <c r="P3134" s="20">
        <v>0.64</v>
      </c>
      <c r="Q3134" s="20">
        <v>1.000000000000012E-2</v>
      </c>
      <c r="R3134" s="20"/>
      <c r="S3134" s="20"/>
      <c r="T3134" s="20">
        <v>0.35</v>
      </c>
    </row>
    <row r="3135" spans="13:20" x14ac:dyDescent="0.2">
      <c r="M3135" s="20">
        <v>1.1369993683639858E-2</v>
      </c>
      <c r="N3135" s="20">
        <v>1.1295837809599538E-3</v>
      </c>
      <c r="O3135" s="20">
        <v>9.9347793181740973E-2</v>
      </c>
      <c r="P3135" s="20"/>
      <c r="Q3135" s="20"/>
      <c r="R3135" s="20"/>
      <c r="S3135" s="20">
        <v>0.4</v>
      </c>
      <c r="T3135" s="20">
        <v>0.6</v>
      </c>
    </row>
    <row r="3136" spans="13:20" x14ac:dyDescent="0.2">
      <c r="M3136" s="20">
        <v>1.1126261192309094E-2</v>
      </c>
      <c r="N3136" s="20">
        <v>1.0993252654935262E-3</v>
      </c>
      <c r="O3136" s="20">
        <v>9.8804553164132336E-2</v>
      </c>
      <c r="P3136" s="20"/>
      <c r="Q3136" s="20"/>
      <c r="R3136" s="20"/>
      <c r="S3136" s="20">
        <v>0.43</v>
      </c>
      <c r="T3136" s="20">
        <v>0.56999999999999995</v>
      </c>
    </row>
    <row r="3137" spans="13:20" x14ac:dyDescent="0.2">
      <c r="M3137" s="20">
        <v>9.2658541858116443E-3</v>
      </c>
      <c r="N3137" s="20">
        <v>1.0996486333980961E-3</v>
      </c>
      <c r="O3137" s="20">
        <v>0.11867752409507318</v>
      </c>
      <c r="P3137" s="20">
        <v>8.9999999999999969E-2</v>
      </c>
      <c r="Q3137" s="20"/>
      <c r="R3137" s="20">
        <v>0.56000000000000005</v>
      </c>
      <c r="S3137" s="20">
        <v>0.31</v>
      </c>
      <c r="T3137" s="20">
        <v>0.04</v>
      </c>
    </row>
    <row r="3138" spans="13:20" x14ac:dyDescent="0.2">
      <c r="M3138" s="20">
        <v>1.0043837765143251E-2</v>
      </c>
      <c r="N3138" s="20">
        <v>1.1709339499306219E-3</v>
      </c>
      <c r="O3138" s="20">
        <v>0.11658232413851832</v>
      </c>
      <c r="P3138" s="20"/>
      <c r="Q3138" s="20">
        <v>0</v>
      </c>
      <c r="R3138" s="20">
        <v>0.52</v>
      </c>
      <c r="S3138" s="20">
        <v>0.16</v>
      </c>
      <c r="T3138" s="20">
        <v>0.31999999999999984</v>
      </c>
    </row>
    <row r="3139" spans="13:20" x14ac:dyDescent="0.2">
      <c r="M3139" s="20">
        <v>1.1719600580907156E-2</v>
      </c>
      <c r="N3139" s="20">
        <v>1.1850536796124893E-3</v>
      </c>
      <c r="O3139" s="20">
        <v>0.10111724127724155</v>
      </c>
      <c r="P3139" s="20"/>
      <c r="Q3139" s="20">
        <v>0.28999999999999998</v>
      </c>
      <c r="R3139" s="20">
        <v>0.71000000000000008</v>
      </c>
      <c r="S3139" s="20"/>
      <c r="T3139" s="20"/>
    </row>
    <row r="3140" spans="13:20" x14ac:dyDescent="0.2">
      <c r="M3140" s="20">
        <v>9.6223646147815031E-3</v>
      </c>
      <c r="N3140" s="20">
        <v>9.2289098546605966E-4</v>
      </c>
      <c r="O3140" s="20">
        <v>9.591103875323434E-2</v>
      </c>
      <c r="P3140" s="20"/>
      <c r="Q3140" s="20"/>
      <c r="R3140" s="20">
        <v>0.64</v>
      </c>
      <c r="S3140" s="20">
        <v>0.3600000000000001</v>
      </c>
      <c r="T3140" s="20"/>
    </row>
    <row r="3141" spans="13:20" x14ac:dyDescent="0.2">
      <c r="M3141" s="20">
        <v>1.0678381654700331E-2</v>
      </c>
      <c r="N3141" s="20">
        <v>6.9587839260782519E-4</v>
      </c>
      <c r="O3141" s="20">
        <v>6.5167027655498588E-2</v>
      </c>
      <c r="P3141" s="20"/>
      <c r="Q3141" s="20"/>
      <c r="R3141" s="20"/>
      <c r="S3141" s="20">
        <v>0.83</v>
      </c>
      <c r="T3141" s="20">
        <v>0.16999999999999993</v>
      </c>
    </row>
    <row r="3142" spans="13:20" x14ac:dyDescent="0.2">
      <c r="M3142" s="20">
        <v>1.2508874672111822E-2</v>
      </c>
      <c r="N3142" s="20">
        <v>2.0671942670312791E-3</v>
      </c>
      <c r="O3142" s="20">
        <v>0.16525821236661917</v>
      </c>
      <c r="P3142" s="20">
        <v>0.63</v>
      </c>
      <c r="Q3142" s="20">
        <v>0.21</v>
      </c>
      <c r="R3142" s="20">
        <v>0.13</v>
      </c>
      <c r="S3142" s="20">
        <v>2.9999999999999916E-2</v>
      </c>
      <c r="T3142" s="20"/>
    </row>
    <row r="3143" spans="13:20" x14ac:dyDescent="0.2">
      <c r="M3143" s="20">
        <v>1.0752730874939696E-2</v>
      </c>
      <c r="N3143" s="20">
        <v>1.2227647186452821E-3</v>
      </c>
      <c r="O3143" s="20">
        <v>0.11371666722311971</v>
      </c>
      <c r="P3143" s="20">
        <v>0.2</v>
      </c>
      <c r="Q3143" s="20">
        <v>0.1499999999999998</v>
      </c>
      <c r="R3143" s="20"/>
      <c r="S3143" s="20">
        <v>0.48</v>
      </c>
      <c r="T3143" s="20">
        <v>0.17</v>
      </c>
    </row>
    <row r="3144" spans="13:20" x14ac:dyDescent="0.2">
      <c r="M3144" s="20">
        <v>1.0591420989987827E-2</v>
      </c>
      <c r="N3144" s="20">
        <v>1.3112291826625944E-3</v>
      </c>
      <c r="O3144" s="20">
        <v>0.12380106351188495</v>
      </c>
      <c r="P3144" s="20">
        <v>4.0000000000000036E-2</v>
      </c>
      <c r="Q3144" s="20"/>
      <c r="R3144" s="20">
        <v>0.57999999999999996</v>
      </c>
      <c r="S3144" s="20">
        <v>0.04</v>
      </c>
      <c r="T3144" s="20">
        <v>0.34</v>
      </c>
    </row>
    <row r="3145" spans="13:20" x14ac:dyDescent="0.2">
      <c r="M3145" s="20">
        <v>1.0091667631066859E-2</v>
      </c>
      <c r="N3145" s="20">
        <v>1.5800895765448431E-3</v>
      </c>
      <c r="O3145" s="20">
        <v>0.15657368378647255</v>
      </c>
      <c r="P3145" s="20">
        <v>0.40999999999999992</v>
      </c>
      <c r="Q3145" s="20"/>
      <c r="R3145" s="20">
        <v>0.09</v>
      </c>
      <c r="S3145" s="20">
        <v>0.35</v>
      </c>
      <c r="T3145" s="20">
        <v>0.15</v>
      </c>
    </row>
    <row r="3146" spans="13:20" x14ac:dyDescent="0.2">
      <c r="M3146" s="20">
        <v>1.5712515718385011E-2</v>
      </c>
      <c r="N3146" s="20">
        <v>1.5966620561613317E-3</v>
      </c>
      <c r="O3146" s="20">
        <v>0.10161721297711086</v>
      </c>
      <c r="P3146" s="20">
        <v>5.9999999999999942E-2</v>
      </c>
      <c r="Q3146" s="20"/>
      <c r="R3146" s="20"/>
      <c r="S3146" s="20"/>
      <c r="T3146" s="20">
        <v>0.94</v>
      </c>
    </row>
    <row r="3147" spans="13:20" x14ac:dyDescent="0.2">
      <c r="M3147" s="20">
        <v>1.3130109418637157E-2</v>
      </c>
      <c r="N3147" s="20">
        <v>1.7800654007719063E-3</v>
      </c>
      <c r="O3147" s="20">
        <v>0.13557125413176249</v>
      </c>
      <c r="P3147" s="20">
        <v>0.29000000000000004</v>
      </c>
      <c r="Q3147" s="20"/>
      <c r="R3147" s="20"/>
      <c r="S3147" s="20">
        <v>0.06</v>
      </c>
      <c r="T3147" s="20">
        <v>0.65</v>
      </c>
    </row>
    <row r="3148" spans="13:20" x14ac:dyDescent="0.2">
      <c r="M3148" s="20">
        <v>1.1413888373979416E-2</v>
      </c>
      <c r="N3148" s="20">
        <v>1.1916579975842197E-3</v>
      </c>
      <c r="O3148" s="20">
        <v>0.10440420990106038</v>
      </c>
      <c r="P3148" s="20">
        <v>2.9999999999999916E-2</v>
      </c>
      <c r="Q3148" s="20"/>
      <c r="R3148" s="20"/>
      <c r="S3148" s="20">
        <v>0.37</v>
      </c>
      <c r="T3148" s="20">
        <v>0.6</v>
      </c>
    </row>
    <row r="3149" spans="13:20" x14ac:dyDescent="0.2">
      <c r="M3149" s="20">
        <v>1.457921900807845E-2</v>
      </c>
      <c r="N3149" s="20">
        <v>2.5803998345794547E-3</v>
      </c>
      <c r="O3149" s="20">
        <v>0.17699163673648338</v>
      </c>
      <c r="P3149" s="20">
        <v>0.99</v>
      </c>
      <c r="Q3149" s="20">
        <v>9.9999999999998979E-3</v>
      </c>
      <c r="R3149" s="20"/>
      <c r="S3149" s="20"/>
      <c r="T3149" s="20"/>
    </row>
    <row r="3150" spans="13:20" x14ac:dyDescent="0.2">
      <c r="M3150" s="20">
        <v>1.0882144660086537E-2</v>
      </c>
      <c r="N3150" s="20">
        <v>1.3077965065991575E-3</v>
      </c>
      <c r="O3150" s="20">
        <v>0.12017819533275324</v>
      </c>
      <c r="P3150" s="20">
        <v>0.12999999999999989</v>
      </c>
      <c r="Q3150" s="20"/>
      <c r="R3150" s="20"/>
      <c r="S3150" s="20">
        <v>0.36</v>
      </c>
      <c r="T3150" s="20">
        <v>0.51</v>
      </c>
    </row>
    <row r="3151" spans="13:20" x14ac:dyDescent="0.2">
      <c r="M3151" s="20">
        <v>1.499625912981839E-2</v>
      </c>
      <c r="N3151" s="20">
        <v>1.6815039259155686E-3</v>
      </c>
      <c r="O3151" s="20">
        <v>0.11212822553673306</v>
      </c>
      <c r="P3151" s="20">
        <v>0.14000000000000012</v>
      </c>
      <c r="Q3151" s="20"/>
      <c r="R3151" s="20"/>
      <c r="S3151" s="20"/>
      <c r="T3151" s="20">
        <v>0.86</v>
      </c>
    </row>
    <row r="3152" spans="13:20" x14ac:dyDescent="0.2">
      <c r="M3152" s="20">
        <v>1.5434244138739563E-2</v>
      </c>
      <c r="N3152" s="20">
        <v>1.6284777573191708E-3</v>
      </c>
      <c r="O3152" s="20">
        <v>0.10551069055799971</v>
      </c>
      <c r="P3152" s="20">
        <v>9.000000000000008E-2</v>
      </c>
      <c r="Q3152" s="20"/>
      <c r="R3152" s="20"/>
      <c r="S3152" s="20"/>
      <c r="T3152" s="20">
        <v>0.91</v>
      </c>
    </row>
    <row r="3153" spans="13:20" x14ac:dyDescent="0.2">
      <c r="M3153" s="20">
        <v>1.366478461231335E-2</v>
      </c>
      <c r="N3153" s="20">
        <v>1.5532372445322675E-3</v>
      </c>
      <c r="O3153" s="20">
        <v>0.11366715894904367</v>
      </c>
      <c r="P3153" s="20">
        <v>0.12</v>
      </c>
      <c r="Q3153" s="20">
        <v>0.42000000000000004</v>
      </c>
      <c r="R3153" s="20"/>
      <c r="S3153" s="20"/>
      <c r="T3153" s="20">
        <v>0.46</v>
      </c>
    </row>
    <row r="3154" spans="13:20" x14ac:dyDescent="0.2">
      <c r="M3154" s="20">
        <v>1.3993973667379787E-2</v>
      </c>
      <c r="N3154" s="20">
        <v>2.0805405692015896E-3</v>
      </c>
      <c r="O3154" s="20">
        <v>0.14867403774321575</v>
      </c>
      <c r="P3154" s="20">
        <v>0.61</v>
      </c>
      <c r="Q3154" s="20">
        <v>0.39</v>
      </c>
      <c r="R3154" s="20"/>
      <c r="S3154" s="20"/>
      <c r="T3154" s="20"/>
    </row>
    <row r="3155" spans="13:20" x14ac:dyDescent="0.2">
      <c r="M3155" s="20">
        <v>1.4244000335516106E-2</v>
      </c>
      <c r="N3155" s="20">
        <v>1.9884612308425096E-3</v>
      </c>
      <c r="O3155" s="20">
        <v>0.13959991463103691</v>
      </c>
      <c r="P3155" s="20">
        <v>0.54</v>
      </c>
      <c r="Q3155" s="20">
        <v>0.45999999999999996</v>
      </c>
      <c r="R3155" s="20"/>
      <c r="S3155" s="20"/>
      <c r="T3155" s="20"/>
    </row>
    <row r="3156" spans="13:20" x14ac:dyDescent="0.2">
      <c r="M3156" s="20">
        <v>1.4753680806282199E-2</v>
      </c>
      <c r="N3156" s="20">
        <v>1.5467502589477562E-3</v>
      </c>
      <c r="O3156" s="20">
        <v>0.10483826234665056</v>
      </c>
      <c r="P3156" s="20">
        <v>6.9999999999999951E-2</v>
      </c>
      <c r="Q3156" s="20"/>
      <c r="R3156" s="20"/>
      <c r="S3156" s="20">
        <v>0.06</v>
      </c>
      <c r="T3156" s="20">
        <v>0.87</v>
      </c>
    </row>
    <row r="3157" spans="13:20" x14ac:dyDescent="0.2">
      <c r="M3157" s="20">
        <v>1.4149364049741842E-2</v>
      </c>
      <c r="N3157" s="20">
        <v>2.510695869027879E-3</v>
      </c>
      <c r="O3157" s="20">
        <v>0.17744231190897145</v>
      </c>
      <c r="P3157" s="20">
        <v>0.94</v>
      </c>
      <c r="Q3157" s="20">
        <v>0.03</v>
      </c>
      <c r="R3157" s="20">
        <v>2.9999999999999916E-2</v>
      </c>
      <c r="S3157" s="20"/>
      <c r="T3157" s="20"/>
    </row>
    <row r="3158" spans="13:20" x14ac:dyDescent="0.2">
      <c r="M3158" s="20">
        <v>1.0750217257443895E-2</v>
      </c>
      <c r="N3158" s="20">
        <v>1.7198434359596492E-3</v>
      </c>
      <c r="O3158" s="20">
        <v>0.1599822026637423</v>
      </c>
      <c r="P3158" s="20">
        <v>0.4900000000000001</v>
      </c>
      <c r="Q3158" s="20"/>
      <c r="R3158" s="20"/>
      <c r="S3158" s="20">
        <v>0.33</v>
      </c>
      <c r="T3158" s="20">
        <v>0.18</v>
      </c>
    </row>
    <row r="3159" spans="13:20" x14ac:dyDescent="0.2">
      <c r="M3159" s="20">
        <v>9.588121303623345E-3</v>
      </c>
      <c r="N3159" s="20">
        <v>8.4195024046839493E-4</v>
      </c>
      <c r="O3159" s="20">
        <v>8.7811805233442605E-2</v>
      </c>
      <c r="P3159" s="20"/>
      <c r="Q3159" s="20"/>
      <c r="R3159" s="20">
        <v>0.51</v>
      </c>
      <c r="S3159" s="20">
        <v>0.4900000000000001</v>
      </c>
      <c r="T3159" s="20"/>
    </row>
    <row r="3160" spans="13:20" x14ac:dyDescent="0.2">
      <c r="M3160" s="20">
        <v>1.8928536094734424E-2</v>
      </c>
      <c r="N3160" s="20">
        <v>1.2768239031645738E-3</v>
      </c>
      <c r="O3160" s="20">
        <v>6.745497363210054E-2</v>
      </c>
      <c r="P3160" s="20"/>
      <c r="Q3160" s="20">
        <v>0.99</v>
      </c>
      <c r="R3160" s="20">
        <v>1.000000000000012E-2</v>
      </c>
      <c r="S3160" s="20"/>
      <c r="T3160" s="20"/>
    </row>
    <row r="3161" spans="13:20" x14ac:dyDescent="0.2">
      <c r="M3161" s="20">
        <v>1.2652110009115989E-2</v>
      </c>
      <c r="N3161" s="20">
        <v>1.0347996445032594E-3</v>
      </c>
      <c r="O3161" s="20">
        <v>8.1788701154011031E-2</v>
      </c>
      <c r="P3161" s="20">
        <v>0.04</v>
      </c>
      <c r="Q3161" s="20">
        <v>0.38</v>
      </c>
      <c r="R3161" s="20"/>
      <c r="S3161" s="20">
        <v>0.44</v>
      </c>
      <c r="T3161" s="20">
        <v>0.14000000000000001</v>
      </c>
    </row>
    <row r="3162" spans="13:20" x14ac:dyDescent="0.2">
      <c r="M3162" s="20">
        <v>1.4741319428931792E-2</v>
      </c>
      <c r="N3162" s="20">
        <v>1.2322497945821327E-3</v>
      </c>
      <c r="O3162" s="20">
        <v>8.3591553695232954E-2</v>
      </c>
      <c r="P3162" s="20"/>
      <c r="Q3162" s="20">
        <v>0.65</v>
      </c>
      <c r="R3162" s="20">
        <v>0.35</v>
      </c>
      <c r="S3162" s="20"/>
      <c r="T3162" s="20"/>
    </row>
    <row r="3163" spans="13:20" x14ac:dyDescent="0.2">
      <c r="M3163" s="20">
        <v>1.4227492800594425E-2</v>
      </c>
      <c r="N3163" s="20">
        <v>1.7875562631083637E-3</v>
      </c>
      <c r="O3163" s="20">
        <v>0.12564098876463176</v>
      </c>
      <c r="P3163" s="20">
        <v>0.24</v>
      </c>
      <c r="Q3163" s="20"/>
      <c r="R3163" s="20"/>
      <c r="S3163" s="20"/>
      <c r="T3163" s="20">
        <v>0.76</v>
      </c>
    </row>
    <row r="3164" spans="13:20" x14ac:dyDescent="0.2">
      <c r="M3164" s="20">
        <v>9.3010526532265759E-3</v>
      </c>
      <c r="N3164" s="20">
        <v>8.9511714952515372E-4</v>
      </c>
      <c r="O3164" s="20">
        <v>9.6238262796483981E-2</v>
      </c>
      <c r="P3164" s="20"/>
      <c r="Q3164" s="20"/>
      <c r="R3164" s="20">
        <v>0.32</v>
      </c>
      <c r="S3164" s="20">
        <v>0.51</v>
      </c>
      <c r="T3164" s="20">
        <v>0.16999999999999993</v>
      </c>
    </row>
    <row r="3165" spans="13:20" x14ac:dyDescent="0.2">
      <c r="M3165" s="20">
        <v>1.1647066851613373E-2</v>
      </c>
      <c r="N3165" s="20">
        <v>1.9912157150041385E-3</v>
      </c>
      <c r="O3165" s="20">
        <v>0.17096284758838759</v>
      </c>
      <c r="P3165" s="20">
        <v>0.56999999999999995</v>
      </c>
      <c r="Q3165" s="20">
        <v>0.15</v>
      </c>
      <c r="R3165" s="20">
        <v>0.28000000000000003</v>
      </c>
      <c r="S3165" s="20"/>
      <c r="T3165" s="20"/>
    </row>
    <row r="3166" spans="13:20" x14ac:dyDescent="0.2">
      <c r="M3166" s="20">
        <v>1.4319271568267726E-2</v>
      </c>
      <c r="N3166" s="20">
        <v>2.5146288786086829E-3</v>
      </c>
      <c r="O3166" s="20">
        <v>0.175611508352229</v>
      </c>
      <c r="P3166" s="20">
        <v>0.94</v>
      </c>
      <c r="Q3166" s="20">
        <v>6.0000000000000164E-2</v>
      </c>
      <c r="R3166" s="20"/>
      <c r="S3166" s="20"/>
      <c r="T3166" s="20"/>
    </row>
    <row r="3167" spans="13:20" x14ac:dyDescent="0.2">
      <c r="M3167" s="20">
        <v>9.6232476208579342E-3</v>
      </c>
      <c r="N3167" s="20">
        <v>8.2327160700739518E-4</v>
      </c>
      <c r="O3167" s="20">
        <v>8.5550288160827617E-2</v>
      </c>
      <c r="P3167" s="20"/>
      <c r="Q3167" s="20"/>
      <c r="R3167" s="20">
        <v>0.48</v>
      </c>
      <c r="S3167" s="20">
        <v>0.51999999999999991</v>
      </c>
      <c r="T3167" s="20"/>
    </row>
    <row r="3168" spans="13:20" x14ac:dyDescent="0.2">
      <c r="M3168" s="20">
        <v>1.1432085697151402E-2</v>
      </c>
      <c r="N3168" s="20">
        <v>1.6298189609090733E-3</v>
      </c>
      <c r="O3168" s="20">
        <v>0.14256532045724471</v>
      </c>
      <c r="P3168" s="20">
        <v>0.21</v>
      </c>
      <c r="Q3168" s="20">
        <v>7.0000000000000007E-2</v>
      </c>
      <c r="R3168" s="20">
        <v>0.28000000000000003</v>
      </c>
      <c r="S3168" s="20"/>
      <c r="T3168" s="20">
        <v>0.44</v>
      </c>
    </row>
    <row r="3169" spans="13:20" x14ac:dyDescent="0.2">
      <c r="M3169" s="20">
        <v>9.7409704201740031E-3</v>
      </c>
      <c r="N3169" s="20">
        <v>7.8591434008539612E-4</v>
      </c>
      <c r="O3169" s="20">
        <v>8.0681318819912543E-2</v>
      </c>
      <c r="P3169" s="20"/>
      <c r="Q3169" s="20"/>
      <c r="R3169" s="20">
        <v>0.42</v>
      </c>
      <c r="S3169" s="20">
        <v>0.57999999999999996</v>
      </c>
      <c r="T3169" s="20"/>
    </row>
    <row r="3170" spans="13:20" x14ac:dyDescent="0.2">
      <c r="M3170" s="20">
        <v>9.638502077334056E-3</v>
      </c>
      <c r="N3170" s="20">
        <v>8.1704539585372878E-4</v>
      </c>
      <c r="O3170" s="20">
        <v>8.4768918375304023E-2</v>
      </c>
      <c r="P3170" s="20"/>
      <c r="Q3170" s="20"/>
      <c r="R3170" s="20">
        <v>0.47</v>
      </c>
      <c r="S3170" s="20">
        <v>0.53000000000000014</v>
      </c>
      <c r="T3170" s="20"/>
    </row>
    <row r="3171" spans="13:20" x14ac:dyDescent="0.2">
      <c r="M3171" s="20">
        <v>9.9178413612654118E-3</v>
      </c>
      <c r="N3171" s="20">
        <v>9.9760551931005778E-4</v>
      </c>
      <c r="O3171" s="20">
        <v>0.10058696070762457</v>
      </c>
      <c r="P3171" s="20"/>
      <c r="Q3171" s="20"/>
      <c r="R3171" s="20">
        <v>0.76</v>
      </c>
      <c r="S3171" s="20">
        <v>0.24</v>
      </c>
      <c r="T3171" s="20"/>
    </row>
    <row r="3172" spans="13:20" x14ac:dyDescent="0.2">
      <c r="M3172" s="20">
        <v>1.5446095628772302E-2</v>
      </c>
      <c r="N3172" s="20">
        <v>1.4847131151419831E-3</v>
      </c>
      <c r="O3172" s="20">
        <v>9.6122227313957934E-2</v>
      </c>
      <c r="P3172" s="20">
        <v>0.17</v>
      </c>
      <c r="Q3172" s="20">
        <v>0.7</v>
      </c>
      <c r="R3172" s="20">
        <v>0.13</v>
      </c>
      <c r="S3172" s="20"/>
      <c r="T3172" s="20"/>
    </row>
    <row r="3173" spans="13:20" x14ac:dyDescent="0.2">
      <c r="M3173" s="20">
        <v>1.1691398477242319E-2</v>
      </c>
      <c r="N3173" s="20">
        <v>2.0155986719693512E-3</v>
      </c>
      <c r="O3173" s="20">
        <v>0.1724001346710386</v>
      </c>
      <c r="P3173" s="20">
        <v>0.63</v>
      </c>
      <c r="Q3173" s="20">
        <v>0.09</v>
      </c>
      <c r="R3173" s="20">
        <v>0.15999999999999992</v>
      </c>
      <c r="S3173" s="20">
        <v>0.1</v>
      </c>
      <c r="T3173" s="20">
        <v>0.02</v>
      </c>
    </row>
    <row r="3174" spans="13:20" x14ac:dyDescent="0.2">
      <c r="M3174" s="20">
        <v>1.1170957929046488E-2</v>
      </c>
      <c r="N3174" s="20">
        <v>1.1470345869980542E-3</v>
      </c>
      <c r="O3174" s="20">
        <v>0.10268005611368021</v>
      </c>
      <c r="P3174" s="20"/>
      <c r="Q3174" s="20"/>
      <c r="R3174" s="20">
        <v>1</v>
      </c>
      <c r="S3174" s="20">
        <v>0</v>
      </c>
      <c r="T3174" s="20"/>
    </row>
    <row r="3175" spans="13:20" x14ac:dyDescent="0.2">
      <c r="M3175" s="20">
        <v>1.334525241386334E-2</v>
      </c>
      <c r="N3175" s="20">
        <v>1.9572400026168363E-3</v>
      </c>
      <c r="O3175" s="20">
        <v>0.14666189457635229</v>
      </c>
      <c r="P3175" s="20">
        <v>0.4</v>
      </c>
      <c r="Q3175" s="20"/>
      <c r="R3175" s="20"/>
      <c r="S3175" s="20"/>
      <c r="T3175" s="20">
        <v>0.6</v>
      </c>
    </row>
    <row r="3176" spans="13:20" x14ac:dyDescent="0.2">
      <c r="M3176" s="20">
        <v>1.5419015476876895E-2</v>
      </c>
      <c r="N3176" s="20">
        <v>1.4725136229127994E-3</v>
      </c>
      <c r="O3176" s="20">
        <v>9.5499847258150319E-2</v>
      </c>
      <c r="P3176" s="20"/>
      <c r="Q3176" s="20"/>
      <c r="R3176" s="20"/>
      <c r="S3176" s="20">
        <v>0.06</v>
      </c>
      <c r="T3176" s="20">
        <v>0.94</v>
      </c>
    </row>
    <row r="3177" spans="13:20" x14ac:dyDescent="0.2">
      <c r="M3177" s="20">
        <v>1.3819153349778549E-2</v>
      </c>
      <c r="N3177" s="20">
        <v>1.5643937638560746E-3</v>
      </c>
      <c r="O3177" s="20">
        <v>0.11320474737196139</v>
      </c>
      <c r="P3177" s="20">
        <v>0.22</v>
      </c>
      <c r="Q3177" s="20">
        <v>0.55000000000000004</v>
      </c>
      <c r="R3177" s="20">
        <v>0.15999999999999981</v>
      </c>
      <c r="S3177" s="20"/>
      <c r="T3177" s="20">
        <v>7.0000000000000007E-2</v>
      </c>
    </row>
    <row r="3178" spans="13:20" x14ac:dyDescent="0.2">
      <c r="M3178" s="20">
        <v>1.4579219008078452E-2</v>
      </c>
      <c r="N3178" s="20">
        <v>2.5803998345794547E-3</v>
      </c>
      <c r="O3178" s="20">
        <v>0.17699163673648338</v>
      </c>
      <c r="P3178" s="20">
        <v>0.99</v>
      </c>
      <c r="Q3178" s="20">
        <v>1.0000000000000009E-2</v>
      </c>
      <c r="R3178" s="20"/>
      <c r="S3178" s="20"/>
      <c r="T3178" s="20"/>
    </row>
    <row r="3179" spans="13:20" x14ac:dyDescent="0.2">
      <c r="M3179" s="20">
        <v>1.0181207525561852E-2</v>
      </c>
      <c r="N3179" s="20">
        <v>9.4417525910488978E-4</v>
      </c>
      <c r="O3179" s="20">
        <v>9.2737060582878672E-2</v>
      </c>
      <c r="P3179" s="20">
        <v>0.11999999999999988</v>
      </c>
      <c r="Q3179" s="20"/>
      <c r="R3179" s="20"/>
      <c r="S3179" s="20">
        <v>0.71</v>
      </c>
      <c r="T3179" s="20">
        <v>0.17</v>
      </c>
    </row>
    <row r="3180" spans="13:20" x14ac:dyDescent="0.2">
      <c r="M3180" s="20">
        <v>1.4830630810695749E-2</v>
      </c>
      <c r="N3180" s="20">
        <v>1.7027143933541276E-3</v>
      </c>
      <c r="O3180" s="20">
        <v>0.11481065202743378</v>
      </c>
      <c r="P3180" s="20">
        <v>0.16000000000000014</v>
      </c>
      <c r="Q3180" s="20"/>
      <c r="R3180" s="20"/>
      <c r="S3180" s="20"/>
      <c r="T3180" s="20">
        <v>0.84</v>
      </c>
    </row>
    <row r="3181" spans="13:20" x14ac:dyDescent="0.2">
      <c r="M3181" s="20">
        <v>1.3151710262340825E-2</v>
      </c>
      <c r="N3181" s="20">
        <v>1.2112737434845132E-3</v>
      </c>
      <c r="O3181" s="20">
        <v>9.2100093396440361E-2</v>
      </c>
      <c r="P3181" s="20"/>
      <c r="Q3181" s="20">
        <v>0.49</v>
      </c>
      <c r="R3181" s="20">
        <v>0.5099999999999999</v>
      </c>
      <c r="S3181" s="20"/>
      <c r="T3181" s="20"/>
    </row>
    <row r="3182" spans="13:20" x14ac:dyDescent="0.2">
      <c r="M3182" s="20">
        <v>1.4516805794357721E-2</v>
      </c>
      <c r="N3182" s="20">
        <v>1.7451353282312454E-3</v>
      </c>
      <c r="O3182" s="20">
        <v>0.12021482914027347</v>
      </c>
      <c r="P3182" s="20">
        <v>0.19999999999999996</v>
      </c>
      <c r="Q3182" s="20"/>
      <c r="R3182" s="20"/>
      <c r="S3182" s="20"/>
      <c r="T3182" s="20">
        <v>0.8</v>
      </c>
    </row>
    <row r="3183" spans="13:20" x14ac:dyDescent="0.2">
      <c r="M3183" s="20">
        <v>1.0444953040813672E-2</v>
      </c>
      <c r="N3183" s="20">
        <v>1.0723200531540559E-3</v>
      </c>
      <c r="O3183" s="20">
        <v>0.1026639419980122</v>
      </c>
      <c r="P3183" s="20"/>
      <c r="Q3183" s="20"/>
      <c r="R3183" s="20">
        <v>0.88</v>
      </c>
      <c r="S3183" s="20">
        <v>0.11999999999999988</v>
      </c>
      <c r="T3183" s="20"/>
    </row>
    <row r="3184" spans="13:20" x14ac:dyDescent="0.2">
      <c r="M3184" s="20">
        <v>1.8001796391182507E-2</v>
      </c>
      <c r="N3184" s="20">
        <v>1.2676468808093654E-3</v>
      </c>
      <c r="O3184" s="20">
        <v>7.0417799049781155E-2</v>
      </c>
      <c r="P3184" s="20"/>
      <c r="Q3184" s="20">
        <v>0.92</v>
      </c>
      <c r="R3184" s="20">
        <v>8.0000000000000071E-2</v>
      </c>
      <c r="S3184" s="20"/>
      <c r="T3184" s="20"/>
    </row>
    <row r="3185" spans="13:20" x14ac:dyDescent="0.2">
      <c r="M3185" s="20">
        <v>1.3823512354188865E-2</v>
      </c>
      <c r="N3185" s="20">
        <v>2.2515450547255958E-3</v>
      </c>
      <c r="O3185" s="20">
        <v>0.16287792834672168</v>
      </c>
      <c r="P3185" s="20">
        <v>0.74</v>
      </c>
      <c r="Q3185" s="20">
        <v>0.2599999999999999</v>
      </c>
      <c r="R3185" s="20"/>
      <c r="S3185" s="20"/>
      <c r="T3185" s="20"/>
    </row>
    <row r="3186" spans="13:20" x14ac:dyDescent="0.2">
      <c r="M3186" s="20">
        <v>1.1234592652910182E-2</v>
      </c>
      <c r="N3186" s="20">
        <v>6.1518901803068484E-4</v>
      </c>
      <c r="O3186" s="20">
        <v>5.4758462281347398E-2</v>
      </c>
      <c r="P3186" s="20"/>
      <c r="Q3186" s="20"/>
      <c r="R3186" s="20"/>
      <c r="S3186" s="20">
        <v>0.91</v>
      </c>
      <c r="T3186" s="20">
        <v>8.9999999999999858E-2</v>
      </c>
    </row>
    <row r="3187" spans="13:20" x14ac:dyDescent="0.2">
      <c r="M3187" s="20">
        <v>1.6360203031018032E-2</v>
      </c>
      <c r="N3187" s="20">
        <v>1.2506038392925494E-3</v>
      </c>
      <c r="O3187" s="20">
        <v>7.6441828803803624E-2</v>
      </c>
      <c r="P3187" s="20"/>
      <c r="Q3187" s="20">
        <v>0.79</v>
      </c>
      <c r="R3187" s="20">
        <v>0.20999999999999996</v>
      </c>
      <c r="S3187" s="20"/>
      <c r="T3187" s="20"/>
    </row>
    <row r="3188" spans="13:20" x14ac:dyDescent="0.2">
      <c r="M3188" s="20">
        <v>1.1963198236748265E-2</v>
      </c>
      <c r="N3188" s="20">
        <v>5.3449964345354513E-4</v>
      </c>
      <c r="O3188" s="20">
        <v>4.4678658070856171E-2</v>
      </c>
      <c r="P3188" s="20"/>
      <c r="Q3188" s="20"/>
      <c r="R3188" s="20"/>
      <c r="S3188" s="20">
        <v>0.99</v>
      </c>
      <c r="T3188" s="20">
        <v>1.000000000000012E-2</v>
      </c>
    </row>
    <row r="3189" spans="13:20" x14ac:dyDescent="0.2">
      <c r="M3189" s="20">
        <v>1.1629748067229211E-2</v>
      </c>
      <c r="N3189" s="20">
        <v>1.3754599070453888E-3</v>
      </c>
      <c r="O3189" s="20">
        <v>0.11827082573879799</v>
      </c>
      <c r="P3189" s="20">
        <v>0.12</v>
      </c>
      <c r="Q3189" s="20">
        <v>0.33</v>
      </c>
      <c r="R3189" s="20">
        <v>0.52</v>
      </c>
      <c r="S3189" s="20"/>
      <c r="T3189" s="20">
        <v>0.03</v>
      </c>
    </row>
    <row r="3190" spans="13:20" x14ac:dyDescent="0.2">
      <c r="M3190" s="20">
        <v>1.1963198236748265E-2</v>
      </c>
      <c r="N3190" s="20">
        <v>5.3449964345354492E-4</v>
      </c>
      <c r="O3190" s="20">
        <v>4.467865807085615E-2</v>
      </c>
      <c r="P3190" s="20"/>
      <c r="Q3190" s="20"/>
      <c r="R3190" s="20"/>
      <c r="S3190" s="20">
        <v>0.99</v>
      </c>
      <c r="T3190" s="20">
        <v>1.0000000000000009E-2</v>
      </c>
    </row>
    <row r="3191" spans="13:20" x14ac:dyDescent="0.2">
      <c r="M3191" s="20">
        <v>9.9320708038882766E-3</v>
      </c>
      <c r="N3191" s="20">
        <v>7.429520318911108E-4</v>
      </c>
      <c r="O3191" s="20">
        <v>7.4803336238828941E-2</v>
      </c>
      <c r="P3191" s="20"/>
      <c r="Q3191" s="20"/>
      <c r="R3191" s="20">
        <v>0.27</v>
      </c>
      <c r="S3191" s="20">
        <v>0.68</v>
      </c>
      <c r="T3191" s="20">
        <v>4.9999999999999822E-2</v>
      </c>
    </row>
    <row r="3192" spans="13:20" x14ac:dyDescent="0.2">
      <c r="M3192" s="20">
        <v>1.4054415181796755E-2</v>
      </c>
      <c r="N3192" s="20">
        <v>2.054232186813281E-3</v>
      </c>
      <c r="O3192" s="20">
        <v>0.14616276524077057</v>
      </c>
      <c r="P3192" s="20">
        <v>0.59</v>
      </c>
      <c r="Q3192" s="20">
        <v>0.41000000000000003</v>
      </c>
      <c r="R3192" s="20"/>
      <c r="S3192" s="20"/>
      <c r="T3192" s="20"/>
    </row>
    <row r="3193" spans="13:20" x14ac:dyDescent="0.2">
      <c r="M3193" s="20">
        <v>1.537946398945194E-2</v>
      </c>
      <c r="N3193" s="20">
        <v>1.6077863517777486E-3</v>
      </c>
      <c r="O3193" s="20">
        <v>0.10454111748500823</v>
      </c>
      <c r="P3193" s="20">
        <v>8.0000000000000071E-2</v>
      </c>
      <c r="Q3193" s="20">
        <v>0</v>
      </c>
      <c r="R3193" s="20">
        <v>0</v>
      </c>
      <c r="S3193" s="20">
        <v>0.01</v>
      </c>
      <c r="T3193" s="20">
        <v>0.91</v>
      </c>
    </row>
    <row r="3194" spans="13:20" x14ac:dyDescent="0.2">
      <c r="M3194" s="20">
        <v>1.1364854104034918E-2</v>
      </c>
      <c r="N3194" s="20">
        <v>1.8610498414696444E-3</v>
      </c>
      <c r="O3194" s="20">
        <v>0.16375483789175146</v>
      </c>
      <c r="P3194" s="20">
        <v>0.49</v>
      </c>
      <c r="Q3194" s="20"/>
      <c r="R3194" s="20"/>
      <c r="S3194" s="20">
        <v>0.19</v>
      </c>
      <c r="T3194" s="20">
        <v>0.32</v>
      </c>
    </row>
    <row r="3195" spans="13:20" x14ac:dyDescent="0.2">
      <c r="M3195" s="20">
        <v>9.6223646147814996E-3</v>
      </c>
      <c r="N3195" s="20">
        <v>9.2289098546605955E-4</v>
      </c>
      <c r="O3195" s="20">
        <v>9.5911038753234382E-2</v>
      </c>
      <c r="P3195" s="20"/>
      <c r="Q3195" s="20"/>
      <c r="R3195" s="20">
        <v>0.64</v>
      </c>
      <c r="S3195" s="20">
        <v>0.35999999999999988</v>
      </c>
      <c r="T3195" s="20"/>
    </row>
    <row r="3196" spans="13:20" x14ac:dyDescent="0.2">
      <c r="M3196" s="20">
        <v>1.3649794052686806E-2</v>
      </c>
      <c r="N3196" s="20">
        <v>1.3782569009114316E-3</v>
      </c>
      <c r="O3196" s="20">
        <v>0.10097272497969577</v>
      </c>
      <c r="P3196" s="20">
        <v>0.11</v>
      </c>
      <c r="Q3196" s="20">
        <v>0.55000000000000004</v>
      </c>
      <c r="R3196" s="20">
        <v>0.33999999999999997</v>
      </c>
      <c r="S3196" s="20"/>
      <c r="T3196" s="20"/>
    </row>
    <row r="3197" spans="13:20" x14ac:dyDescent="0.2">
      <c r="M3197" s="20">
        <v>1.5998727079513646E-2</v>
      </c>
      <c r="N3197" s="20">
        <v>1.246670829711746E-3</v>
      </c>
      <c r="O3197" s="20">
        <v>7.7923126228467698E-2</v>
      </c>
      <c r="P3197" s="20"/>
      <c r="Q3197" s="20">
        <v>0.76</v>
      </c>
      <c r="R3197" s="20">
        <v>0.2400000000000001</v>
      </c>
      <c r="S3197" s="20"/>
      <c r="T3197" s="20"/>
    </row>
    <row r="3198" spans="13:20" x14ac:dyDescent="0.2">
      <c r="M3198" s="20">
        <v>1.0195347849601398E-2</v>
      </c>
      <c r="N3198" s="20">
        <v>1.1761572110141677E-3</v>
      </c>
      <c r="O3198" s="20">
        <v>0.11536214637935586</v>
      </c>
      <c r="P3198" s="20">
        <v>0.11999999999999988</v>
      </c>
      <c r="Q3198" s="20"/>
      <c r="R3198" s="20"/>
      <c r="S3198" s="20">
        <v>0.48</v>
      </c>
      <c r="T3198" s="20">
        <v>0.4</v>
      </c>
    </row>
    <row r="3199" spans="13:20" x14ac:dyDescent="0.2">
      <c r="M3199" s="20">
        <v>1.4148879873072288E-2</v>
      </c>
      <c r="N3199" s="20">
        <v>2.4620121138320657E-3</v>
      </c>
      <c r="O3199" s="20">
        <v>0.17400756356110503</v>
      </c>
      <c r="P3199" s="20">
        <v>0.9</v>
      </c>
      <c r="Q3199" s="20">
        <v>9.9999999999999978E-2</v>
      </c>
      <c r="R3199" s="20"/>
      <c r="S3199" s="20"/>
      <c r="T3199" s="20"/>
    </row>
    <row r="3200" spans="13:20" x14ac:dyDescent="0.2">
      <c r="M3200" s="20">
        <v>1.2857125702901429E-2</v>
      </c>
      <c r="N3200" s="20">
        <v>1.1077213554450455E-3</v>
      </c>
      <c r="O3200" s="20">
        <v>8.6156220374750597E-2</v>
      </c>
      <c r="P3200" s="20"/>
      <c r="Q3200" s="20">
        <v>0.46</v>
      </c>
      <c r="R3200" s="20">
        <v>0.38</v>
      </c>
      <c r="S3200" s="20">
        <v>0.15999999999999992</v>
      </c>
      <c r="T3200" s="20"/>
    </row>
    <row r="3201" spans="13:20" x14ac:dyDescent="0.2">
      <c r="M3201" s="20">
        <v>1.0222067384148796E-2</v>
      </c>
      <c r="N3201" s="20">
        <v>1.535765697106239E-3</v>
      </c>
      <c r="O3201" s="20">
        <v>0.15024022434911039</v>
      </c>
      <c r="P3201" s="20">
        <v>0.44</v>
      </c>
      <c r="Q3201" s="20">
        <v>0.01</v>
      </c>
      <c r="R3201" s="20">
        <v>0.15</v>
      </c>
      <c r="S3201" s="20">
        <v>0.40000000000000013</v>
      </c>
      <c r="T3201" s="20"/>
    </row>
    <row r="3202" spans="13:20" x14ac:dyDescent="0.2">
      <c r="M3202" s="20">
        <v>1.2030262807684834E-2</v>
      </c>
      <c r="N3202" s="20">
        <v>1.6558059191822741E-3</v>
      </c>
      <c r="O3202" s="20">
        <v>0.13763672046503911</v>
      </c>
      <c r="P3202" s="20">
        <v>0.32</v>
      </c>
      <c r="Q3202" s="20">
        <v>0.35</v>
      </c>
      <c r="R3202" s="20">
        <v>0.33000000000000007</v>
      </c>
      <c r="S3202" s="20"/>
      <c r="T3202" s="20"/>
    </row>
    <row r="3203" spans="13:20" x14ac:dyDescent="0.2">
      <c r="M3203" s="20">
        <v>1.2977494831131907E-2</v>
      </c>
      <c r="N3203" s="20">
        <v>1.208651737097311E-3</v>
      </c>
      <c r="O3203" s="20">
        <v>9.31344418028862E-2</v>
      </c>
      <c r="P3203" s="20"/>
      <c r="Q3203" s="20">
        <v>0.47</v>
      </c>
      <c r="R3203" s="20">
        <v>0.53</v>
      </c>
      <c r="S3203" s="20"/>
      <c r="T3203" s="20"/>
    </row>
    <row r="3204" spans="13:20" x14ac:dyDescent="0.2">
      <c r="M3204" s="20">
        <v>1.2947504530533947E-2</v>
      </c>
      <c r="N3204" s="20">
        <v>2.2092166544046706E-3</v>
      </c>
      <c r="O3204" s="20">
        <v>0.17062876087007356</v>
      </c>
      <c r="P3204" s="20">
        <v>0.64</v>
      </c>
      <c r="Q3204" s="20">
        <v>1.0000000000000009E-2</v>
      </c>
      <c r="R3204" s="20"/>
      <c r="S3204" s="20"/>
      <c r="T3204" s="20">
        <v>0.35</v>
      </c>
    </row>
    <row r="3205" spans="13:20" x14ac:dyDescent="0.2">
      <c r="M3205" s="20">
        <v>1.1129253837044741E-2</v>
      </c>
      <c r="N3205" s="20">
        <v>1.3380550220655856E-3</v>
      </c>
      <c r="O3205" s="20">
        <v>0.12022863721660718</v>
      </c>
      <c r="P3205" s="20">
        <v>0.13</v>
      </c>
      <c r="Q3205" s="20"/>
      <c r="R3205" s="20"/>
      <c r="S3205" s="20">
        <v>0.33</v>
      </c>
      <c r="T3205" s="20">
        <v>0.54</v>
      </c>
    </row>
    <row r="3206" spans="13:20" x14ac:dyDescent="0.2">
      <c r="M3206" s="20">
        <v>1.3474696834592237E-2</v>
      </c>
      <c r="N3206" s="20">
        <v>1.9254243014589982E-3</v>
      </c>
      <c r="O3206" s="20">
        <v>0.14289184573830629</v>
      </c>
      <c r="P3206" s="20">
        <v>0.37000000000000011</v>
      </c>
      <c r="Q3206" s="20"/>
      <c r="R3206" s="20"/>
      <c r="S3206" s="20"/>
      <c r="T3206" s="20">
        <v>0.63</v>
      </c>
    </row>
    <row r="3207" spans="13:20" x14ac:dyDescent="0.2">
      <c r="M3207" s="20">
        <v>1.4667995151507443E-2</v>
      </c>
      <c r="N3207" s="20">
        <v>9.714023196930612E-4</v>
      </c>
      <c r="O3207" s="20">
        <v>6.6225977692202148E-2</v>
      </c>
      <c r="P3207" s="20"/>
      <c r="Q3207" s="20">
        <v>0.56000000000000005</v>
      </c>
      <c r="R3207" s="20">
        <v>0.04</v>
      </c>
      <c r="S3207" s="20">
        <v>0.4</v>
      </c>
      <c r="T3207" s="20"/>
    </row>
    <row r="3208" spans="13:20" x14ac:dyDescent="0.2">
      <c r="M3208" s="20">
        <v>1.906302168500059E-2</v>
      </c>
      <c r="N3208" s="20">
        <v>1.2781349063581749E-3</v>
      </c>
      <c r="O3208" s="20">
        <v>6.7047865101252727E-2</v>
      </c>
      <c r="P3208" s="20"/>
      <c r="Q3208" s="20">
        <v>1</v>
      </c>
      <c r="R3208" s="20">
        <v>0</v>
      </c>
      <c r="S3208" s="20"/>
      <c r="T3208" s="20"/>
    </row>
    <row r="3209" spans="13:20" x14ac:dyDescent="0.2">
      <c r="M3209" s="20">
        <v>1.0153471483995237E-2</v>
      </c>
      <c r="N3209" s="20">
        <v>1.5887429820798486E-3</v>
      </c>
      <c r="O3209" s="20">
        <v>0.15647288561199585</v>
      </c>
      <c r="P3209" s="20">
        <v>0.32000000000000006</v>
      </c>
      <c r="Q3209" s="20"/>
      <c r="R3209" s="20">
        <v>0.16</v>
      </c>
      <c r="S3209" s="20">
        <v>0.22</v>
      </c>
      <c r="T3209" s="20">
        <v>0.3</v>
      </c>
    </row>
    <row r="3210" spans="13:20" x14ac:dyDescent="0.2">
      <c r="M3210" s="20">
        <v>9.4667650248786064E-3</v>
      </c>
      <c r="N3210" s="20">
        <v>9.0956602285682158E-4</v>
      </c>
      <c r="O3210" s="20">
        <v>9.6079919641660794E-2</v>
      </c>
      <c r="P3210" s="20"/>
      <c r="Q3210" s="20"/>
      <c r="R3210" s="20">
        <v>0.56999999999999995</v>
      </c>
      <c r="S3210" s="20">
        <v>0.4</v>
      </c>
      <c r="T3210" s="20">
        <v>3.0000000000000027E-2</v>
      </c>
    </row>
    <row r="3211" spans="13:20" x14ac:dyDescent="0.2">
      <c r="M3211" s="20">
        <v>1.6118413230157853E-2</v>
      </c>
      <c r="N3211" s="20">
        <v>1.2479818329053469E-3</v>
      </c>
      <c r="O3211" s="20">
        <v>7.7425849249872156E-2</v>
      </c>
      <c r="P3211" s="20"/>
      <c r="Q3211" s="20">
        <v>0.77</v>
      </c>
      <c r="R3211" s="20">
        <v>0.22999999999999987</v>
      </c>
      <c r="S3211" s="20"/>
      <c r="T3211" s="20"/>
    </row>
    <row r="3212" spans="13:20" x14ac:dyDescent="0.2">
      <c r="M3212" s="20">
        <v>1.052984090491826E-2</v>
      </c>
      <c r="N3212" s="20">
        <v>1.0968083622844625E-3</v>
      </c>
      <c r="O3212" s="20">
        <v>0.1041619120543566</v>
      </c>
      <c r="P3212" s="20">
        <v>0</v>
      </c>
      <c r="Q3212" s="20">
        <v>0.09</v>
      </c>
      <c r="R3212" s="20">
        <v>0.13</v>
      </c>
      <c r="S3212" s="20">
        <v>0.36</v>
      </c>
      <c r="T3212" s="20">
        <v>0.42</v>
      </c>
    </row>
    <row r="3213" spans="13:20" x14ac:dyDescent="0.2">
      <c r="M3213" s="20">
        <v>1.1513035913477059E-2</v>
      </c>
      <c r="N3213" s="20">
        <v>1.3107465605366048E-3</v>
      </c>
      <c r="O3213" s="20">
        <v>0.11384890748080238</v>
      </c>
      <c r="P3213" s="20">
        <v>0.11</v>
      </c>
      <c r="Q3213" s="20">
        <v>0.32</v>
      </c>
      <c r="R3213" s="20">
        <v>0.51</v>
      </c>
      <c r="S3213" s="20">
        <v>6.0000000000000053E-2</v>
      </c>
      <c r="T3213" s="20"/>
    </row>
    <row r="3214" spans="13:20" x14ac:dyDescent="0.2">
      <c r="M3214" s="20">
        <v>1.8794551774568874E-2</v>
      </c>
      <c r="N3214" s="20">
        <v>1.2755128999709724E-3</v>
      </c>
      <c r="O3214" s="20">
        <v>6.7866098392241725E-2</v>
      </c>
      <c r="P3214" s="20"/>
      <c r="Q3214" s="20">
        <v>0.98</v>
      </c>
      <c r="R3214" s="20">
        <v>1.9999999999999907E-2</v>
      </c>
      <c r="S3214" s="20"/>
      <c r="T3214" s="20"/>
    </row>
    <row r="3215" spans="13:20" x14ac:dyDescent="0.2">
      <c r="M3215" s="20">
        <v>1.0993097010197302E-2</v>
      </c>
      <c r="N3215" s="20">
        <v>1.2516277099892496E-3</v>
      </c>
      <c r="O3215" s="20">
        <v>0.1138557868477125</v>
      </c>
      <c r="P3215" s="20"/>
      <c r="Q3215" s="20">
        <v>0.02</v>
      </c>
      <c r="R3215" s="20">
        <v>0.35</v>
      </c>
      <c r="S3215" s="20">
        <v>0.14000000000000001</v>
      </c>
      <c r="T3215" s="20">
        <v>0.49</v>
      </c>
    </row>
    <row r="3216" spans="13:20" x14ac:dyDescent="0.2">
      <c r="M3216" s="20">
        <v>1.561852098904238E-2</v>
      </c>
      <c r="N3216" s="20">
        <v>1.6072672898806114E-3</v>
      </c>
      <c r="O3216" s="20">
        <v>0.1029077779521016</v>
      </c>
      <c r="P3216" s="20">
        <v>6.9999999999999951E-2</v>
      </c>
      <c r="Q3216" s="20"/>
      <c r="R3216" s="20"/>
      <c r="S3216" s="20"/>
      <c r="T3216" s="20">
        <v>0.93</v>
      </c>
    </row>
    <row r="3217" spans="13:20" x14ac:dyDescent="0.2">
      <c r="M3217" s="20">
        <v>1.3268784103789989E-2</v>
      </c>
      <c r="N3217" s="20">
        <v>1.9784504700553957E-3</v>
      </c>
      <c r="O3217" s="20">
        <v>0.14910563429020501</v>
      </c>
      <c r="P3217" s="20">
        <v>0.42000000000000015</v>
      </c>
      <c r="Q3217" s="20"/>
      <c r="R3217" s="20"/>
      <c r="S3217" s="20">
        <v>0</v>
      </c>
      <c r="T3217" s="20">
        <v>0.57999999999999996</v>
      </c>
    </row>
    <row r="3218" spans="13:20" x14ac:dyDescent="0.2">
      <c r="M3218" s="20">
        <v>9.3566196890169338E-3</v>
      </c>
      <c r="N3218" s="20">
        <v>8.7257855539567828E-4</v>
      </c>
      <c r="O3218" s="20">
        <v>9.3257884192935181E-2</v>
      </c>
      <c r="P3218" s="20"/>
      <c r="Q3218" s="20"/>
      <c r="R3218" s="20">
        <v>0.3</v>
      </c>
      <c r="S3218" s="20">
        <v>0.54</v>
      </c>
      <c r="T3218" s="20">
        <v>0.16000000000000003</v>
      </c>
    </row>
    <row r="3219" spans="13:20" x14ac:dyDescent="0.2">
      <c r="M3219" s="20">
        <v>1.5525756402284053E-2</v>
      </c>
      <c r="N3219" s="20">
        <v>1.6178725235998911E-3</v>
      </c>
      <c r="O3219" s="20">
        <v>0.10420571350468179</v>
      </c>
      <c r="P3219" s="20">
        <v>8.0000000000000071E-2</v>
      </c>
      <c r="Q3219" s="20"/>
      <c r="R3219" s="20"/>
      <c r="S3219" s="20"/>
      <c r="T3219" s="20">
        <v>0.92</v>
      </c>
    </row>
    <row r="3220" spans="13:20" x14ac:dyDescent="0.2">
      <c r="M3220" s="20">
        <v>1.0861097745237679E-2</v>
      </c>
      <c r="N3220" s="20">
        <v>1.3390931458598593E-3</v>
      </c>
      <c r="O3220" s="20">
        <v>0.12329261528347982</v>
      </c>
      <c r="P3220" s="20">
        <v>0.14999999999999991</v>
      </c>
      <c r="Q3220" s="20"/>
      <c r="R3220" s="20"/>
      <c r="S3220" s="20">
        <v>0.35</v>
      </c>
      <c r="T3220" s="20">
        <v>0.5</v>
      </c>
    </row>
    <row r="3221" spans="13:20" x14ac:dyDescent="0.2">
      <c r="M3221" s="20">
        <v>1.4912738377618209E-2</v>
      </c>
      <c r="N3221" s="20">
        <v>1.6921091596348481E-3</v>
      </c>
      <c r="O3221" s="20">
        <v>0.11346736707823232</v>
      </c>
      <c r="P3221" s="20">
        <v>0.15000000000000013</v>
      </c>
      <c r="Q3221" s="20"/>
      <c r="R3221" s="20"/>
      <c r="S3221" s="20"/>
      <c r="T3221" s="20">
        <v>0.85</v>
      </c>
    </row>
    <row r="3222" spans="13:20" x14ac:dyDescent="0.2">
      <c r="M3222" s="20">
        <v>1.4830630810695748E-2</v>
      </c>
      <c r="N3222" s="20">
        <v>1.702714393354127E-3</v>
      </c>
      <c r="O3222" s="20">
        <v>0.11481065202743375</v>
      </c>
      <c r="P3222" s="20">
        <v>0.15999999999999992</v>
      </c>
      <c r="Q3222" s="20"/>
      <c r="R3222" s="20"/>
      <c r="S3222" s="20"/>
      <c r="T3222" s="20">
        <v>0.84</v>
      </c>
    </row>
    <row r="3223" spans="13:20" x14ac:dyDescent="0.2">
      <c r="M3223" s="20">
        <v>1.1075610390415037E-2</v>
      </c>
      <c r="N3223" s="20">
        <v>1.7335630410617508E-3</v>
      </c>
      <c r="O3223" s="20">
        <v>0.1565207677007126</v>
      </c>
      <c r="P3223" s="20">
        <v>0.56000000000000005</v>
      </c>
      <c r="Q3223" s="20"/>
      <c r="R3223" s="20"/>
      <c r="S3223" s="20">
        <v>0.39</v>
      </c>
      <c r="T3223" s="20">
        <v>0.05</v>
      </c>
    </row>
    <row r="3224" spans="13:20" x14ac:dyDescent="0.2">
      <c r="M3224" s="20">
        <v>1.4201752820903989E-2</v>
      </c>
      <c r="N3224" s="20">
        <v>2.0016154220366634E-3</v>
      </c>
      <c r="O3224" s="20">
        <v>0.14094143499599748</v>
      </c>
      <c r="P3224" s="20">
        <v>0.55000000000000004</v>
      </c>
      <c r="Q3224" s="20">
        <v>0.44999999999999996</v>
      </c>
      <c r="R3224" s="20"/>
      <c r="S3224" s="20"/>
      <c r="T3224" s="20"/>
    </row>
    <row r="3225" spans="13:20" x14ac:dyDescent="0.2">
      <c r="M3225" s="20">
        <v>1.4244000335516106E-2</v>
      </c>
      <c r="N3225" s="20">
        <v>1.9884612308425096E-3</v>
      </c>
      <c r="O3225" s="20">
        <v>0.13959991463103691</v>
      </c>
      <c r="P3225" s="20">
        <v>0.54</v>
      </c>
      <c r="Q3225" s="20">
        <v>0.45999999999999996</v>
      </c>
      <c r="R3225" s="20"/>
      <c r="S3225" s="20"/>
      <c r="T3225" s="20"/>
    </row>
    <row r="3226" spans="13:20" x14ac:dyDescent="0.2">
      <c r="M3226" s="20">
        <v>1.4804717060040433E-2</v>
      </c>
      <c r="N3226" s="20">
        <v>1.5674416644891782E-3</v>
      </c>
      <c r="O3226" s="20">
        <v>0.10587447623162462</v>
      </c>
      <c r="P3226" s="20">
        <v>7.999999999999996E-2</v>
      </c>
      <c r="Q3226" s="20"/>
      <c r="R3226" s="20"/>
      <c r="S3226" s="20">
        <v>0.05</v>
      </c>
      <c r="T3226" s="20">
        <v>0.87</v>
      </c>
    </row>
    <row r="3227" spans="13:20" x14ac:dyDescent="0.2">
      <c r="M3227" s="20">
        <v>1.4043816940215016E-2</v>
      </c>
      <c r="N3227" s="20">
        <v>2.4225495402496028E-3</v>
      </c>
      <c r="O3227" s="20">
        <v>0.17249936755530743</v>
      </c>
      <c r="P3227" s="20">
        <v>0.87</v>
      </c>
      <c r="Q3227" s="20">
        <v>0.13000000000000012</v>
      </c>
      <c r="R3227" s="20"/>
      <c r="S3227" s="20"/>
      <c r="T3227" s="20"/>
    </row>
    <row r="3228" spans="13:20" x14ac:dyDescent="0.2">
      <c r="M3228" s="20">
        <v>1.1886501898264552E-2</v>
      </c>
      <c r="N3228" s="20">
        <v>1.1889866891932927E-3</v>
      </c>
      <c r="O3228" s="20">
        <v>0.10002830936887214</v>
      </c>
      <c r="P3228" s="20"/>
      <c r="Q3228" s="20">
        <v>0.32</v>
      </c>
      <c r="R3228" s="20">
        <v>0.67999999999999994</v>
      </c>
      <c r="S3228" s="20"/>
      <c r="T3228" s="20"/>
    </row>
    <row r="3229" spans="13:20" x14ac:dyDescent="0.2">
      <c r="M3229" s="20">
        <v>9.8843098263965493E-3</v>
      </c>
      <c r="N3229" s="20">
        <v>9.8240253471681624E-4</v>
      </c>
      <c r="O3229" s="20">
        <v>9.9390099255413922E-2</v>
      </c>
      <c r="P3229" s="20"/>
      <c r="Q3229" s="20"/>
      <c r="R3229" s="20">
        <v>0.12</v>
      </c>
      <c r="S3229" s="20">
        <v>0.5</v>
      </c>
      <c r="T3229" s="20">
        <v>0.37999999999999989</v>
      </c>
    </row>
    <row r="3230" spans="13:20" x14ac:dyDescent="0.2">
      <c r="M3230" s="20">
        <v>1.3530030108669469E-2</v>
      </c>
      <c r="N3230" s="20">
        <v>1.7883750707479245E-3</v>
      </c>
      <c r="O3230" s="20">
        <v>0.13217820332875752</v>
      </c>
      <c r="P3230" s="20">
        <v>0.26</v>
      </c>
      <c r="Q3230" s="20">
        <v>7.999999999999996E-2</v>
      </c>
      <c r="R3230" s="20"/>
      <c r="S3230" s="20"/>
      <c r="T3230" s="20">
        <v>0.66</v>
      </c>
    </row>
    <row r="3231" spans="13:20" x14ac:dyDescent="0.2">
      <c r="M3231" s="20">
        <v>1.072448009352224E-2</v>
      </c>
      <c r="N3231" s="20">
        <v>1.6088955459160814E-3</v>
      </c>
      <c r="O3231" s="20">
        <v>0.15002084314445044</v>
      </c>
      <c r="P3231" s="20">
        <v>0.49</v>
      </c>
      <c r="Q3231" s="20"/>
      <c r="R3231" s="20"/>
      <c r="S3231" s="20">
        <v>0.44</v>
      </c>
      <c r="T3231" s="20">
        <v>7.0000000000000007E-2</v>
      </c>
    </row>
    <row r="3232" spans="13:20" x14ac:dyDescent="0.2">
      <c r="M3232" s="20">
        <v>9.7367975758016808E-3</v>
      </c>
      <c r="N3232" s="20">
        <v>1.1228693413050999E-3</v>
      </c>
      <c r="O3232" s="20">
        <v>0.1153222435367974</v>
      </c>
      <c r="P3232" s="20"/>
      <c r="Q3232" s="20"/>
      <c r="R3232" s="20">
        <v>0.54</v>
      </c>
      <c r="S3232" s="20">
        <v>0.2</v>
      </c>
      <c r="T3232" s="20">
        <v>0.2599999999999999</v>
      </c>
    </row>
    <row r="3233" spans="13:20" x14ac:dyDescent="0.2">
      <c r="M3233" s="20">
        <v>1.3842810103737418E-2</v>
      </c>
      <c r="N3233" s="20">
        <v>1.8511876654240408E-3</v>
      </c>
      <c r="O3233" s="20">
        <v>0.13372918154271574</v>
      </c>
      <c r="P3233" s="20">
        <v>0.29999999999999993</v>
      </c>
      <c r="Q3233" s="20"/>
      <c r="R3233" s="20"/>
      <c r="S3233" s="20"/>
      <c r="T3233" s="20">
        <v>0.7</v>
      </c>
    </row>
    <row r="3234" spans="13:20" x14ac:dyDescent="0.2">
      <c r="M3234" s="20">
        <v>9.3010526532265759E-3</v>
      </c>
      <c r="N3234" s="20">
        <v>8.9511714952515372E-4</v>
      </c>
      <c r="O3234" s="20">
        <v>9.6238262796483981E-2</v>
      </c>
      <c r="P3234" s="20"/>
      <c r="Q3234" s="20"/>
      <c r="R3234" s="20">
        <v>0.32</v>
      </c>
      <c r="S3234" s="20">
        <v>0.51</v>
      </c>
      <c r="T3234" s="20">
        <v>0.16999999999999993</v>
      </c>
    </row>
    <row r="3235" spans="13:20" x14ac:dyDescent="0.2">
      <c r="M3235" s="20">
        <v>1.1574349904487516E-2</v>
      </c>
      <c r="N3235" s="20">
        <v>1.983678500656871E-3</v>
      </c>
      <c r="O3235" s="20">
        <v>0.17138573803508175</v>
      </c>
      <c r="P3235" s="20">
        <v>0.56999999999999995</v>
      </c>
      <c r="Q3235" s="20">
        <v>0.14000000000000001</v>
      </c>
      <c r="R3235" s="20">
        <v>0.28000000000000003</v>
      </c>
      <c r="S3235" s="20">
        <v>1.000000000000012E-2</v>
      </c>
      <c r="T3235" s="20"/>
    </row>
    <row r="3236" spans="13:20" x14ac:dyDescent="0.2">
      <c r="M3236" s="20">
        <v>1.2313357624674387E-2</v>
      </c>
      <c r="N3236" s="20">
        <v>1.3599028562010147E-3</v>
      </c>
      <c r="O3236" s="20">
        <v>0.11044127017605207</v>
      </c>
      <c r="P3236" s="20">
        <v>0.11</v>
      </c>
      <c r="Q3236" s="20">
        <v>0.41</v>
      </c>
      <c r="R3236" s="20">
        <v>0.48</v>
      </c>
      <c r="S3236" s="20">
        <v>0</v>
      </c>
      <c r="T3236" s="20"/>
    </row>
    <row r="3237" spans="13:20" x14ac:dyDescent="0.2">
      <c r="M3237" s="20">
        <v>1.0841930266926056E-2</v>
      </c>
      <c r="N3237" s="20">
        <v>1.5106910082164757E-3</v>
      </c>
      <c r="O3237" s="20">
        <v>0.13933782740006428</v>
      </c>
      <c r="P3237" s="20">
        <v>0.15</v>
      </c>
      <c r="Q3237" s="20">
        <v>0</v>
      </c>
      <c r="R3237" s="20">
        <v>0.47</v>
      </c>
      <c r="S3237" s="20"/>
      <c r="T3237" s="20">
        <v>0.38</v>
      </c>
    </row>
    <row r="3238" spans="13:20" x14ac:dyDescent="0.2">
      <c r="M3238" s="20">
        <v>9.7666263457272025E-3</v>
      </c>
      <c r="N3238" s="20">
        <v>7.7968812893172961E-4</v>
      </c>
      <c r="O3238" s="20">
        <v>7.9831878617209001E-2</v>
      </c>
      <c r="P3238" s="20"/>
      <c r="Q3238" s="20"/>
      <c r="R3238" s="20">
        <v>0.41</v>
      </c>
      <c r="S3238" s="20">
        <v>0.59</v>
      </c>
      <c r="T3238" s="20"/>
    </row>
    <row r="3239" spans="13:20" x14ac:dyDescent="0.2">
      <c r="M3239" s="20">
        <v>9.7939735866188465E-3</v>
      </c>
      <c r="N3239" s="20">
        <v>7.7346191777806299E-4</v>
      </c>
      <c r="O3239" s="20">
        <v>7.8973249308617308E-2</v>
      </c>
      <c r="P3239" s="20"/>
      <c r="Q3239" s="20"/>
      <c r="R3239" s="20">
        <v>0.4</v>
      </c>
      <c r="S3239" s="20">
        <v>0.59999999999999987</v>
      </c>
      <c r="T3239" s="20"/>
    </row>
    <row r="3240" spans="13:20" x14ac:dyDescent="0.2">
      <c r="M3240" s="20">
        <v>1.5185250871918809E-2</v>
      </c>
      <c r="N3240" s="20">
        <v>1.2374938073565374E-3</v>
      </c>
      <c r="O3240" s="20">
        <v>8.1493142114955897E-2</v>
      </c>
      <c r="P3240" s="20"/>
      <c r="Q3240" s="20">
        <v>0.69</v>
      </c>
      <c r="R3240" s="20">
        <v>0.30999999999999994</v>
      </c>
      <c r="S3240" s="20"/>
      <c r="T3240" s="20"/>
    </row>
    <row r="3241" spans="13:20" x14ac:dyDescent="0.2">
      <c r="M3241" s="20">
        <v>1.4639563893888013E-2</v>
      </c>
      <c r="N3241" s="20">
        <v>1.3900559296538425E-3</v>
      </c>
      <c r="O3241" s="20">
        <v>9.4952004016607888E-2</v>
      </c>
      <c r="P3241" s="20">
        <v>0.11</v>
      </c>
      <c r="Q3241" s="20">
        <v>0.64</v>
      </c>
      <c r="R3241" s="20">
        <v>0.25</v>
      </c>
      <c r="S3241" s="20"/>
      <c r="T3241" s="20"/>
    </row>
    <row r="3242" spans="13:20" x14ac:dyDescent="0.2">
      <c r="M3242" s="20">
        <v>1.1752377308224945E-2</v>
      </c>
      <c r="N3242" s="20">
        <v>5.4931831624606842E-4</v>
      </c>
      <c r="O3242" s="20">
        <v>4.6741038160987722E-2</v>
      </c>
      <c r="P3242" s="20"/>
      <c r="Q3242" s="20"/>
      <c r="R3242" s="20">
        <v>0.04</v>
      </c>
      <c r="S3242" s="20">
        <v>0.96</v>
      </c>
      <c r="T3242" s="20">
        <v>0</v>
      </c>
    </row>
    <row r="3243" spans="13:20" x14ac:dyDescent="0.2">
      <c r="M3243" s="20">
        <v>1.1455371067726944E-2</v>
      </c>
      <c r="N3243" s="20">
        <v>5.7422316086073457E-4</v>
      </c>
      <c r="O3243" s="20">
        <v>5.0126980389005947E-2</v>
      </c>
      <c r="P3243" s="20"/>
      <c r="Q3243" s="20"/>
      <c r="R3243" s="20">
        <v>0.08</v>
      </c>
      <c r="S3243" s="20">
        <v>0.92</v>
      </c>
      <c r="T3243" s="20"/>
    </row>
    <row r="3244" spans="13:20" x14ac:dyDescent="0.2">
      <c r="M3244" s="20">
        <v>1.0863843254780882E-2</v>
      </c>
      <c r="N3244" s="20">
        <v>1.141746200370644E-3</v>
      </c>
      <c r="O3244" s="20">
        <v>0.10509597511619036</v>
      </c>
      <c r="P3244" s="20">
        <v>3.9999999999999925E-2</v>
      </c>
      <c r="Q3244" s="20"/>
      <c r="R3244" s="20"/>
      <c r="S3244" s="20">
        <v>0.43</v>
      </c>
      <c r="T3244" s="20">
        <v>0.53</v>
      </c>
    </row>
    <row r="3245" spans="13:20" x14ac:dyDescent="0.2">
      <c r="M3245" s="20">
        <v>1.4161652659714676E-2</v>
      </c>
      <c r="N3245" s="20">
        <v>2.0147696132308181E-3</v>
      </c>
      <c r="O3245" s="20">
        <v>0.14226938491170502</v>
      </c>
      <c r="P3245" s="20">
        <v>0.56000000000000005</v>
      </c>
      <c r="Q3245" s="20">
        <v>0.43999999999999995</v>
      </c>
      <c r="R3245" s="20"/>
      <c r="S3245" s="20"/>
      <c r="T3245" s="20"/>
    </row>
    <row r="3246" spans="13:20" x14ac:dyDescent="0.2">
      <c r="M3246" s="20">
        <v>1.4148879873072288E-2</v>
      </c>
      <c r="N3246" s="20">
        <v>2.4620121138320657E-3</v>
      </c>
      <c r="O3246" s="20">
        <v>0.17400756356110503</v>
      </c>
      <c r="P3246" s="20">
        <v>0.9</v>
      </c>
      <c r="Q3246" s="20">
        <v>0.10000000000000009</v>
      </c>
      <c r="R3246" s="20"/>
      <c r="S3246" s="20"/>
      <c r="T3246" s="20"/>
    </row>
    <row r="3247" spans="13:20" x14ac:dyDescent="0.2">
      <c r="M3247" s="20">
        <v>1.0556532643402264E-2</v>
      </c>
      <c r="N3247" s="20">
        <v>6.6139011701206582E-4</v>
      </c>
      <c r="O3247" s="20">
        <v>6.2652211607134897E-2</v>
      </c>
      <c r="P3247" s="20"/>
      <c r="Q3247" s="20"/>
      <c r="R3247" s="20">
        <v>0.22</v>
      </c>
      <c r="S3247" s="20">
        <v>0.77999999999999992</v>
      </c>
      <c r="T3247" s="20"/>
    </row>
    <row r="3248" spans="13:20" x14ac:dyDescent="0.2">
      <c r="M3248" s="20">
        <v>1.4523169030091784E-2</v>
      </c>
      <c r="N3248" s="20">
        <v>2.5672456433853004E-3</v>
      </c>
      <c r="O3248" s="20">
        <v>0.1767689708813556</v>
      </c>
      <c r="P3248" s="20">
        <v>0.98</v>
      </c>
      <c r="Q3248" s="20">
        <v>2.0000000000000018E-2</v>
      </c>
      <c r="R3248" s="20"/>
      <c r="S3248" s="20"/>
      <c r="T3248" s="20"/>
    </row>
    <row r="3249" spans="13:20" x14ac:dyDescent="0.2">
      <c r="M3249" s="20">
        <v>9.7353358492002998E-3</v>
      </c>
      <c r="N3249" s="20">
        <v>1.31239425747312E-3</v>
      </c>
      <c r="O3249" s="20">
        <v>0.13480729147941264</v>
      </c>
      <c r="P3249" s="20">
        <v>0.12000000000000011</v>
      </c>
      <c r="Q3249" s="20"/>
      <c r="R3249" s="20">
        <v>0.64</v>
      </c>
      <c r="S3249" s="20">
        <v>0.1</v>
      </c>
      <c r="T3249" s="20">
        <v>0.14000000000000001</v>
      </c>
    </row>
    <row r="3250" spans="13:20" x14ac:dyDescent="0.2">
      <c r="M3250" s="20">
        <v>1.774207684011481E-2</v>
      </c>
      <c r="N3250" s="20">
        <v>1.2650248744221627E-3</v>
      </c>
      <c r="O3250" s="20">
        <v>7.1300833934048999E-2</v>
      </c>
      <c r="P3250" s="20"/>
      <c r="Q3250" s="20">
        <v>0.9</v>
      </c>
      <c r="R3250" s="20">
        <v>9.9999999999999867E-2</v>
      </c>
      <c r="S3250" s="20"/>
      <c r="T3250" s="20"/>
    </row>
    <row r="3251" spans="13:20" x14ac:dyDescent="0.2">
      <c r="M3251" s="20">
        <v>1.3104407967747608E-2</v>
      </c>
      <c r="N3251" s="20">
        <v>2.2919189705038123E-3</v>
      </c>
      <c r="O3251" s="20">
        <v>0.17489679626463495</v>
      </c>
      <c r="P3251" s="20">
        <v>0.73</v>
      </c>
      <c r="Q3251" s="20">
        <v>6.0000000000000053E-2</v>
      </c>
      <c r="R3251" s="20"/>
      <c r="S3251" s="20"/>
      <c r="T3251" s="20">
        <v>0.21</v>
      </c>
    </row>
    <row r="3252" spans="13:20" x14ac:dyDescent="0.2">
      <c r="M3252" s="20">
        <v>1.4368989816425544E-2</v>
      </c>
      <c r="N3252" s="20">
        <v>1.7663457956698049E-3</v>
      </c>
      <c r="O3252" s="20">
        <v>0.1229276252705428</v>
      </c>
      <c r="P3252" s="20">
        <v>0.22000000000000008</v>
      </c>
      <c r="Q3252" s="20"/>
      <c r="R3252" s="20"/>
      <c r="S3252" s="20"/>
      <c r="T3252" s="20">
        <v>0.78</v>
      </c>
    </row>
    <row r="3253" spans="13:20" x14ac:dyDescent="0.2">
      <c r="M3253" s="20">
        <v>1.3921621685847853E-2</v>
      </c>
      <c r="N3253" s="20">
        <v>1.6852810948497839E-3</v>
      </c>
      <c r="O3253" s="20">
        <v>0.1210549412187354</v>
      </c>
      <c r="P3253" s="20">
        <v>0.17</v>
      </c>
      <c r="Q3253" s="20">
        <v>0.10999999999999988</v>
      </c>
      <c r="R3253" s="20"/>
      <c r="S3253" s="20"/>
      <c r="T3253" s="20">
        <v>0.72</v>
      </c>
    </row>
    <row r="3254" spans="13:20" x14ac:dyDescent="0.2">
      <c r="M3254" s="20">
        <v>1.3674008432626254E-2</v>
      </c>
      <c r="N3254" s="20">
        <v>1.8830033665818799E-3</v>
      </c>
      <c r="O3254" s="20">
        <v>0.1377067577411335</v>
      </c>
      <c r="P3254" s="20">
        <v>0.33000000000000007</v>
      </c>
      <c r="Q3254" s="20"/>
      <c r="R3254" s="20"/>
      <c r="S3254" s="20"/>
      <c r="T3254" s="20">
        <v>0.67</v>
      </c>
    </row>
    <row r="3255" spans="13:20" x14ac:dyDescent="0.2">
      <c r="M3255" s="20">
        <v>1.0737484730818526E-2</v>
      </c>
      <c r="N3255" s="20">
        <v>6.8579222078568266E-4</v>
      </c>
      <c r="O3255" s="20">
        <v>6.3868982166497043E-2</v>
      </c>
      <c r="P3255" s="20">
        <v>0</v>
      </c>
      <c r="Q3255" s="20"/>
      <c r="R3255" s="20"/>
      <c r="S3255" s="20">
        <v>0.84</v>
      </c>
      <c r="T3255" s="20">
        <v>0.16</v>
      </c>
    </row>
    <row r="3256" spans="13:20" x14ac:dyDescent="0.2">
      <c r="M3256" s="20">
        <v>1.1828804506508932E-2</v>
      </c>
      <c r="N3256" s="20">
        <v>1.1876756859996917E-3</v>
      </c>
      <c r="O3256" s="20">
        <v>0.10040538630477493</v>
      </c>
      <c r="P3256" s="20"/>
      <c r="Q3256" s="20">
        <v>0.31</v>
      </c>
      <c r="R3256" s="20">
        <v>0.69000000000000006</v>
      </c>
      <c r="S3256" s="20"/>
      <c r="T3256" s="20"/>
    </row>
    <row r="3257" spans="13:20" x14ac:dyDescent="0.2">
      <c r="M3257" s="20">
        <v>1.383981491350712E-2</v>
      </c>
      <c r="N3257" s="20">
        <v>2.2910076283080591E-3</v>
      </c>
      <c r="O3257" s="20">
        <v>0.16553744704144308</v>
      </c>
      <c r="P3257" s="20">
        <v>0.77</v>
      </c>
      <c r="Q3257" s="20">
        <v>0.22999999999999998</v>
      </c>
      <c r="R3257" s="20"/>
      <c r="S3257" s="20"/>
      <c r="T3257" s="20"/>
    </row>
    <row r="3258" spans="13:20" x14ac:dyDescent="0.2">
      <c r="M3258" s="20">
        <v>1.3876992723142755E-2</v>
      </c>
      <c r="N3258" s="20">
        <v>2.3304702018905219E-3</v>
      </c>
      <c r="O3258" s="20">
        <v>0.16793769719313761</v>
      </c>
      <c r="P3258" s="20">
        <v>0.8</v>
      </c>
      <c r="Q3258" s="20">
        <v>0.19999999999999996</v>
      </c>
      <c r="R3258" s="20"/>
      <c r="S3258" s="20"/>
      <c r="T3258" s="20"/>
    </row>
    <row r="3259" spans="13:20" x14ac:dyDescent="0.2">
      <c r="M3259" s="20">
        <v>1.561852098904238E-2</v>
      </c>
      <c r="N3259" s="20">
        <v>1.6072672898806114E-3</v>
      </c>
      <c r="O3259" s="20">
        <v>0.1029077779521016</v>
      </c>
      <c r="P3259" s="20">
        <v>6.9999999999999951E-2</v>
      </c>
      <c r="Q3259" s="20"/>
      <c r="R3259" s="20"/>
      <c r="S3259" s="20"/>
      <c r="T3259" s="20">
        <v>0.93</v>
      </c>
    </row>
    <row r="3260" spans="13:20" x14ac:dyDescent="0.2">
      <c r="M3260" s="20">
        <v>1.5072756399316824E-2</v>
      </c>
      <c r="N3260" s="20">
        <v>1.2361828041629363E-3</v>
      </c>
      <c r="O3260" s="20">
        <v>8.2014382201451005E-2</v>
      </c>
      <c r="P3260" s="20"/>
      <c r="Q3260" s="20">
        <v>0.68</v>
      </c>
      <c r="R3260" s="20">
        <v>0.31999999999999995</v>
      </c>
      <c r="S3260" s="20"/>
      <c r="T3260" s="20"/>
    </row>
    <row r="3261" spans="13:20" x14ac:dyDescent="0.2">
      <c r="M3261" s="20">
        <v>1.3993973667379783E-2</v>
      </c>
      <c r="N3261" s="20">
        <v>2.0805405692015896E-3</v>
      </c>
      <c r="O3261" s="20">
        <v>0.14867403774321578</v>
      </c>
      <c r="P3261" s="20">
        <v>0.61</v>
      </c>
      <c r="Q3261" s="20">
        <v>0.3899999999999999</v>
      </c>
      <c r="R3261" s="20"/>
      <c r="S3261" s="20"/>
      <c r="T3261" s="20"/>
    </row>
    <row r="3262" spans="13:20" x14ac:dyDescent="0.2">
      <c r="M3262" s="20">
        <v>1.3646202111630722E-2</v>
      </c>
      <c r="N3262" s="20">
        <v>1.3413933892249467E-3</v>
      </c>
      <c r="O3262" s="20">
        <v>9.8297927749558311E-2</v>
      </c>
      <c r="P3262" s="20"/>
      <c r="Q3262" s="20"/>
      <c r="R3262" s="20"/>
      <c r="S3262" s="20">
        <v>0.19</v>
      </c>
      <c r="T3262" s="20">
        <v>0.81</v>
      </c>
    </row>
    <row r="3263" spans="13:20" x14ac:dyDescent="0.2">
      <c r="M3263" s="20">
        <v>1.6494885824739906E-2</v>
      </c>
      <c r="N3263" s="20">
        <v>1.5806813038237249E-3</v>
      </c>
      <c r="O3263" s="20">
        <v>9.5828568964868799E-2</v>
      </c>
      <c r="P3263" s="20">
        <v>0.23</v>
      </c>
      <c r="Q3263" s="20">
        <v>0.77</v>
      </c>
      <c r="R3263" s="20"/>
      <c r="S3263" s="20"/>
      <c r="T3263" s="20"/>
    </row>
    <row r="3264" spans="13:20" x14ac:dyDescent="0.2">
      <c r="M3264" s="20">
        <v>1.3744479684159578E-2</v>
      </c>
      <c r="N3264" s="20">
        <v>2.3791539570863357E-3</v>
      </c>
      <c r="O3264" s="20">
        <v>0.17309887400308754</v>
      </c>
      <c r="P3264" s="20">
        <v>0.84</v>
      </c>
      <c r="Q3264" s="20">
        <v>0.13</v>
      </c>
      <c r="R3264" s="20">
        <v>2.9999999999999916E-2</v>
      </c>
      <c r="S3264" s="20"/>
      <c r="T3264" s="20"/>
    </row>
    <row r="3265" spans="13:20" x14ac:dyDescent="0.2">
      <c r="M3265" s="20">
        <v>9.4612598071564039E-3</v>
      </c>
      <c r="N3265" s="20">
        <v>8.5153367144948804E-4</v>
      </c>
      <c r="O3265" s="20">
        <v>9.000214440844298E-2</v>
      </c>
      <c r="P3265" s="20"/>
      <c r="Q3265" s="20"/>
      <c r="R3265" s="20">
        <v>0.25</v>
      </c>
      <c r="S3265" s="20">
        <v>0.57999999999999996</v>
      </c>
      <c r="T3265" s="20">
        <v>0.16999999999999993</v>
      </c>
    </row>
    <row r="3266" spans="13:20" x14ac:dyDescent="0.2">
      <c r="M3266" s="20">
        <v>1.2361010949764852E-2</v>
      </c>
      <c r="N3266" s="20">
        <v>2.2121707996594175E-3</v>
      </c>
      <c r="O3266" s="20">
        <v>0.17896358223851427</v>
      </c>
      <c r="P3266" s="20">
        <v>0.73</v>
      </c>
      <c r="Q3266" s="20">
        <v>7.0000000000000007E-2</v>
      </c>
      <c r="R3266" s="20">
        <v>0.19999999999999996</v>
      </c>
      <c r="S3266" s="20"/>
      <c r="T3266" s="20"/>
    </row>
    <row r="3267" spans="13:20" x14ac:dyDescent="0.2">
      <c r="M3267" s="20">
        <v>9.9420772303397548E-3</v>
      </c>
      <c r="N3267" s="20">
        <v>1.1707425962662588E-3</v>
      </c>
      <c r="O3267" s="20">
        <v>0.11775633694471417</v>
      </c>
      <c r="P3267" s="20">
        <v>0.21000000000000008</v>
      </c>
      <c r="Q3267" s="20"/>
      <c r="R3267" s="20"/>
      <c r="S3267" s="20">
        <v>0.57999999999999996</v>
      </c>
      <c r="T3267" s="20">
        <v>0.21</v>
      </c>
    </row>
    <row r="3268" spans="13:20" x14ac:dyDescent="0.2">
      <c r="M3268" s="20">
        <v>1.0194846333248127E-2</v>
      </c>
      <c r="N3268" s="20">
        <v>1.3846284521197999E-3</v>
      </c>
      <c r="O3268" s="20">
        <v>0.13581651030915054</v>
      </c>
      <c r="P3268" s="20">
        <v>0.25</v>
      </c>
      <c r="Q3268" s="20"/>
      <c r="R3268" s="20"/>
      <c r="S3268" s="20">
        <v>0.41</v>
      </c>
      <c r="T3268" s="20">
        <v>0.34</v>
      </c>
    </row>
    <row r="3269" spans="13:20" x14ac:dyDescent="0.2">
      <c r="M3269" s="20">
        <v>1.4749960029107695E-2</v>
      </c>
      <c r="N3269" s="20">
        <v>1.7133196270734065E-3</v>
      </c>
      <c r="O3269" s="20">
        <v>0.11615757762680896</v>
      </c>
      <c r="P3269" s="20">
        <v>0.16999999999999993</v>
      </c>
      <c r="Q3269" s="20"/>
      <c r="R3269" s="20"/>
      <c r="S3269" s="20"/>
      <c r="T3269" s="20">
        <v>0.83</v>
      </c>
    </row>
    <row r="3270" spans="13:20" x14ac:dyDescent="0.2">
      <c r="M3270" s="20">
        <v>1.2273748333624107E-2</v>
      </c>
      <c r="N3270" s="20">
        <v>1.0315497205827906E-3</v>
      </c>
      <c r="O3270" s="20">
        <v>8.404520709919118E-2</v>
      </c>
      <c r="P3270" s="20"/>
      <c r="Q3270" s="20">
        <v>0.39</v>
      </c>
      <c r="R3270" s="20">
        <v>0.31</v>
      </c>
      <c r="S3270" s="20">
        <v>0.28000000000000003</v>
      </c>
      <c r="T3270" s="20">
        <v>1.9999999999999907E-2</v>
      </c>
    </row>
    <row r="3271" spans="13:20" x14ac:dyDescent="0.2">
      <c r="M3271" s="20">
        <v>1.0660050830541737E-2</v>
      </c>
      <c r="N3271" s="20">
        <v>1.3836775507184056E-3</v>
      </c>
      <c r="O3271" s="20">
        <v>0.1298002770075054</v>
      </c>
      <c r="P3271" s="20">
        <v>0.15</v>
      </c>
      <c r="Q3271" s="20">
        <v>0.15</v>
      </c>
      <c r="R3271" s="20">
        <v>0.7</v>
      </c>
      <c r="S3271" s="20"/>
      <c r="T3271" s="20"/>
    </row>
    <row r="3272" spans="13:20" x14ac:dyDescent="0.2">
      <c r="M3272" s="20">
        <v>1.2405137846844142E-2</v>
      </c>
      <c r="N3272" s="20">
        <v>1.6944441583431518E-3</v>
      </c>
      <c r="O3272" s="20">
        <v>0.1365921265255603</v>
      </c>
      <c r="P3272" s="20">
        <v>0.28000000000000003</v>
      </c>
      <c r="Q3272" s="20">
        <v>0.35</v>
      </c>
      <c r="R3272" s="20">
        <v>0.12</v>
      </c>
      <c r="S3272" s="20"/>
      <c r="T3272" s="20">
        <v>0.25</v>
      </c>
    </row>
    <row r="3273" spans="13:20" x14ac:dyDescent="0.2">
      <c r="M3273" s="20">
        <v>1.1057482598393084E-2</v>
      </c>
      <c r="N3273" s="20">
        <v>1.8000137486396525E-3</v>
      </c>
      <c r="O3273" s="20">
        <v>0.16278693930761759</v>
      </c>
      <c r="P3273" s="20">
        <v>0.48000000000000009</v>
      </c>
      <c r="Q3273" s="20"/>
      <c r="R3273" s="20"/>
      <c r="S3273" s="20">
        <v>0.24</v>
      </c>
      <c r="T3273" s="20">
        <v>0.28000000000000003</v>
      </c>
    </row>
    <row r="3274" spans="13:20" x14ac:dyDescent="0.2">
      <c r="M3274" s="20">
        <v>9.4631693011843054E-3</v>
      </c>
      <c r="N3274" s="20">
        <v>1.0507724283668168E-3</v>
      </c>
      <c r="O3274" s="20">
        <v>0.11103810942443075</v>
      </c>
      <c r="P3274" s="20"/>
      <c r="Q3274" s="20"/>
      <c r="R3274" s="20">
        <v>0.56999999999999995</v>
      </c>
      <c r="S3274" s="20">
        <v>0.26</v>
      </c>
      <c r="T3274" s="20">
        <v>0.17000000000000004</v>
      </c>
    </row>
    <row r="3275" spans="13:20" x14ac:dyDescent="0.2">
      <c r="M3275" s="20">
        <v>1.3612880609491222E-2</v>
      </c>
      <c r="N3275" s="20">
        <v>1.2178287594525195E-3</v>
      </c>
      <c r="O3275" s="20">
        <v>8.9461502997640371E-2</v>
      </c>
      <c r="P3275" s="20"/>
      <c r="Q3275" s="20">
        <v>0.54</v>
      </c>
      <c r="R3275" s="20">
        <v>0.46000000000000008</v>
      </c>
      <c r="S3275" s="20"/>
      <c r="T3275" s="20"/>
    </row>
    <row r="3276" spans="13:20" x14ac:dyDescent="0.2">
      <c r="M3276" s="20">
        <v>1.0199118291272596E-2</v>
      </c>
      <c r="N3276" s="20">
        <v>1.0411889973857235E-3</v>
      </c>
      <c r="O3276" s="20">
        <v>0.10208617722148304</v>
      </c>
      <c r="P3276" s="20"/>
      <c r="Q3276" s="20"/>
      <c r="R3276" s="20">
        <v>0.83</v>
      </c>
      <c r="S3276" s="20">
        <v>0.17000000000000015</v>
      </c>
      <c r="T3276" s="20"/>
    </row>
    <row r="3277" spans="13:20" x14ac:dyDescent="0.2">
      <c r="M3277" s="20">
        <v>1.278526533182937E-2</v>
      </c>
      <c r="N3277" s="20">
        <v>1.9970194454628871E-3</v>
      </c>
      <c r="O3277" s="20">
        <v>0.15619694966292461</v>
      </c>
      <c r="P3277" s="20">
        <v>0.5</v>
      </c>
      <c r="Q3277" s="20">
        <v>0.26</v>
      </c>
      <c r="R3277" s="20"/>
      <c r="S3277" s="20"/>
      <c r="T3277" s="20">
        <v>0.24</v>
      </c>
    </row>
    <row r="3278" spans="13:20" x14ac:dyDescent="0.2">
      <c r="M3278" s="20">
        <v>1.1419715928306165E-2</v>
      </c>
      <c r="N3278" s="20">
        <v>1.4949309622734764E-3</v>
      </c>
      <c r="O3278" s="20">
        <v>0.13090789400180924</v>
      </c>
      <c r="P3278" s="20">
        <v>0.15</v>
      </c>
      <c r="Q3278" s="20">
        <v>0.15999999999999992</v>
      </c>
      <c r="R3278" s="20">
        <v>0.17</v>
      </c>
      <c r="S3278" s="20">
        <v>0.09</v>
      </c>
      <c r="T3278" s="20">
        <v>0.43</v>
      </c>
    </row>
    <row r="3279" spans="13:20" x14ac:dyDescent="0.2">
      <c r="M3279" s="20">
        <v>9.8517444126806422E-3</v>
      </c>
      <c r="N3279" s="20">
        <v>9.8515309700272476E-4</v>
      </c>
      <c r="O3279" s="20">
        <v>9.9997833453199209E-2</v>
      </c>
      <c r="P3279" s="20"/>
      <c r="Q3279" s="20"/>
      <c r="R3279" s="20">
        <v>0.74</v>
      </c>
      <c r="S3279" s="20">
        <v>0.26</v>
      </c>
      <c r="T3279" s="20"/>
    </row>
    <row r="3280" spans="13:20" x14ac:dyDescent="0.2">
      <c r="M3280" s="20">
        <v>1.1369993683639855E-2</v>
      </c>
      <c r="N3280" s="20">
        <v>1.1295837809599536E-3</v>
      </c>
      <c r="O3280" s="20">
        <v>9.9347793181740987E-2</v>
      </c>
      <c r="P3280" s="20"/>
      <c r="Q3280" s="20"/>
      <c r="R3280" s="20"/>
      <c r="S3280" s="20">
        <v>0.4</v>
      </c>
      <c r="T3280" s="20">
        <v>0.59999999999999987</v>
      </c>
    </row>
    <row r="3281" spans="13:20" x14ac:dyDescent="0.2">
      <c r="M3281" s="20">
        <v>8.1965134461679853E-3</v>
      </c>
      <c r="N3281" s="20">
        <v>9.00499421671054E-4</v>
      </c>
      <c r="O3281" s="20">
        <v>0.10986371554017926</v>
      </c>
      <c r="P3281" s="20">
        <v>0.06</v>
      </c>
      <c r="Q3281" s="20">
        <v>0.28999999999999998</v>
      </c>
      <c r="R3281" s="20">
        <v>0.13</v>
      </c>
      <c r="S3281" s="20">
        <v>0.02</v>
      </c>
      <c r="T3281" s="20">
        <v>0.14000000000000001</v>
      </c>
    </row>
    <row r="3282" spans="13:20" x14ac:dyDescent="0.2">
      <c r="M3282" s="20">
        <v>1.1057566415671835E-2</v>
      </c>
      <c r="N3282" s="20">
        <v>1.0837594437100263E-3</v>
      </c>
      <c r="O3282" s="20">
        <v>9.801066554517994E-2</v>
      </c>
      <c r="P3282" s="20">
        <v>7.0000000000000007E-2</v>
      </c>
      <c r="Q3282" s="20">
        <v>0.26</v>
      </c>
      <c r="R3282" s="20">
        <v>0.27</v>
      </c>
      <c r="S3282" s="20">
        <v>0.35</v>
      </c>
      <c r="T3282" s="20">
        <v>0.05</v>
      </c>
    </row>
    <row r="3283" spans="13:20" x14ac:dyDescent="0.2">
      <c r="M3283" s="20">
        <v>1.3494170850110003E-2</v>
      </c>
      <c r="N3283" s="20">
        <v>1.643586433056034E-3</v>
      </c>
      <c r="O3283" s="20">
        <v>0.12179973496056896</v>
      </c>
      <c r="P3283" s="20">
        <v>0.21</v>
      </c>
      <c r="Q3283" s="20">
        <v>0.44000000000000006</v>
      </c>
      <c r="R3283" s="20"/>
      <c r="S3283" s="20"/>
      <c r="T3283" s="20">
        <v>0.35</v>
      </c>
    </row>
    <row r="3284" spans="13:20" x14ac:dyDescent="0.2">
      <c r="M3284" s="20">
        <v>1.2186663236071689E-2</v>
      </c>
      <c r="N3284" s="20">
        <v>1.3391644656014366E-3</v>
      </c>
      <c r="O3284" s="20">
        <v>0.10988770590111996</v>
      </c>
      <c r="P3284" s="20"/>
      <c r="Q3284" s="20">
        <v>0.02</v>
      </c>
      <c r="R3284" s="20">
        <v>0.28000000000000003</v>
      </c>
      <c r="S3284" s="20">
        <v>0.08</v>
      </c>
      <c r="T3284" s="20">
        <v>0.61999999999999988</v>
      </c>
    </row>
    <row r="3285" spans="13:20" x14ac:dyDescent="0.2">
      <c r="M3285" s="20">
        <v>1.5081169588307179E-2</v>
      </c>
      <c r="N3285" s="20">
        <v>1.6708986921962887E-3</v>
      </c>
      <c r="O3285" s="20">
        <v>0.11079370750474019</v>
      </c>
      <c r="P3285" s="20">
        <v>0.13</v>
      </c>
      <c r="Q3285" s="20"/>
      <c r="R3285" s="20"/>
      <c r="S3285" s="20"/>
      <c r="T3285" s="20">
        <v>0.87</v>
      </c>
    </row>
    <row r="3286" spans="13:20" x14ac:dyDescent="0.2">
      <c r="M3286" s="20">
        <v>1.1579199744869626E-2</v>
      </c>
      <c r="N3286" s="20">
        <v>5.7484433074211504E-4</v>
      </c>
      <c r="O3286" s="20">
        <v>4.9644564685639027E-2</v>
      </c>
      <c r="P3286" s="20"/>
      <c r="Q3286" s="20"/>
      <c r="R3286" s="20"/>
      <c r="S3286" s="20">
        <v>0.95</v>
      </c>
      <c r="T3286" s="20">
        <v>5.0000000000000044E-2</v>
      </c>
    </row>
    <row r="3287" spans="13:20" x14ac:dyDescent="0.2">
      <c r="M3287" s="20">
        <v>1.4850768084664569E-2</v>
      </c>
      <c r="N3287" s="20">
        <v>1.233560797775734E-3</v>
      </c>
      <c r="O3287" s="20">
        <v>8.3063770893409397E-2</v>
      </c>
      <c r="P3287" s="20"/>
      <c r="Q3287" s="20">
        <v>0.66</v>
      </c>
      <c r="R3287" s="20">
        <v>0.34000000000000008</v>
      </c>
      <c r="S3287" s="20"/>
      <c r="T3287" s="20"/>
    </row>
    <row r="3288" spans="13:20" x14ac:dyDescent="0.2">
      <c r="M3288" s="20">
        <v>1.3112988436391913E-2</v>
      </c>
      <c r="N3288" s="20">
        <v>2.0314766386517929E-3</v>
      </c>
      <c r="O3288" s="20">
        <v>0.15492095097208528</v>
      </c>
      <c r="P3288" s="20">
        <v>0.46999999999999986</v>
      </c>
      <c r="Q3288" s="20"/>
      <c r="R3288" s="20"/>
      <c r="S3288" s="20"/>
      <c r="T3288" s="20">
        <v>0.53</v>
      </c>
    </row>
    <row r="3289" spans="13:20" x14ac:dyDescent="0.2">
      <c r="M3289" s="20">
        <v>1.6001662566933018E-2</v>
      </c>
      <c r="N3289" s="20">
        <v>1.5648463550034933E-3</v>
      </c>
      <c r="O3289" s="20">
        <v>9.7792735502197373E-2</v>
      </c>
      <c r="P3289" s="20">
        <v>3.0000000000000027E-2</v>
      </c>
      <c r="Q3289" s="20"/>
      <c r="R3289" s="20"/>
      <c r="S3289" s="20"/>
      <c r="T3289" s="20">
        <v>0.97</v>
      </c>
    </row>
    <row r="3290" spans="13:20" x14ac:dyDescent="0.2">
      <c r="M3290" s="20">
        <v>1.0095484143783874E-2</v>
      </c>
      <c r="N3290" s="20">
        <v>1.1780327013861936E-3</v>
      </c>
      <c r="O3290" s="20">
        <v>0.11668907450184522</v>
      </c>
      <c r="P3290" s="20"/>
      <c r="Q3290" s="20"/>
      <c r="R3290" s="20">
        <v>0.57999999999999996</v>
      </c>
      <c r="S3290" s="20">
        <v>0.13</v>
      </c>
      <c r="T3290" s="20">
        <v>0.29000000000000004</v>
      </c>
    </row>
    <row r="3291" spans="13:20" x14ac:dyDescent="0.2">
      <c r="M3291" s="20">
        <v>1.6852964635850839E-2</v>
      </c>
      <c r="N3291" s="20">
        <v>1.2558478520669546E-3</v>
      </c>
      <c r="O3291" s="20">
        <v>7.4517918906411559E-2</v>
      </c>
      <c r="P3291" s="20"/>
      <c r="Q3291" s="20">
        <v>0.83</v>
      </c>
      <c r="R3291" s="20">
        <v>0.17000000000000015</v>
      </c>
      <c r="S3291" s="20"/>
      <c r="T3291" s="20"/>
    </row>
    <row r="3292" spans="13:20" x14ac:dyDescent="0.2">
      <c r="M3292" s="20">
        <v>1.4043816940215016E-2</v>
      </c>
      <c r="N3292" s="20">
        <v>2.4225495402496028E-3</v>
      </c>
      <c r="O3292" s="20">
        <v>0.17249936755530743</v>
      </c>
      <c r="P3292" s="20">
        <v>0.87</v>
      </c>
      <c r="Q3292" s="20">
        <v>0.13000000000000012</v>
      </c>
      <c r="R3292" s="20"/>
      <c r="S3292" s="20"/>
      <c r="T3292" s="20"/>
    </row>
    <row r="3293" spans="13:20" x14ac:dyDescent="0.2">
      <c r="M3293" s="20">
        <v>1.3876992723142755E-2</v>
      </c>
      <c r="N3293" s="20">
        <v>2.3304702018905219E-3</v>
      </c>
      <c r="O3293" s="20">
        <v>0.16793769719313761</v>
      </c>
      <c r="P3293" s="20">
        <v>0.8</v>
      </c>
      <c r="Q3293" s="20">
        <v>0.19999999999999996</v>
      </c>
      <c r="R3293" s="20"/>
      <c r="S3293" s="20"/>
      <c r="T3293" s="20"/>
    </row>
    <row r="3294" spans="13:20" x14ac:dyDescent="0.2">
      <c r="M3294" s="20">
        <v>1.4244000335516106E-2</v>
      </c>
      <c r="N3294" s="20">
        <v>1.9884612308425096E-3</v>
      </c>
      <c r="O3294" s="20">
        <v>0.13959991463103691</v>
      </c>
      <c r="P3294" s="20">
        <v>0.54</v>
      </c>
      <c r="Q3294" s="20">
        <v>0.45999999999999996</v>
      </c>
      <c r="R3294" s="20"/>
      <c r="S3294" s="20"/>
      <c r="T3294" s="20"/>
    </row>
    <row r="3295" spans="13:20" x14ac:dyDescent="0.2">
      <c r="M3295" s="20">
        <v>1.4598173478091841E-2</v>
      </c>
      <c r="N3295" s="20">
        <v>1.8963818924834291E-3</v>
      </c>
      <c r="O3295" s="20">
        <v>0.12990542243722597</v>
      </c>
      <c r="P3295" s="20">
        <v>0.47</v>
      </c>
      <c r="Q3295" s="20">
        <v>0.53000000000000014</v>
      </c>
      <c r="R3295" s="20"/>
      <c r="S3295" s="20"/>
      <c r="T3295" s="20"/>
    </row>
    <row r="3296" spans="13:20" x14ac:dyDescent="0.2">
      <c r="M3296" s="20">
        <v>1.206492048453863E-2</v>
      </c>
      <c r="N3296" s="20">
        <v>5.2441347163140238E-4</v>
      </c>
      <c r="O3296" s="20">
        <v>4.3465969983262284E-2</v>
      </c>
      <c r="P3296" s="20"/>
      <c r="Q3296" s="20"/>
      <c r="R3296" s="20"/>
      <c r="S3296" s="20">
        <v>1</v>
      </c>
      <c r="T3296" s="20">
        <v>0</v>
      </c>
    </row>
    <row r="3297" spans="13:20" x14ac:dyDescent="0.2">
      <c r="M3297" s="20">
        <v>1.5435797652496603E-2</v>
      </c>
      <c r="N3297" s="20">
        <v>1.3809120129927275E-3</v>
      </c>
      <c r="O3297" s="20">
        <v>8.9461655567205325E-2</v>
      </c>
      <c r="P3297" s="20">
        <v>0.02</v>
      </c>
      <c r="Q3297" s="20">
        <v>0.68</v>
      </c>
      <c r="R3297" s="20"/>
      <c r="S3297" s="20"/>
      <c r="T3297" s="20">
        <v>0.3</v>
      </c>
    </row>
    <row r="3298" spans="13:20" x14ac:dyDescent="0.2">
      <c r="M3298" s="20">
        <v>1.1886501898264552E-2</v>
      </c>
      <c r="N3298" s="20">
        <v>1.1889866891932927E-3</v>
      </c>
      <c r="O3298" s="20">
        <v>0.10002830936887214</v>
      </c>
      <c r="P3298" s="20"/>
      <c r="Q3298" s="20">
        <v>0.32</v>
      </c>
      <c r="R3298" s="20">
        <v>0.67999999999999994</v>
      </c>
      <c r="S3298" s="20"/>
      <c r="T3298" s="20"/>
    </row>
    <row r="3299" spans="13:20" x14ac:dyDescent="0.2">
      <c r="M3299" s="20">
        <v>9.79297442921662E-3</v>
      </c>
      <c r="N3299" s="20">
        <v>1.1422266297916634E-3</v>
      </c>
      <c r="O3299" s="20">
        <v>0.116637354467496</v>
      </c>
      <c r="P3299" s="20">
        <v>8.9999999999999969E-2</v>
      </c>
      <c r="Q3299" s="20"/>
      <c r="R3299" s="20">
        <v>0.11</v>
      </c>
      <c r="S3299" s="20">
        <v>0.44</v>
      </c>
      <c r="T3299" s="20">
        <v>0.36</v>
      </c>
    </row>
    <row r="3300" spans="13:20" x14ac:dyDescent="0.2">
      <c r="M3300" s="20">
        <v>1.4229806726489979E-2</v>
      </c>
      <c r="N3300" s="20">
        <v>2.4883204962203747E-3</v>
      </c>
      <c r="O3300" s="20">
        <v>0.17486678097940414</v>
      </c>
      <c r="P3300" s="20">
        <v>0.92</v>
      </c>
      <c r="Q3300" s="20">
        <v>7.999999999999996E-2</v>
      </c>
      <c r="R3300" s="20"/>
      <c r="S3300" s="20"/>
      <c r="T3300" s="20"/>
    </row>
    <row r="3301" spans="13:20" x14ac:dyDescent="0.2">
      <c r="M3301" s="20">
        <v>1.2469315274133525E-2</v>
      </c>
      <c r="N3301" s="20">
        <v>1.3801259372898998E-3</v>
      </c>
      <c r="O3301" s="20">
        <v>0.11068177417511024</v>
      </c>
      <c r="P3301" s="20"/>
      <c r="Q3301" s="20"/>
      <c r="R3301" s="20">
        <v>0.37</v>
      </c>
      <c r="S3301" s="20">
        <v>0.01</v>
      </c>
      <c r="T3301" s="20">
        <v>0.62</v>
      </c>
    </row>
    <row r="3302" spans="13:20" x14ac:dyDescent="0.2">
      <c r="M3302" s="20">
        <v>1.035247610350129E-2</v>
      </c>
      <c r="N3302" s="20">
        <v>1.206546136248811E-3</v>
      </c>
      <c r="O3302" s="20">
        <v>0.11654662364695026</v>
      </c>
      <c r="P3302" s="20"/>
      <c r="Q3302" s="20"/>
      <c r="R3302" s="20">
        <v>0.48</v>
      </c>
      <c r="S3302" s="20">
        <v>0.14000000000000001</v>
      </c>
      <c r="T3302" s="20">
        <v>0.38</v>
      </c>
    </row>
    <row r="3303" spans="13:20" x14ac:dyDescent="0.2">
      <c r="M3303" s="20">
        <v>1.3842810103737418E-2</v>
      </c>
      <c r="N3303" s="20">
        <v>1.8511876654240408E-3</v>
      </c>
      <c r="O3303" s="20">
        <v>0.13372918154271574</v>
      </c>
      <c r="P3303" s="20">
        <v>0.29999999999999993</v>
      </c>
      <c r="Q3303" s="20"/>
      <c r="R3303" s="20"/>
      <c r="S3303" s="20"/>
      <c r="T3303" s="20">
        <v>0.7</v>
      </c>
    </row>
    <row r="3304" spans="13:20" x14ac:dyDescent="0.2">
      <c r="M3304" s="20">
        <v>9.4979224674074953E-3</v>
      </c>
      <c r="N3304" s="20">
        <v>9.9274007695948369E-4</v>
      </c>
      <c r="O3304" s="20">
        <v>0.10452181309819189</v>
      </c>
      <c r="P3304" s="20"/>
      <c r="Q3304" s="20"/>
      <c r="R3304" s="20">
        <v>0.25</v>
      </c>
      <c r="S3304" s="20">
        <v>0.44</v>
      </c>
      <c r="T3304" s="20">
        <v>0.31000000000000005</v>
      </c>
    </row>
    <row r="3305" spans="13:20" x14ac:dyDescent="0.2">
      <c r="M3305" s="20">
        <v>1.2326514362375406E-2</v>
      </c>
      <c r="N3305" s="20">
        <v>1.4845962457831255E-3</v>
      </c>
      <c r="O3305" s="20">
        <v>0.12043925818271901</v>
      </c>
      <c r="P3305" s="20">
        <v>0.08</v>
      </c>
      <c r="Q3305" s="20">
        <v>0.22</v>
      </c>
      <c r="R3305" s="20">
        <v>0.20000000000000018</v>
      </c>
      <c r="S3305" s="20"/>
      <c r="T3305" s="20">
        <v>0.5</v>
      </c>
    </row>
    <row r="3306" spans="13:20" x14ac:dyDescent="0.2">
      <c r="M3306" s="20">
        <v>1.1765403577955511E-2</v>
      </c>
      <c r="N3306" s="20">
        <v>1.1531738699468769E-3</v>
      </c>
      <c r="O3306" s="20">
        <v>9.8013966312855152E-2</v>
      </c>
      <c r="P3306" s="20">
        <v>0.05</v>
      </c>
      <c r="Q3306" s="20">
        <v>0.35</v>
      </c>
      <c r="R3306" s="20">
        <v>0.42</v>
      </c>
      <c r="S3306" s="20">
        <v>0.17999999999999994</v>
      </c>
      <c r="T3306" s="20"/>
    </row>
    <row r="3307" spans="13:20" x14ac:dyDescent="0.2">
      <c r="M3307" s="20">
        <v>1.0793486480514062E-2</v>
      </c>
      <c r="N3307" s="20">
        <v>1.4923658531602441E-3</v>
      </c>
      <c r="O3307" s="20">
        <v>0.13826541181614257</v>
      </c>
      <c r="P3307" s="20">
        <v>0.14000000000000001</v>
      </c>
      <c r="Q3307" s="20">
        <v>0</v>
      </c>
      <c r="R3307" s="20">
        <v>0.49</v>
      </c>
      <c r="S3307" s="20"/>
      <c r="T3307" s="20">
        <v>0.37</v>
      </c>
    </row>
    <row r="3308" spans="13:20" x14ac:dyDescent="0.2">
      <c r="M3308" s="20">
        <v>1.2071617542513473E-2</v>
      </c>
      <c r="N3308" s="20">
        <v>1.1929196987740963E-3</v>
      </c>
      <c r="O3308" s="20">
        <v>9.8820203222385591E-2</v>
      </c>
      <c r="P3308" s="20"/>
      <c r="Q3308" s="20">
        <v>0.35</v>
      </c>
      <c r="R3308" s="20">
        <v>0.64999999999999991</v>
      </c>
      <c r="S3308" s="20"/>
      <c r="T3308" s="20"/>
    </row>
    <row r="3309" spans="13:20" x14ac:dyDescent="0.2">
      <c r="M3309" s="20">
        <v>9.9927369620703664E-3</v>
      </c>
      <c r="N3309" s="20">
        <v>7.3610465085606393E-4</v>
      </c>
      <c r="O3309" s="20">
        <v>7.3663967504609712E-2</v>
      </c>
      <c r="P3309" s="20"/>
      <c r="Q3309" s="20"/>
      <c r="R3309" s="20">
        <v>0.34</v>
      </c>
      <c r="S3309" s="20">
        <v>0.65999999999999992</v>
      </c>
      <c r="T3309" s="20"/>
    </row>
    <row r="3310" spans="13:20" x14ac:dyDescent="0.2">
      <c r="M3310" s="20">
        <v>1.4525629572576098E-2</v>
      </c>
      <c r="N3310" s="20">
        <v>1.2296277881949304E-3</v>
      </c>
      <c r="O3310" s="20">
        <v>8.4652288704678696E-2</v>
      </c>
      <c r="P3310" s="20"/>
      <c r="Q3310" s="20">
        <v>0.63</v>
      </c>
      <c r="R3310" s="20">
        <v>0.37000000000000011</v>
      </c>
      <c r="S3310" s="20"/>
      <c r="T3310" s="20"/>
    </row>
    <row r="3311" spans="13:20" x14ac:dyDescent="0.2">
      <c r="M3311" s="20">
        <v>1.4517423369583797E-2</v>
      </c>
      <c r="N3311" s="20">
        <v>1.3742797320724857E-3</v>
      </c>
      <c r="O3311" s="20">
        <v>9.4664162991334261E-2</v>
      </c>
      <c r="P3311" s="20">
        <v>0.1</v>
      </c>
      <c r="Q3311" s="20">
        <v>0.63</v>
      </c>
      <c r="R3311" s="20">
        <v>0.27</v>
      </c>
      <c r="S3311" s="20"/>
      <c r="T3311" s="20"/>
    </row>
    <row r="3312" spans="13:20" x14ac:dyDescent="0.2">
      <c r="M3312" s="20">
        <v>1.1729239381610176E-2</v>
      </c>
      <c r="N3312" s="20">
        <v>5.5317827691454444E-4</v>
      </c>
      <c r="O3312" s="20">
        <v>4.716233158152193E-2</v>
      </c>
      <c r="P3312" s="20"/>
      <c r="Q3312" s="20"/>
      <c r="R3312" s="20">
        <v>0.03</v>
      </c>
      <c r="S3312" s="20">
        <v>0.96</v>
      </c>
      <c r="T3312" s="20">
        <v>1.0000000000000009E-2</v>
      </c>
    </row>
    <row r="3313" spans="13:20" x14ac:dyDescent="0.2">
      <c r="M3313" s="20">
        <v>1.0495771754705738E-2</v>
      </c>
      <c r="N3313" s="20">
        <v>1.081168270694925E-3</v>
      </c>
      <c r="O3313" s="20">
        <v>0.10300988778744997</v>
      </c>
      <c r="P3313" s="20"/>
      <c r="Q3313" s="20">
        <v>0.02</v>
      </c>
      <c r="R3313" s="20">
        <v>0.87</v>
      </c>
      <c r="S3313" s="20">
        <v>0.10999999999999999</v>
      </c>
      <c r="T3313" s="20"/>
    </row>
    <row r="3314" spans="13:20" x14ac:dyDescent="0.2">
      <c r="M3314" s="20">
        <v>9.5732977198468207E-3</v>
      </c>
      <c r="N3314" s="20">
        <v>8.917599296977269E-4</v>
      </c>
      <c r="O3314" s="20">
        <v>9.3150757011241855E-2</v>
      </c>
      <c r="P3314" s="20"/>
      <c r="Q3314" s="20"/>
      <c r="R3314" s="20">
        <v>0.59</v>
      </c>
      <c r="S3314" s="20">
        <v>0.41000000000000003</v>
      </c>
      <c r="T3314" s="20"/>
    </row>
    <row r="3315" spans="13:20" x14ac:dyDescent="0.2">
      <c r="M3315" s="20">
        <v>1.320033963082907E-2</v>
      </c>
      <c r="N3315" s="20">
        <v>1.9996609374939543E-3</v>
      </c>
      <c r="O3315" s="20">
        <v>0.15148556729735918</v>
      </c>
      <c r="P3315" s="20">
        <v>0.43999999999999995</v>
      </c>
      <c r="Q3315" s="20"/>
      <c r="R3315" s="20"/>
      <c r="S3315" s="20"/>
      <c r="T3315" s="20">
        <v>0.56000000000000005</v>
      </c>
    </row>
    <row r="3316" spans="13:20" x14ac:dyDescent="0.2">
      <c r="M3316" s="20">
        <v>1.4148879873072288E-2</v>
      </c>
      <c r="N3316" s="20">
        <v>2.4620121138320657E-3</v>
      </c>
      <c r="O3316" s="20">
        <v>0.17400756356110503</v>
      </c>
      <c r="P3316" s="20">
        <v>0.9</v>
      </c>
      <c r="Q3316" s="20">
        <v>9.9999999999999978E-2</v>
      </c>
      <c r="R3316" s="20"/>
      <c r="S3316" s="20"/>
      <c r="T3316" s="20"/>
    </row>
    <row r="3317" spans="13:20" x14ac:dyDescent="0.2">
      <c r="M3317" s="20">
        <v>1.0327642931333078E-2</v>
      </c>
      <c r="N3317" s="20">
        <v>6.9849601351354039E-4</v>
      </c>
      <c r="O3317" s="20">
        <v>6.763363316854909E-2</v>
      </c>
      <c r="P3317" s="20"/>
      <c r="Q3317" s="20"/>
      <c r="R3317" s="20">
        <v>0.15</v>
      </c>
      <c r="S3317" s="20">
        <v>0.77</v>
      </c>
      <c r="T3317" s="20">
        <v>7.999999999999996E-2</v>
      </c>
    </row>
    <row r="3318" spans="13:20" x14ac:dyDescent="0.2">
      <c r="M3318" s="20">
        <v>1.4319271568267723E-2</v>
      </c>
      <c r="N3318" s="20">
        <v>2.5146288786086829E-3</v>
      </c>
      <c r="O3318" s="20">
        <v>0.17561150835222905</v>
      </c>
      <c r="P3318" s="20">
        <v>0.94</v>
      </c>
      <c r="Q3318" s="20">
        <v>5.9999999999999942E-2</v>
      </c>
      <c r="R3318" s="20"/>
      <c r="S3318" s="20"/>
      <c r="T3318" s="20"/>
    </row>
    <row r="3319" spans="13:20" x14ac:dyDescent="0.2">
      <c r="M3319" s="20">
        <v>1.0771371211474822E-2</v>
      </c>
      <c r="N3319" s="20">
        <v>1.8518519431591301E-3</v>
      </c>
      <c r="O3319" s="20">
        <v>0.17192350971864551</v>
      </c>
      <c r="P3319" s="20">
        <v>0.48</v>
      </c>
      <c r="Q3319" s="20">
        <v>0.08</v>
      </c>
      <c r="R3319" s="20">
        <v>0.43999999999999995</v>
      </c>
      <c r="S3319" s="20"/>
      <c r="T3319" s="20"/>
    </row>
    <row r="3320" spans="13:20" x14ac:dyDescent="0.2">
      <c r="M3320" s="20">
        <v>1.7613123556929056E-2</v>
      </c>
      <c r="N3320" s="20">
        <v>1.2637138712285616E-3</v>
      </c>
      <c r="O3320" s="20">
        <v>7.1748424811986997E-2</v>
      </c>
      <c r="P3320" s="20"/>
      <c r="Q3320" s="20">
        <v>0.89</v>
      </c>
      <c r="R3320" s="20">
        <v>0.10999999999999988</v>
      </c>
      <c r="S3320" s="20"/>
      <c r="T3320" s="20"/>
    </row>
    <row r="3321" spans="13:20" x14ac:dyDescent="0.2">
      <c r="M3321" s="20">
        <v>1.3104407967747608E-2</v>
      </c>
      <c r="N3321" s="20">
        <v>2.2919189705038123E-3</v>
      </c>
      <c r="O3321" s="20">
        <v>0.17489679626463495</v>
      </c>
      <c r="P3321" s="20">
        <v>0.73</v>
      </c>
      <c r="Q3321" s="20">
        <v>6.0000000000000053E-2</v>
      </c>
      <c r="R3321" s="20"/>
      <c r="S3321" s="20"/>
      <c r="T3321" s="20">
        <v>0.21</v>
      </c>
    </row>
    <row r="3322" spans="13:20" x14ac:dyDescent="0.2">
      <c r="M3322" s="20">
        <v>1.3902640725373946E-2</v>
      </c>
      <c r="N3322" s="20">
        <v>1.8405824317047612E-3</v>
      </c>
      <c r="O3322" s="20">
        <v>0.13239085063497921</v>
      </c>
      <c r="P3322" s="20">
        <v>0.29000000000000004</v>
      </c>
      <c r="Q3322" s="20"/>
      <c r="R3322" s="20"/>
      <c r="S3322" s="20"/>
      <c r="T3322" s="20">
        <v>0.71</v>
      </c>
    </row>
    <row r="3323" spans="13:20" x14ac:dyDescent="0.2">
      <c r="M3323" s="20">
        <v>1.0240550212973458E-2</v>
      </c>
      <c r="N3323" s="20">
        <v>1.1425603283883789E-3</v>
      </c>
      <c r="O3323" s="20">
        <v>0.11157216210325323</v>
      </c>
      <c r="P3323" s="20">
        <v>0.24999999999999989</v>
      </c>
      <c r="Q3323" s="20"/>
      <c r="R3323" s="20"/>
      <c r="S3323" s="20">
        <v>0.65</v>
      </c>
      <c r="T3323" s="20">
        <v>0.1</v>
      </c>
    </row>
    <row r="3324" spans="13:20" x14ac:dyDescent="0.2">
      <c r="M3324" s="20">
        <v>1.3674008432626254E-2</v>
      </c>
      <c r="N3324" s="20">
        <v>1.8830033665818799E-3</v>
      </c>
      <c r="O3324" s="20">
        <v>0.1377067577411335</v>
      </c>
      <c r="P3324" s="20">
        <v>0.33000000000000007</v>
      </c>
      <c r="Q3324" s="20"/>
      <c r="R3324" s="20"/>
      <c r="S3324" s="20"/>
      <c r="T3324" s="20">
        <v>0.67</v>
      </c>
    </row>
    <row r="3325" spans="13:20" x14ac:dyDescent="0.2">
      <c r="M3325" s="20">
        <v>1.0744266522931405E-2</v>
      </c>
      <c r="N3325" s="20">
        <v>6.9639745450496228E-4</v>
      </c>
      <c r="O3325" s="20">
        <v>6.4815727813401364E-2</v>
      </c>
      <c r="P3325" s="20">
        <v>1.0000000000000009E-2</v>
      </c>
      <c r="Q3325" s="20"/>
      <c r="R3325" s="20"/>
      <c r="S3325" s="20">
        <v>0.84</v>
      </c>
      <c r="T3325" s="20">
        <v>0.15</v>
      </c>
    </row>
    <row r="3326" spans="13:20" x14ac:dyDescent="0.2">
      <c r="M3326" s="20">
        <v>1.1828804506508932E-2</v>
      </c>
      <c r="N3326" s="20">
        <v>1.1876756859996917E-3</v>
      </c>
      <c r="O3326" s="20">
        <v>0.10040538630477493</v>
      </c>
      <c r="P3326" s="20"/>
      <c r="Q3326" s="20">
        <v>0.31</v>
      </c>
      <c r="R3326" s="20">
        <v>0.69000000000000006</v>
      </c>
      <c r="S3326" s="20"/>
      <c r="T3326" s="20"/>
    </row>
    <row r="3327" spans="13:20" x14ac:dyDescent="0.2">
      <c r="M3327" s="20">
        <v>1.3834362163160023E-2</v>
      </c>
      <c r="N3327" s="20">
        <v>2.1989282899489791E-3</v>
      </c>
      <c r="O3327" s="20">
        <v>0.15894685017026497</v>
      </c>
      <c r="P3327" s="20">
        <v>0.7</v>
      </c>
      <c r="Q3327" s="20">
        <v>0.30000000000000016</v>
      </c>
      <c r="R3327" s="20"/>
      <c r="S3327" s="20"/>
      <c r="T3327" s="20"/>
    </row>
    <row r="3328" spans="13:20" x14ac:dyDescent="0.2">
      <c r="M3328" s="20">
        <v>1.3974092198420055E-2</v>
      </c>
      <c r="N3328" s="20">
        <v>1.7141384347129675E-3</v>
      </c>
      <c r="O3328" s="20">
        <v>0.12266545907767605</v>
      </c>
      <c r="P3328" s="20">
        <v>0.19</v>
      </c>
      <c r="Q3328" s="20">
        <v>7.999999999999996E-2</v>
      </c>
      <c r="R3328" s="20"/>
      <c r="S3328" s="20"/>
      <c r="T3328" s="20">
        <v>0.73</v>
      </c>
    </row>
    <row r="3329" spans="13:20" x14ac:dyDescent="0.2">
      <c r="M3329" s="20">
        <v>1.1401739475669198E-2</v>
      </c>
      <c r="N3329" s="20">
        <v>5.9501667438639999E-4</v>
      </c>
      <c r="O3329" s="20">
        <v>5.2186482216695008E-2</v>
      </c>
      <c r="P3329" s="20"/>
      <c r="Q3329" s="20"/>
      <c r="R3329" s="20"/>
      <c r="S3329" s="20">
        <v>0.93</v>
      </c>
      <c r="T3329" s="20">
        <v>6.9999999999999951E-2</v>
      </c>
    </row>
    <row r="3330" spans="13:20" x14ac:dyDescent="0.2">
      <c r="M3330" s="20">
        <v>1.0717294861603555E-2</v>
      </c>
      <c r="N3330" s="20">
        <v>1.1053874980611271E-3</v>
      </c>
      <c r="O3330" s="20">
        <v>0.10314053241376767</v>
      </c>
      <c r="P3330" s="20"/>
      <c r="Q3330" s="20">
        <v>0.2</v>
      </c>
      <c r="R3330" s="20">
        <v>0.61</v>
      </c>
      <c r="S3330" s="20">
        <v>0.14000000000000001</v>
      </c>
      <c r="T3330" s="20">
        <v>5.0000000000000044E-2</v>
      </c>
    </row>
    <row r="3331" spans="13:20" x14ac:dyDescent="0.2">
      <c r="M3331" s="20">
        <v>1.1175140626029936E-2</v>
      </c>
      <c r="N3331" s="20">
        <v>5.991280054754005E-4</v>
      </c>
      <c r="O3331" s="20">
        <v>5.3612569678082506E-2</v>
      </c>
      <c r="P3331" s="20"/>
      <c r="Q3331" s="20"/>
      <c r="R3331" s="20">
        <v>0.12</v>
      </c>
      <c r="S3331" s="20">
        <v>0.87999999999999989</v>
      </c>
      <c r="T3331" s="20"/>
    </row>
    <row r="3332" spans="13:20" x14ac:dyDescent="0.2">
      <c r="M3332" s="20">
        <v>1.359938778844179E-2</v>
      </c>
      <c r="N3332" s="20">
        <v>2.423870286265136E-3</v>
      </c>
      <c r="O3332" s="20">
        <v>0.17823377963566855</v>
      </c>
      <c r="P3332" s="20">
        <v>0.84</v>
      </c>
      <c r="Q3332" s="20"/>
      <c r="R3332" s="20"/>
      <c r="S3332" s="20"/>
      <c r="T3332" s="20">
        <v>0.16</v>
      </c>
    </row>
    <row r="3333" spans="13:20" x14ac:dyDescent="0.2">
      <c r="M3333" s="20">
        <v>1.265287251970976E-2</v>
      </c>
      <c r="N3333" s="20">
        <v>2.2687205740168385E-3</v>
      </c>
      <c r="O3333" s="20">
        <v>0.17930478399136512</v>
      </c>
      <c r="P3333" s="20">
        <v>0.77</v>
      </c>
      <c r="Q3333" s="20">
        <v>0.06</v>
      </c>
      <c r="R3333" s="20">
        <v>0.16999999999999993</v>
      </c>
      <c r="S3333" s="20"/>
      <c r="T3333" s="20"/>
    </row>
    <row r="3334" spans="13:20" x14ac:dyDescent="0.2">
      <c r="M3334" s="20">
        <v>9.4385560935611058E-3</v>
      </c>
      <c r="N3334" s="20">
        <v>8.616198432716309E-4</v>
      </c>
      <c r="O3334" s="20">
        <v>9.1287251432390165E-2</v>
      </c>
      <c r="P3334" s="20"/>
      <c r="Q3334" s="20"/>
      <c r="R3334" s="20">
        <v>0.25</v>
      </c>
      <c r="S3334" s="20">
        <v>0.56999999999999995</v>
      </c>
      <c r="T3334" s="20">
        <v>0.18000000000000016</v>
      </c>
    </row>
    <row r="3335" spans="13:20" x14ac:dyDescent="0.2">
      <c r="M3335" s="20">
        <v>1.2223536566393722E-2</v>
      </c>
      <c r="N3335" s="20">
        <v>2.196394602078061E-3</v>
      </c>
      <c r="O3335" s="20">
        <v>0.1796856899922587</v>
      </c>
      <c r="P3335" s="20">
        <v>0.72</v>
      </c>
      <c r="Q3335" s="20">
        <v>0.06</v>
      </c>
      <c r="R3335" s="20">
        <v>0.21999999999999997</v>
      </c>
      <c r="S3335" s="20"/>
      <c r="T3335" s="20"/>
    </row>
    <row r="3336" spans="13:20" x14ac:dyDescent="0.2">
      <c r="M3336" s="20">
        <v>1.0180721706546275E-2</v>
      </c>
      <c r="N3336" s="20">
        <v>1.3898190710911694E-3</v>
      </c>
      <c r="O3336" s="20">
        <v>0.13651478855349777</v>
      </c>
      <c r="P3336" s="20">
        <v>0.34999999999999987</v>
      </c>
      <c r="Q3336" s="20"/>
      <c r="R3336" s="20"/>
      <c r="S3336" s="20">
        <v>0.51</v>
      </c>
      <c r="T3336" s="20">
        <v>0.14000000000000001</v>
      </c>
    </row>
    <row r="3337" spans="13:20" x14ac:dyDescent="0.2">
      <c r="M3337" s="20">
        <v>1.0477683370083909E-2</v>
      </c>
      <c r="N3337" s="20">
        <v>1.6037049269447112E-3</v>
      </c>
      <c r="O3337" s="20">
        <v>0.15305911338413236</v>
      </c>
      <c r="P3337" s="20">
        <v>0.39</v>
      </c>
      <c r="Q3337" s="20">
        <v>0</v>
      </c>
      <c r="R3337" s="20"/>
      <c r="S3337" s="20">
        <v>0.34</v>
      </c>
      <c r="T3337" s="20">
        <v>0.27</v>
      </c>
    </row>
    <row r="3338" spans="13:20" x14ac:dyDescent="0.2">
      <c r="M3338" s="20">
        <v>1.1963198236748265E-2</v>
      </c>
      <c r="N3338" s="20">
        <v>5.3449964345354513E-4</v>
      </c>
      <c r="O3338" s="20">
        <v>4.4678658070856171E-2</v>
      </c>
      <c r="P3338" s="20"/>
      <c r="Q3338" s="20"/>
      <c r="R3338" s="20"/>
      <c r="S3338" s="20">
        <v>0.99</v>
      </c>
      <c r="T3338" s="20">
        <v>1.000000000000012E-2</v>
      </c>
    </row>
    <row r="3339" spans="13:20" x14ac:dyDescent="0.2">
      <c r="M3339" s="20">
        <v>1.1499908443407451E-2</v>
      </c>
      <c r="N3339" s="20">
        <v>9.7915463413128533E-4</v>
      </c>
      <c r="O3339" s="20">
        <v>8.5144559102347014E-2</v>
      </c>
      <c r="P3339" s="20"/>
      <c r="Q3339" s="20">
        <v>0.3</v>
      </c>
      <c r="R3339" s="20">
        <v>0.27</v>
      </c>
      <c r="S3339" s="20">
        <v>0.37</v>
      </c>
      <c r="T3339" s="20">
        <v>5.9999999999999942E-2</v>
      </c>
    </row>
    <row r="3340" spans="13:20" x14ac:dyDescent="0.2">
      <c r="M3340" s="20">
        <v>1.4367156485985239E-2</v>
      </c>
      <c r="N3340" s="20">
        <v>2.5277830698028371E-3</v>
      </c>
      <c r="O3340" s="20">
        <v>0.17594177889470466</v>
      </c>
      <c r="P3340" s="20">
        <v>0.95</v>
      </c>
      <c r="Q3340" s="20">
        <v>4.9999999999999933E-2</v>
      </c>
      <c r="R3340" s="20"/>
      <c r="S3340" s="20"/>
      <c r="T3340" s="20"/>
    </row>
    <row r="3341" spans="13:20" x14ac:dyDescent="0.2">
      <c r="M3341" s="20">
        <v>1.1376920281012446E-2</v>
      </c>
      <c r="N3341" s="20">
        <v>1.5569910505943225E-3</v>
      </c>
      <c r="O3341" s="20">
        <v>0.13685523077742476</v>
      </c>
      <c r="P3341" s="20">
        <v>0.21</v>
      </c>
      <c r="Q3341" s="20">
        <v>0.28000000000000003</v>
      </c>
      <c r="R3341" s="20">
        <v>0.33000000000000007</v>
      </c>
      <c r="S3341" s="20"/>
      <c r="T3341" s="20">
        <v>0.18</v>
      </c>
    </row>
    <row r="3342" spans="13:20" x14ac:dyDescent="0.2">
      <c r="M3342" s="20">
        <v>1.1655956712977653E-2</v>
      </c>
      <c r="N3342" s="20">
        <v>1.9877935842038618E-3</v>
      </c>
      <c r="O3342" s="20">
        <v>0.17053886121511311</v>
      </c>
      <c r="P3342" s="20">
        <v>0.6</v>
      </c>
      <c r="Q3342" s="20"/>
      <c r="R3342" s="20"/>
      <c r="S3342" s="20">
        <v>0.18</v>
      </c>
      <c r="T3342" s="20">
        <v>0.22</v>
      </c>
    </row>
    <row r="3343" spans="13:20" x14ac:dyDescent="0.2">
      <c r="M3343" s="20">
        <v>9.4631693011843054E-3</v>
      </c>
      <c r="N3343" s="20">
        <v>1.0507724283668168E-3</v>
      </c>
      <c r="O3343" s="20">
        <v>0.11103810942443075</v>
      </c>
      <c r="P3343" s="20"/>
      <c r="Q3343" s="20"/>
      <c r="R3343" s="20">
        <v>0.56999999999999995</v>
      </c>
      <c r="S3343" s="20">
        <v>0.26</v>
      </c>
      <c r="T3343" s="20">
        <v>0.17000000000000004</v>
      </c>
    </row>
    <row r="3344" spans="13:20" x14ac:dyDescent="0.2">
      <c r="M3344" s="20">
        <v>1.2977494831131907E-2</v>
      </c>
      <c r="N3344" s="20">
        <v>1.208651737097311E-3</v>
      </c>
      <c r="O3344" s="20">
        <v>9.31344418028862E-2</v>
      </c>
      <c r="P3344" s="20"/>
      <c r="Q3344" s="20">
        <v>0.47</v>
      </c>
      <c r="R3344" s="20">
        <v>0.53</v>
      </c>
      <c r="S3344" s="20"/>
      <c r="T3344" s="20"/>
    </row>
    <row r="3345" spans="13:20" x14ac:dyDescent="0.2">
      <c r="M3345" s="20">
        <v>9.9178413612654118E-3</v>
      </c>
      <c r="N3345" s="20">
        <v>9.9760551931005778E-4</v>
      </c>
      <c r="O3345" s="20">
        <v>0.10058696070762457</v>
      </c>
      <c r="P3345" s="20"/>
      <c r="Q3345" s="20"/>
      <c r="R3345" s="20">
        <v>0.76</v>
      </c>
      <c r="S3345" s="20">
        <v>0.24</v>
      </c>
      <c r="T3345" s="20"/>
    </row>
    <row r="3346" spans="13:20" x14ac:dyDescent="0.2">
      <c r="M3346" s="20">
        <v>1.323406954811086E-2</v>
      </c>
      <c r="N3346" s="20">
        <v>1.9028005534487123E-3</v>
      </c>
      <c r="O3346" s="20">
        <v>0.14378045593090705</v>
      </c>
      <c r="P3346" s="20">
        <v>0.44</v>
      </c>
      <c r="Q3346" s="20">
        <v>0.38</v>
      </c>
      <c r="R3346" s="20"/>
      <c r="S3346" s="20"/>
      <c r="T3346" s="20">
        <v>0.18</v>
      </c>
    </row>
    <row r="3347" spans="13:20" x14ac:dyDescent="0.2">
      <c r="M3347" s="20">
        <v>1.1419715928306165E-2</v>
      </c>
      <c r="N3347" s="20">
        <v>1.4949309622734764E-3</v>
      </c>
      <c r="O3347" s="20">
        <v>0.13090789400180924</v>
      </c>
      <c r="P3347" s="20">
        <v>0.15</v>
      </c>
      <c r="Q3347" s="20">
        <v>0.15999999999999992</v>
      </c>
      <c r="R3347" s="20">
        <v>0.17</v>
      </c>
      <c r="S3347" s="20">
        <v>0.09</v>
      </c>
      <c r="T3347" s="20">
        <v>0.43</v>
      </c>
    </row>
    <row r="3348" spans="13:20" x14ac:dyDescent="0.2">
      <c r="M3348" s="20">
        <v>9.8211596976906772E-3</v>
      </c>
      <c r="N3348" s="20">
        <v>9.7892688584905814E-4</v>
      </c>
      <c r="O3348" s="20">
        <v>9.9675284384107984E-2</v>
      </c>
      <c r="P3348" s="20"/>
      <c r="Q3348" s="20"/>
      <c r="R3348" s="20">
        <v>0.73</v>
      </c>
      <c r="S3348" s="20">
        <v>0.27</v>
      </c>
      <c r="T3348" s="20"/>
    </row>
    <row r="3349" spans="13:20" x14ac:dyDescent="0.2">
      <c r="M3349" s="20">
        <v>1.1692673745779494E-2</v>
      </c>
      <c r="N3349" s="20">
        <v>1.2219165130506475E-3</v>
      </c>
      <c r="O3349" s="20">
        <v>0.10450274587467233</v>
      </c>
      <c r="P3349" s="20">
        <v>3.0000000000000027E-2</v>
      </c>
      <c r="Q3349" s="20"/>
      <c r="R3349" s="20"/>
      <c r="S3349" s="20">
        <v>0.34</v>
      </c>
      <c r="T3349" s="20">
        <v>0.63</v>
      </c>
    </row>
    <row r="3350" spans="13:20" x14ac:dyDescent="0.2">
      <c r="M3350" s="20">
        <v>1.0698354787249963E-2</v>
      </c>
      <c r="N3350" s="20">
        <v>1.3004523750870039E-3</v>
      </c>
      <c r="O3350" s="20">
        <v>0.12155629542561545</v>
      </c>
      <c r="P3350" s="20">
        <v>7.0000000000000007E-2</v>
      </c>
      <c r="Q3350" s="20">
        <v>0</v>
      </c>
      <c r="R3350" s="20">
        <v>0.22</v>
      </c>
      <c r="S3350" s="20">
        <v>0.21999999999999997</v>
      </c>
      <c r="T3350" s="20">
        <v>0.49</v>
      </c>
    </row>
    <row r="3351" spans="13:20" x14ac:dyDescent="0.2">
      <c r="M3351" s="20">
        <v>1.1619582825234074E-2</v>
      </c>
      <c r="N3351" s="20">
        <v>2.0570792055549518E-3</v>
      </c>
      <c r="O3351" s="20">
        <v>0.17703554735955096</v>
      </c>
      <c r="P3351" s="20">
        <v>0.64</v>
      </c>
      <c r="Q3351" s="20">
        <v>7.0000000000000007E-2</v>
      </c>
      <c r="R3351" s="20">
        <v>0.25</v>
      </c>
      <c r="S3351" s="20">
        <v>4.0000000000000036E-2</v>
      </c>
      <c r="T3351" s="20"/>
    </row>
    <row r="3352" spans="13:20" x14ac:dyDescent="0.2">
      <c r="M3352" s="20">
        <v>1.3542724826005806E-2</v>
      </c>
      <c r="N3352" s="20">
        <v>1.641037475581159E-3</v>
      </c>
      <c r="O3352" s="20">
        <v>0.12117483716644008</v>
      </c>
      <c r="P3352" s="20">
        <v>0.21</v>
      </c>
      <c r="Q3352" s="20">
        <v>0.44999999999999984</v>
      </c>
      <c r="R3352" s="20"/>
      <c r="S3352" s="20"/>
      <c r="T3352" s="20">
        <v>0.34</v>
      </c>
    </row>
    <row r="3353" spans="13:20" x14ac:dyDescent="0.2">
      <c r="M3353" s="20">
        <v>1.8661079521685268E-2</v>
      </c>
      <c r="N3353" s="20">
        <v>1.2742018967773713E-3</v>
      </c>
      <c r="O3353" s="20">
        <v>6.8281253252078691E-2</v>
      </c>
      <c r="P3353" s="20"/>
      <c r="Q3353" s="20">
        <v>0.97</v>
      </c>
      <c r="R3353" s="20">
        <v>3.0000000000000027E-2</v>
      </c>
      <c r="S3353" s="20"/>
      <c r="T3353" s="20"/>
    </row>
    <row r="3354" spans="13:20" x14ac:dyDescent="0.2">
      <c r="M3354" s="20">
        <v>1.4452811593038477E-2</v>
      </c>
      <c r="N3354" s="20">
        <v>1.7244439226898234E-3</v>
      </c>
      <c r="O3354" s="20">
        <v>0.11931546409422791</v>
      </c>
      <c r="P3354" s="20">
        <v>0.18999999999999995</v>
      </c>
      <c r="Q3354" s="20"/>
      <c r="R3354" s="20"/>
      <c r="S3354" s="20">
        <v>0.01</v>
      </c>
      <c r="T3354" s="20">
        <v>0.8</v>
      </c>
    </row>
    <row r="3355" spans="13:20" x14ac:dyDescent="0.2">
      <c r="M3355" s="20">
        <v>1.4368989816425542E-2</v>
      </c>
      <c r="N3355" s="20">
        <v>1.7663457956698042E-3</v>
      </c>
      <c r="O3355" s="20">
        <v>0.12292762527054277</v>
      </c>
      <c r="P3355" s="20">
        <v>0.21999999999999986</v>
      </c>
      <c r="Q3355" s="20"/>
      <c r="R3355" s="20"/>
      <c r="S3355" s="20"/>
      <c r="T3355" s="20">
        <v>0.78</v>
      </c>
    </row>
    <row r="3356" spans="13:20" x14ac:dyDescent="0.2">
      <c r="M3356" s="20">
        <v>9.9547357120189899E-3</v>
      </c>
      <c r="N3356" s="20">
        <v>1.273680562076232E-3</v>
      </c>
      <c r="O3356" s="20">
        <v>0.12794720009878674</v>
      </c>
      <c r="P3356" s="20">
        <v>0.25</v>
      </c>
      <c r="Q3356" s="20"/>
      <c r="R3356" s="20"/>
      <c r="S3356" s="20">
        <v>0.52</v>
      </c>
      <c r="T3356" s="20">
        <v>0.23</v>
      </c>
    </row>
    <row r="3357" spans="13:20" x14ac:dyDescent="0.2">
      <c r="M3357" s="20">
        <v>1.0840390896534003E-2</v>
      </c>
      <c r="N3357" s="20">
        <v>1.0589805782049559E-3</v>
      </c>
      <c r="O3357" s="20">
        <v>9.7688412559324186E-2</v>
      </c>
      <c r="P3357" s="20"/>
      <c r="Q3357" s="20"/>
      <c r="R3357" s="20"/>
      <c r="S3357" s="20">
        <v>0.47</v>
      </c>
      <c r="T3357" s="20">
        <v>0.52999999999999992</v>
      </c>
    </row>
    <row r="3358" spans="13:20" x14ac:dyDescent="0.2">
      <c r="M3358" s="20">
        <v>1.1234592652910182E-2</v>
      </c>
      <c r="N3358" s="20">
        <v>6.1518901803068484E-4</v>
      </c>
      <c r="O3358" s="20">
        <v>5.4758462281347398E-2</v>
      </c>
      <c r="P3358" s="20"/>
      <c r="Q3358" s="20"/>
      <c r="R3358" s="20"/>
      <c r="S3358" s="20">
        <v>0.91</v>
      </c>
      <c r="T3358" s="20">
        <v>8.9999999999999858E-2</v>
      </c>
    </row>
    <row r="3359" spans="13:20" x14ac:dyDescent="0.2">
      <c r="M3359" s="20">
        <v>1.4206750705193845E-2</v>
      </c>
      <c r="N3359" s="20">
        <v>9.5993209576498962E-4</v>
      </c>
      <c r="O3359" s="20">
        <v>6.756872952054041E-2</v>
      </c>
      <c r="P3359" s="20"/>
      <c r="Q3359" s="20">
        <v>0.52</v>
      </c>
      <c r="R3359" s="20">
        <v>7.0000000000000007E-2</v>
      </c>
      <c r="S3359" s="20">
        <v>0.40999999999999992</v>
      </c>
      <c r="T3359" s="20"/>
    </row>
    <row r="3360" spans="13:20" x14ac:dyDescent="0.2">
      <c r="M3360" s="20">
        <v>1.383981491350712E-2</v>
      </c>
      <c r="N3360" s="20">
        <v>2.2910076283080591E-3</v>
      </c>
      <c r="O3360" s="20">
        <v>0.16553744704144308</v>
      </c>
      <c r="P3360" s="20">
        <v>0.77</v>
      </c>
      <c r="Q3360" s="20">
        <v>0.22999999999999998</v>
      </c>
      <c r="R3360" s="20"/>
      <c r="S3360" s="20"/>
      <c r="T3360" s="20"/>
    </row>
    <row r="3361" spans="13:20" x14ac:dyDescent="0.2">
      <c r="M3361" s="20">
        <v>1.4111664700453743E-2</v>
      </c>
      <c r="N3361" s="20">
        <v>2.4488579226379114E-3</v>
      </c>
      <c r="O3361" s="20">
        <v>0.17353430474855114</v>
      </c>
      <c r="P3361" s="20">
        <v>0.89</v>
      </c>
      <c r="Q3361" s="20">
        <v>0.10999999999999999</v>
      </c>
      <c r="R3361" s="20"/>
      <c r="S3361" s="20"/>
      <c r="T3361" s="20"/>
    </row>
    <row r="3362" spans="13:20" x14ac:dyDescent="0.2">
      <c r="M3362" s="20">
        <v>1.3826620564832233E-2</v>
      </c>
      <c r="N3362" s="20">
        <v>2.2646992459197505E-3</v>
      </c>
      <c r="O3362" s="20">
        <v>0.16379268059759833</v>
      </c>
      <c r="P3362" s="20">
        <v>0.75</v>
      </c>
      <c r="Q3362" s="20">
        <v>0.25</v>
      </c>
      <c r="R3362" s="20"/>
      <c r="S3362" s="20"/>
      <c r="T3362" s="20"/>
    </row>
    <row r="3363" spans="13:20" x14ac:dyDescent="0.2">
      <c r="M3363" s="20">
        <v>1.3874442384911178E-2</v>
      </c>
      <c r="N3363" s="20">
        <v>1.9292894500978859E-3</v>
      </c>
      <c r="O3363" s="20">
        <v>0.13905347664249476</v>
      </c>
      <c r="P3363" s="20">
        <v>0.5</v>
      </c>
      <c r="Q3363" s="20">
        <v>0.45</v>
      </c>
      <c r="R3363" s="20">
        <v>5.0000000000000044E-2</v>
      </c>
      <c r="S3363" s="20"/>
      <c r="T3363" s="20"/>
    </row>
    <row r="3364" spans="13:20" x14ac:dyDescent="0.2">
      <c r="M3364" s="20">
        <v>1.1863708145930605E-2</v>
      </c>
      <c r="N3364" s="20">
        <v>5.4458581527568745E-4</v>
      </c>
      <c r="O3364" s="20">
        <v>4.5903507451208414E-2</v>
      </c>
      <c r="P3364" s="20"/>
      <c r="Q3364" s="20"/>
      <c r="R3364" s="20"/>
      <c r="S3364" s="20">
        <v>0.98</v>
      </c>
      <c r="T3364" s="20">
        <v>2.0000000000000018E-2</v>
      </c>
    </row>
    <row r="3365" spans="13:20" x14ac:dyDescent="0.2">
      <c r="M3365" s="20">
        <v>1.0192156839305608E-2</v>
      </c>
      <c r="N3365" s="20">
        <v>8.4717096993996315E-4</v>
      </c>
      <c r="O3365" s="20">
        <v>8.3119891431898421E-2</v>
      </c>
      <c r="P3365" s="20">
        <v>0</v>
      </c>
      <c r="Q3365" s="20"/>
      <c r="R3365" s="20"/>
      <c r="S3365" s="20">
        <v>0.68</v>
      </c>
      <c r="T3365" s="20">
        <v>0.32</v>
      </c>
    </row>
    <row r="3366" spans="13:20" x14ac:dyDescent="0.2">
      <c r="M3366" s="20">
        <v>1.0910238455084575E-2</v>
      </c>
      <c r="N3366" s="20">
        <v>1.5818767484005848E-3</v>
      </c>
      <c r="O3366" s="20">
        <v>0.14499011684418059</v>
      </c>
      <c r="P3366" s="20">
        <v>0.27</v>
      </c>
      <c r="Q3366" s="20">
        <v>0.22</v>
      </c>
      <c r="R3366" s="20">
        <v>0.47000000000000008</v>
      </c>
      <c r="S3366" s="20"/>
      <c r="T3366" s="20">
        <v>0.04</v>
      </c>
    </row>
    <row r="3367" spans="13:20" x14ac:dyDescent="0.2">
      <c r="M3367" s="20">
        <v>9.8716950438983708E-3</v>
      </c>
      <c r="N3367" s="20">
        <v>1.3252739643854921E-3</v>
      </c>
      <c r="O3367" s="20">
        <v>0.13424988905067881</v>
      </c>
      <c r="P3367" s="20">
        <v>0.20999999999999996</v>
      </c>
      <c r="Q3367" s="20"/>
      <c r="R3367" s="20">
        <v>7.0000000000000007E-2</v>
      </c>
      <c r="S3367" s="20">
        <v>0.4</v>
      </c>
      <c r="T3367" s="20">
        <v>0.32</v>
      </c>
    </row>
    <row r="3368" spans="13:20" x14ac:dyDescent="0.2">
      <c r="M3368" s="20">
        <v>1.4076638263943286E-2</v>
      </c>
      <c r="N3368" s="20">
        <v>2.4357037314437571E-3</v>
      </c>
      <c r="O3368" s="20">
        <v>0.17303163481033032</v>
      </c>
      <c r="P3368" s="20">
        <v>0.88</v>
      </c>
      <c r="Q3368" s="20">
        <v>0.12</v>
      </c>
      <c r="R3368" s="20"/>
      <c r="S3368" s="20"/>
      <c r="T3368" s="20"/>
    </row>
    <row r="3369" spans="13:20" x14ac:dyDescent="0.2">
      <c r="M3369" s="20">
        <v>1.0031491481697635E-2</v>
      </c>
      <c r="N3369" s="20">
        <v>7.2987843970239753E-4</v>
      </c>
      <c r="O3369" s="20">
        <v>7.2758715992936263E-2</v>
      </c>
      <c r="P3369" s="20"/>
      <c r="Q3369" s="20"/>
      <c r="R3369" s="20">
        <v>0.33</v>
      </c>
      <c r="S3369" s="20">
        <v>0.66999999999999993</v>
      </c>
      <c r="T3369" s="20"/>
    </row>
    <row r="3370" spans="13:20" x14ac:dyDescent="0.2">
      <c r="M3370" s="20">
        <v>1.0785346482839398E-2</v>
      </c>
      <c r="N3370" s="20">
        <v>1.109677320076055E-3</v>
      </c>
      <c r="O3370" s="20">
        <v>0.1028874985000868</v>
      </c>
      <c r="P3370" s="20"/>
      <c r="Q3370" s="20"/>
      <c r="R3370" s="20">
        <v>0.94</v>
      </c>
      <c r="S3370" s="20">
        <v>6.0000000000000053E-2</v>
      </c>
      <c r="T3370" s="20"/>
    </row>
    <row r="3371" spans="13:20" x14ac:dyDescent="0.2">
      <c r="M3371" s="20">
        <v>9.7224539251827453E-3</v>
      </c>
      <c r="N3371" s="20">
        <v>8.1567011471077452E-4</v>
      </c>
      <c r="O3371" s="20">
        <v>8.3895498090050646E-2</v>
      </c>
      <c r="P3371" s="20"/>
      <c r="Q3371" s="20"/>
      <c r="R3371" s="20">
        <v>0.16</v>
      </c>
      <c r="S3371" s="20">
        <v>0.65</v>
      </c>
      <c r="T3371" s="20">
        <v>0.18999999999999995</v>
      </c>
    </row>
    <row r="3372" spans="13:20" x14ac:dyDescent="0.2">
      <c r="M3372" s="20">
        <v>1.4314377025050458E-2</v>
      </c>
      <c r="N3372" s="20">
        <v>1.2270057818077279E-3</v>
      </c>
      <c r="O3372" s="20">
        <v>8.5718419995536116E-2</v>
      </c>
      <c r="P3372" s="20"/>
      <c r="Q3372" s="20">
        <v>0.61</v>
      </c>
      <c r="R3372" s="20">
        <v>0.39</v>
      </c>
      <c r="S3372" s="20">
        <v>1.1102230246251565E-16</v>
      </c>
      <c r="T3372" s="20"/>
    </row>
    <row r="3373" spans="13:20" x14ac:dyDescent="0.2">
      <c r="M3373" s="20">
        <v>9.9199829762252559E-3</v>
      </c>
      <c r="N3373" s="20">
        <v>7.4855707316339695E-4</v>
      </c>
      <c r="O3373" s="20">
        <v>7.5459511871888041E-2</v>
      </c>
      <c r="P3373" s="20"/>
      <c r="Q3373" s="20"/>
      <c r="R3373" s="20">
        <v>0.36</v>
      </c>
      <c r="S3373" s="20">
        <v>0.64</v>
      </c>
      <c r="T3373" s="20"/>
    </row>
    <row r="3374" spans="13:20" x14ac:dyDescent="0.2">
      <c r="M3374" s="20">
        <v>1.6089958926964045E-2</v>
      </c>
      <c r="N3374" s="20">
        <v>1.2936750031229635E-3</v>
      </c>
      <c r="O3374" s="20">
        <v>8.0402629304104897E-2</v>
      </c>
      <c r="P3374" s="20">
        <v>0.03</v>
      </c>
      <c r="Q3374" s="20">
        <v>0.76</v>
      </c>
      <c r="R3374" s="20">
        <v>7.0000000000000007E-2</v>
      </c>
      <c r="S3374" s="20">
        <v>0.05</v>
      </c>
      <c r="T3374" s="20">
        <v>8.9999999999999747E-2</v>
      </c>
    </row>
    <row r="3375" spans="13:20" x14ac:dyDescent="0.2">
      <c r="M3375" s="20">
        <v>9.3430540978358036E-3</v>
      </c>
      <c r="N3375" s="20">
        <v>1.0303487143020072E-3</v>
      </c>
      <c r="O3375" s="20">
        <v>0.11027964769471622</v>
      </c>
      <c r="P3375" s="20"/>
      <c r="Q3375" s="20"/>
      <c r="R3375" s="20">
        <v>0.44</v>
      </c>
      <c r="S3375" s="20">
        <v>0.33</v>
      </c>
      <c r="T3375" s="20">
        <v>0.23000000000000009</v>
      </c>
    </row>
    <row r="3376" spans="13:20" x14ac:dyDescent="0.2">
      <c r="M3376" s="20">
        <v>1.324962315075676E-2</v>
      </c>
      <c r="N3376" s="20">
        <v>2.1718010999211093E-3</v>
      </c>
      <c r="O3376" s="20">
        <v>0.16391417893248272</v>
      </c>
      <c r="P3376" s="20">
        <v>0.66</v>
      </c>
      <c r="Q3376" s="20">
        <v>0.24</v>
      </c>
      <c r="R3376" s="20"/>
      <c r="S3376" s="20"/>
      <c r="T3376" s="20">
        <v>0.1</v>
      </c>
    </row>
    <row r="3377" spans="13:20" x14ac:dyDescent="0.2">
      <c r="M3377" s="20">
        <v>1.0405938215396182E-2</v>
      </c>
      <c r="N3377" s="20">
        <v>1.5511978202454508E-3</v>
      </c>
      <c r="O3377" s="20">
        <v>0.14906852108254542</v>
      </c>
      <c r="P3377" s="20">
        <v>0.3500000000000002</v>
      </c>
      <c r="Q3377" s="20"/>
      <c r="R3377" s="20"/>
      <c r="S3377" s="20">
        <v>0.35</v>
      </c>
      <c r="T3377" s="20">
        <v>0.3</v>
      </c>
    </row>
    <row r="3378" spans="13:20" x14ac:dyDescent="0.2">
      <c r="M3378" s="20">
        <v>9.5703661724533661E-3</v>
      </c>
      <c r="N3378" s="20">
        <v>1.0299789148411512E-3</v>
      </c>
      <c r="O3378" s="20">
        <v>0.1076216830455</v>
      </c>
      <c r="P3378" s="20"/>
      <c r="Q3378" s="20"/>
      <c r="R3378" s="20">
        <v>0.65</v>
      </c>
      <c r="S3378" s="20">
        <v>0.25</v>
      </c>
      <c r="T3378" s="20">
        <v>9.9999999999999867E-2</v>
      </c>
    </row>
    <row r="3379" spans="13:20" x14ac:dyDescent="0.2">
      <c r="M3379" s="20">
        <v>1.4067350988270612E-2</v>
      </c>
      <c r="N3379" s="20">
        <v>1.3111749417470588E-3</v>
      </c>
      <c r="O3379" s="20">
        <v>9.3206954375441353E-2</v>
      </c>
      <c r="P3379" s="20">
        <v>0.06</v>
      </c>
      <c r="Q3379" s="20">
        <v>0.59</v>
      </c>
      <c r="R3379" s="20">
        <v>0.35000000000000009</v>
      </c>
      <c r="S3379" s="20"/>
      <c r="T3379" s="20"/>
    </row>
    <row r="3380" spans="13:20" x14ac:dyDescent="0.2">
      <c r="M3380" s="20">
        <v>1.1170957929046488E-2</v>
      </c>
      <c r="N3380" s="20">
        <v>1.1470345869980542E-3</v>
      </c>
      <c r="O3380" s="20">
        <v>0.10268005611368021</v>
      </c>
      <c r="P3380" s="20"/>
      <c r="Q3380" s="20"/>
      <c r="R3380" s="20">
        <v>1</v>
      </c>
      <c r="S3380" s="20">
        <v>1.1102230246251565E-16</v>
      </c>
      <c r="T3380" s="20"/>
    </row>
    <row r="3381" spans="13:20" x14ac:dyDescent="0.2">
      <c r="M3381" s="20">
        <v>1.2904208287738294E-2</v>
      </c>
      <c r="N3381" s="20">
        <v>1.8316148132646031E-3</v>
      </c>
      <c r="O3381" s="20">
        <v>0.1419393404402052</v>
      </c>
      <c r="P3381" s="20">
        <v>0.32</v>
      </c>
      <c r="Q3381" s="20">
        <v>0.15999999999999981</v>
      </c>
      <c r="R3381" s="20"/>
      <c r="S3381" s="20"/>
      <c r="T3381" s="20">
        <v>0.52</v>
      </c>
    </row>
    <row r="3382" spans="13:20" x14ac:dyDescent="0.2">
      <c r="M3382" s="20">
        <v>9.2989298434311488E-3</v>
      </c>
      <c r="N3382" s="20">
        <v>9.7194656343381806E-4</v>
      </c>
      <c r="O3382" s="20">
        <v>0.104522410621305</v>
      </c>
      <c r="P3382" s="20"/>
      <c r="Q3382" s="20"/>
      <c r="R3382" s="20">
        <v>0.33</v>
      </c>
      <c r="S3382" s="20">
        <v>0.43</v>
      </c>
      <c r="T3382" s="20">
        <v>0.24</v>
      </c>
    </row>
    <row r="3383" spans="13:20" x14ac:dyDescent="0.2">
      <c r="M3383" s="20">
        <v>1.3088010981072573E-2</v>
      </c>
      <c r="N3383" s="20">
        <v>2.0420818723710724E-3</v>
      </c>
      <c r="O3383" s="20">
        <v>0.15602690701621968</v>
      </c>
      <c r="P3383" s="20">
        <v>0.47999999999999987</v>
      </c>
      <c r="Q3383" s="20"/>
      <c r="R3383" s="20"/>
      <c r="S3383" s="20"/>
      <c r="T3383" s="20">
        <v>0.52</v>
      </c>
    </row>
    <row r="3384" spans="13:20" x14ac:dyDescent="0.2">
      <c r="M3384" s="20">
        <v>1.4912738377618208E-2</v>
      </c>
      <c r="N3384" s="20">
        <v>1.6921091596348479E-3</v>
      </c>
      <c r="O3384" s="20">
        <v>0.11346736707823232</v>
      </c>
      <c r="P3384" s="20">
        <v>0.15000000000000002</v>
      </c>
      <c r="Q3384" s="20"/>
      <c r="R3384" s="20"/>
      <c r="S3384" s="20"/>
      <c r="T3384" s="20">
        <v>0.85</v>
      </c>
    </row>
    <row r="3385" spans="13:20" x14ac:dyDescent="0.2">
      <c r="M3385" s="20">
        <v>1.007572805187607E-2</v>
      </c>
      <c r="N3385" s="20">
        <v>7.5428054347601449E-4</v>
      </c>
      <c r="O3385" s="20">
        <v>7.4861145476784643E-2</v>
      </c>
      <c r="P3385" s="20"/>
      <c r="Q3385" s="20"/>
      <c r="R3385" s="20">
        <v>0.11</v>
      </c>
      <c r="S3385" s="20">
        <v>0.73</v>
      </c>
      <c r="T3385" s="20">
        <v>0.16000000000000003</v>
      </c>
    </row>
    <row r="3386" spans="13:20" x14ac:dyDescent="0.2">
      <c r="M3386" s="20">
        <v>1.4148879873072288E-2</v>
      </c>
      <c r="N3386" s="20">
        <v>2.4620121138320657E-3</v>
      </c>
      <c r="O3386" s="20">
        <v>0.17400756356110503</v>
      </c>
      <c r="P3386" s="20">
        <v>0.9</v>
      </c>
      <c r="Q3386" s="20">
        <v>0.10000000000000009</v>
      </c>
      <c r="R3386" s="20"/>
      <c r="S3386" s="20"/>
      <c r="T3386" s="20"/>
    </row>
    <row r="3387" spans="13:20" x14ac:dyDescent="0.2">
      <c r="M3387" s="20">
        <v>1.0402262587730488E-2</v>
      </c>
      <c r="N3387" s="20">
        <v>1.7729709552523466E-3</v>
      </c>
      <c r="O3387" s="20">
        <v>0.17044089593965581</v>
      </c>
      <c r="P3387" s="20">
        <v>0.43</v>
      </c>
      <c r="Q3387" s="20">
        <v>0.03</v>
      </c>
      <c r="R3387" s="20">
        <v>0.54000000000000015</v>
      </c>
      <c r="S3387" s="20"/>
      <c r="T3387" s="20"/>
    </row>
    <row r="3388" spans="13:20" x14ac:dyDescent="0.2">
      <c r="M3388" s="20">
        <v>1.7103671905773405E-2</v>
      </c>
      <c r="N3388" s="20">
        <v>1.2584698584541568E-3</v>
      </c>
      <c r="O3388" s="20">
        <v>7.357892886318497E-2</v>
      </c>
      <c r="P3388" s="20"/>
      <c r="Q3388" s="20">
        <v>0.85</v>
      </c>
      <c r="R3388" s="20">
        <v>0.15000000000000002</v>
      </c>
      <c r="S3388" s="20"/>
      <c r="T3388" s="20"/>
    </row>
    <row r="3389" spans="13:20" x14ac:dyDescent="0.2">
      <c r="M3389" s="20">
        <v>1.2735940225746895E-2</v>
      </c>
      <c r="N3389" s="20">
        <v>1.5100390049391449E-3</v>
      </c>
      <c r="O3389" s="20">
        <v>0.11856517682820619</v>
      </c>
      <c r="P3389" s="20">
        <v>0.1399999999999999</v>
      </c>
      <c r="Q3389" s="20"/>
      <c r="R3389" s="20"/>
      <c r="S3389" s="20">
        <v>0.17</v>
      </c>
      <c r="T3389" s="20">
        <v>0.69</v>
      </c>
    </row>
    <row r="3390" spans="13:20" x14ac:dyDescent="0.2">
      <c r="M3390" s="20">
        <v>1.0187873581924065E-2</v>
      </c>
      <c r="N3390" s="20">
        <v>8.5725714176210536E-4</v>
      </c>
      <c r="O3390" s="20">
        <v>8.414485465181884E-2</v>
      </c>
      <c r="P3390" s="20"/>
      <c r="Q3390" s="20"/>
      <c r="R3390" s="20"/>
      <c r="S3390" s="20">
        <v>0.67</v>
      </c>
      <c r="T3390" s="20">
        <v>0.32999999999999985</v>
      </c>
    </row>
    <row r="3391" spans="13:20" x14ac:dyDescent="0.2">
      <c r="M3391" s="20">
        <v>1.0400281849563112E-2</v>
      </c>
      <c r="N3391" s="20">
        <v>1.2677468854311856E-3</v>
      </c>
      <c r="O3391" s="20">
        <v>0.12189543550537915</v>
      </c>
      <c r="P3391" s="20">
        <v>0.32999999999999996</v>
      </c>
      <c r="Q3391" s="20"/>
      <c r="R3391" s="20"/>
      <c r="S3391" s="20">
        <v>0.61</v>
      </c>
      <c r="T3391" s="20">
        <v>0.06</v>
      </c>
    </row>
    <row r="3392" spans="13:20" x14ac:dyDescent="0.2">
      <c r="M3392" s="20">
        <v>1.3200339630829068E-2</v>
      </c>
      <c r="N3392" s="20">
        <v>1.9996609374939543E-3</v>
      </c>
      <c r="O3392" s="20">
        <v>0.15148556729735918</v>
      </c>
      <c r="P3392" s="20">
        <v>0.43999999999999984</v>
      </c>
      <c r="Q3392" s="20"/>
      <c r="R3392" s="20"/>
      <c r="S3392" s="20"/>
      <c r="T3392" s="20">
        <v>0.56000000000000005</v>
      </c>
    </row>
    <row r="3393" spans="13:20" x14ac:dyDescent="0.2">
      <c r="M3393" s="20">
        <v>1.0607858293898598E-2</v>
      </c>
      <c r="N3393" s="20">
        <v>8.2158401154776859E-4</v>
      </c>
      <c r="O3393" s="20">
        <v>7.7450507801402779E-2</v>
      </c>
      <c r="P3393" s="20">
        <v>8.9999999999999969E-2</v>
      </c>
      <c r="Q3393" s="20"/>
      <c r="R3393" s="20"/>
      <c r="S3393" s="20">
        <v>0.8</v>
      </c>
      <c r="T3393" s="20">
        <v>0.11</v>
      </c>
    </row>
    <row r="3394" spans="13:20" x14ac:dyDescent="0.2">
      <c r="M3394" s="20">
        <v>1.1571701745567785E-2</v>
      </c>
      <c r="N3394" s="20">
        <v>1.1811206700316854E-3</v>
      </c>
      <c r="O3394" s="20">
        <v>0.10206974704339233</v>
      </c>
      <c r="P3394" s="20"/>
      <c r="Q3394" s="20">
        <v>0.26</v>
      </c>
      <c r="R3394" s="20">
        <v>0.73999999999999988</v>
      </c>
      <c r="S3394" s="20"/>
      <c r="T3394" s="20"/>
    </row>
    <row r="3395" spans="13:20" x14ac:dyDescent="0.2">
      <c r="M3395" s="20">
        <v>1.3882356534975661E-2</v>
      </c>
      <c r="N3395" s="20">
        <v>2.1463115251723615E-3</v>
      </c>
      <c r="O3395" s="20">
        <v>0.15460714611131576</v>
      </c>
      <c r="P3395" s="20">
        <v>0.66</v>
      </c>
      <c r="Q3395" s="20">
        <v>0.33999999999999997</v>
      </c>
      <c r="R3395" s="20"/>
      <c r="S3395" s="20"/>
      <c r="T3395" s="20"/>
    </row>
    <row r="3396" spans="13:20" x14ac:dyDescent="0.2">
      <c r="M3396" s="20">
        <v>1.378489049450435E-2</v>
      </c>
      <c r="N3396" s="20">
        <v>1.651325840036851E-3</v>
      </c>
      <c r="O3396" s="20">
        <v>0.11979245251858826</v>
      </c>
      <c r="P3396" s="20">
        <v>0.15</v>
      </c>
      <c r="Q3396" s="20">
        <v>0.16000000000000003</v>
      </c>
      <c r="R3396" s="20"/>
      <c r="S3396" s="20"/>
      <c r="T3396" s="20">
        <v>0.69</v>
      </c>
    </row>
    <row r="3397" spans="13:20" x14ac:dyDescent="0.2">
      <c r="M3397" s="20">
        <v>1.0154326017134094E-2</v>
      </c>
      <c r="N3397" s="20">
        <v>1.0349627862320568E-3</v>
      </c>
      <c r="O3397" s="20">
        <v>0.10192333636774049</v>
      </c>
      <c r="P3397" s="20"/>
      <c r="Q3397" s="20"/>
      <c r="R3397" s="20">
        <v>0.82</v>
      </c>
      <c r="S3397" s="20">
        <v>0.18000000000000005</v>
      </c>
      <c r="T3397" s="20"/>
    </row>
    <row r="3398" spans="13:20" x14ac:dyDescent="0.2">
      <c r="M3398" s="20">
        <v>1.0508191426356612E-2</v>
      </c>
      <c r="N3398" s="20">
        <v>1.1713678579231002E-3</v>
      </c>
      <c r="O3398" s="20">
        <v>0.11147188040228112</v>
      </c>
      <c r="P3398" s="20"/>
      <c r="Q3398" s="20">
        <v>0.16</v>
      </c>
      <c r="R3398" s="20">
        <v>0.56999999999999995</v>
      </c>
      <c r="S3398" s="20">
        <v>0.1</v>
      </c>
      <c r="T3398" s="20">
        <v>0.16999999999999993</v>
      </c>
    </row>
    <row r="3399" spans="13:20" x14ac:dyDescent="0.2">
      <c r="M3399" s="20">
        <v>1.1264950394634718E-2</v>
      </c>
      <c r="N3399" s="20">
        <v>5.9439550450501952E-4</v>
      </c>
      <c r="O3399" s="20">
        <v>5.2765035236028983E-2</v>
      </c>
      <c r="P3399" s="20"/>
      <c r="Q3399" s="20"/>
      <c r="R3399" s="20">
        <v>0.08</v>
      </c>
      <c r="S3399" s="20">
        <v>0.9</v>
      </c>
      <c r="T3399" s="20">
        <v>1.9999999999999907E-2</v>
      </c>
    </row>
    <row r="3400" spans="13:20" x14ac:dyDescent="0.2">
      <c r="M3400" s="20">
        <v>1.5344006605141125E-2</v>
      </c>
      <c r="N3400" s="20">
        <v>1.6390829910384503E-3</v>
      </c>
      <c r="O3400" s="20">
        <v>0.10682235958431244</v>
      </c>
      <c r="P3400" s="20">
        <v>0.10000000000000009</v>
      </c>
      <c r="Q3400" s="20"/>
      <c r="R3400" s="20"/>
      <c r="S3400" s="20"/>
      <c r="T3400" s="20">
        <v>0.9</v>
      </c>
    </row>
    <row r="3401" spans="13:20" x14ac:dyDescent="0.2">
      <c r="M3401" s="20">
        <v>1.3169745652843842E-2</v>
      </c>
      <c r="N3401" s="20">
        <v>1.1300497432420922E-3</v>
      </c>
      <c r="O3401" s="20">
        <v>8.5806497181520891E-2</v>
      </c>
      <c r="P3401" s="20">
        <v>0.08</v>
      </c>
      <c r="Q3401" s="20">
        <v>0.46</v>
      </c>
      <c r="R3401" s="20">
        <v>0.15</v>
      </c>
      <c r="S3401" s="20">
        <v>0.30999999999999994</v>
      </c>
      <c r="T3401" s="20"/>
    </row>
    <row r="3402" spans="13:20" x14ac:dyDescent="0.2">
      <c r="M3402" s="20">
        <v>9.5736305537674742E-3</v>
      </c>
      <c r="N3402" s="20">
        <v>8.5440266277572795E-4</v>
      </c>
      <c r="O3402" s="20">
        <v>8.924541823263675E-2</v>
      </c>
      <c r="P3402" s="20"/>
      <c r="Q3402" s="20"/>
      <c r="R3402" s="20">
        <v>0.53</v>
      </c>
      <c r="S3402" s="20">
        <v>0.47000000000000008</v>
      </c>
      <c r="T3402" s="20"/>
    </row>
    <row r="3403" spans="13:20" x14ac:dyDescent="0.2">
      <c r="M3403" s="20">
        <v>1.2646625990094095E-2</v>
      </c>
      <c r="N3403" s="20">
        <v>1.1486828271335084E-3</v>
      </c>
      <c r="O3403" s="20">
        <v>9.0829192547739898E-2</v>
      </c>
      <c r="P3403" s="20">
        <v>0</v>
      </c>
      <c r="Q3403" s="20">
        <v>0.44</v>
      </c>
      <c r="R3403" s="20">
        <v>0.47</v>
      </c>
      <c r="S3403" s="20">
        <v>8.9999999999999969E-2</v>
      </c>
      <c r="T3403" s="20"/>
    </row>
    <row r="3404" spans="13:20" x14ac:dyDescent="0.2">
      <c r="M3404" s="20">
        <v>1.2128905133922403E-2</v>
      </c>
      <c r="N3404" s="20">
        <v>2.068482958781002E-3</v>
      </c>
      <c r="O3404" s="20">
        <v>0.17054160585326214</v>
      </c>
      <c r="P3404" s="20">
        <v>0.6</v>
      </c>
      <c r="Q3404" s="20"/>
      <c r="R3404" s="20"/>
      <c r="S3404" s="20">
        <v>0.1</v>
      </c>
      <c r="T3404" s="20">
        <v>0.3</v>
      </c>
    </row>
    <row r="3405" spans="13:20" x14ac:dyDescent="0.2">
      <c r="M3405" s="20">
        <v>1.1293172079645199E-2</v>
      </c>
      <c r="N3405" s="20">
        <v>1.152282815836216E-3</v>
      </c>
      <c r="O3405" s="20">
        <v>0.10203358345288027</v>
      </c>
      <c r="P3405" s="20"/>
      <c r="Q3405" s="20">
        <v>0.23</v>
      </c>
      <c r="R3405" s="20">
        <v>0.73</v>
      </c>
      <c r="S3405" s="20">
        <v>4.0000000000000147E-2</v>
      </c>
      <c r="T3405" s="20"/>
    </row>
    <row r="3406" spans="13:20" x14ac:dyDescent="0.2">
      <c r="M3406" s="20">
        <v>1.5774664080520265E-2</v>
      </c>
      <c r="N3406" s="20">
        <v>1.2378226121708771E-3</v>
      </c>
      <c r="O3406" s="20">
        <v>7.8469031470497885E-2</v>
      </c>
      <c r="P3406" s="20"/>
      <c r="Q3406" s="20">
        <v>0.74</v>
      </c>
      <c r="R3406" s="20">
        <v>0.25</v>
      </c>
      <c r="S3406" s="20">
        <v>1.0000000000000009E-2</v>
      </c>
      <c r="T3406" s="20"/>
    </row>
    <row r="3407" spans="13:20" x14ac:dyDescent="0.2">
      <c r="M3407" s="20">
        <v>1.2462102201990271E-2</v>
      </c>
      <c r="N3407" s="20">
        <v>7.2267424623322606E-4</v>
      </c>
      <c r="O3407" s="20">
        <v>5.7989754418625354E-2</v>
      </c>
      <c r="P3407" s="20"/>
      <c r="Q3407" s="20">
        <v>0.23</v>
      </c>
      <c r="R3407" s="20">
        <v>0.04</v>
      </c>
      <c r="S3407" s="20">
        <v>0.72999999999999987</v>
      </c>
      <c r="T3407" s="20"/>
    </row>
    <row r="3408" spans="13:20" x14ac:dyDescent="0.2">
      <c r="M3408" s="20">
        <v>1.3293412707075857E-2</v>
      </c>
      <c r="N3408" s="20">
        <v>2.3623151315380069E-3</v>
      </c>
      <c r="O3408" s="20">
        <v>0.17770569406008035</v>
      </c>
      <c r="P3408" s="20">
        <v>0.82</v>
      </c>
      <c r="Q3408" s="20"/>
      <c r="R3408" s="20"/>
      <c r="S3408" s="20">
        <v>0.04</v>
      </c>
      <c r="T3408" s="20">
        <v>0.14000000000000001</v>
      </c>
    </row>
    <row r="3409" spans="13:20" x14ac:dyDescent="0.2">
      <c r="M3409" s="20">
        <v>1.109771789494763E-2</v>
      </c>
      <c r="N3409" s="20">
        <v>1.2427793230306503E-3</v>
      </c>
      <c r="O3409" s="20">
        <v>0.11198512476123046</v>
      </c>
      <c r="P3409" s="20"/>
      <c r="Q3409" s="20">
        <v>0.17</v>
      </c>
      <c r="R3409" s="20">
        <v>0.3</v>
      </c>
      <c r="S3409" s="20">
        <v>0.13</v>
      </c>
      <c r="T3409" s="20">
        <v>0.4</v>
      </c>
    </row>
    <row r="3410" spans="13:20" x14ac:dyDescent="0.2">
      <c r="M3410" s="20">
        <v>1.1833552155406223E-2</v>
      </c>
      <c r="N3410" s="20">
        <v>1.6797227444476175E-3</v>
      </c>
      <c r="O3410" s="20">
        <v>0.14194577607706974</v>
      </c>
      <c r="P3410" s="20">
        <v>0.29999999999999982</v>
      </c>
      <c r="Q3410" s="20"/>
      <c r="R3410" s="20"/>
      <c r="S3410" s="20">
        <v>0.17</v>
      </c>
      <c r="T3410" s="20">
        <v>0.53</v>
      </c>
    </row>
    <row r="3411" spans="13:20" x14ac:dyDescent="0.2">
      <c r="M3411" s="20">
        <v>1.1296138222862523E-2</v>
      </c>
      <c r="N3411" s="20">
        <v>1.55077614199176E-3</v>
      </c>
      <c r="O3411" s="20">
        <v>0.1372837434702337</v>
      </c>
      <c r="P3411" s="20">
        <v>0.25</v>
      </c>
      <c r="Q3411" s="20">
        <v>0.10000000000000009</v>
      </c>
      <c r="R3411" s="20"/>
      <c r="S3411" s="20">
        <v>0.22</v>
      </c>
      <c r="T3411" s="20">
        <v>0.43</v>
      </c>
    </row>
    <row r="3412" spans="13:20" x14ac:dyDescent="0.2">
      <c r="M3412" s="20">
        <v>1.5528474120001454E-2</v>
      </c>
      <c r="N3412" s="20">
        <v>1.241426816937341E-3</v>
      </c>
      <c r="O3412" s="20">
        <v>7.9945190193434462E-2</v>
      </c>
      <c r="P3412" s="20"/>
      <c r="Q3412" s="20">
        <v>0.72</v>
      </c>
      <c r="R3412" s="20">
        <v>0.27999999999999992</v>
      </c>
      <c r="S3412" s="20"/>
      <c r="T3412" s="20"/>
    </row>
    <row r="3413" spans="13:20" x14ac:dyDescent="0.2">
      <c r="M3413" s="20">
        <v>1.3783972645453134E-2</v>
      </c>
      <c r="N3413" s="20">
        <v>1.8374390012977208E-3</v>
      </c>
      <c r="O3413" s="20">
        <v>0.13330257165765846</v>
      </c>
      <c r="P3413" s="20">
        <v>0.4</v>
      </c>
      <c r="Q3413" s="20">
        <v>0.47000000000000008</v>
      </c>
      <c r="R3413" s="20"/>
      <c r="S3413" s="20"/>
      <c r="T3413" s="20">
        <v>0.13</v>
      </c>
    </row>
    <row r="3414" spans="13:20" x14ac:dyDescent="0.2">
      <c r="M3414" s="20">
        <v>1.1117222667343739E-2</v>
      </c>
      <c r="N3414" s="20">
        <v>1.1549006061596615E-3</v>
      </c>
      <c r="O3414" s="20">
        <v>0.10388391423985072</v>
      </c>
      <c r="P3414" s="20"/>
      <c r="Q3414" s="20">
        <v>0.06</v>
      </c>
      <c r="R3414" s="20">
        <v>0.94</v>
      </c>
      <c r="S3414" s="20"/>
      <c r="T3414" s="20"/>
    </row>
    <row r="3415" spans="13:20" x14ac:dyDescent="0.2">
      <c r="M3415" s="20">
        <v>1.0985687356024386E-2</v>
      </c>
      <c r="N3415" s="20">
        <v>1.7216210344111879E-3</v>
      </c>
      <c r="O3415" s="20">
        <v>0.15671491265105744</v>
      </c>
      <c r="P3415" s="20">
        <v>0.38</v>
      </c>
      <c r="Q3415" s="20">
        <v>0.19</v>
      </c>
      <c r="R3415" s="20">
        <v>0.42999999999999994</v>
      </c>
      <c r="S3415" s="20"/>
      <c r="T3415" s="20"/>
    </row>
    <row r="3416" spans="13:20" x14ac:dyDescent="0.2">
      <c r="M3416" s="20">
        <v>9.4508110421944094E-3</v>
      </c>
      <c r="N3416" s="20">
        <v>1.0629734802536253E-3</v>
      </c>
      <c r="O3416" s="20">
        <v>0.11247431310475241</v>
      </c>
      <c r="P3416" s="20"/>
      <c r="Q3416" s="20"/>
      <c r="R3416" s="20">
        <v>0.46</v>
      </c>
      <c r="S3416" s="20">
        <v>0.28999999999999998</v>
      </c>
      <c r="T3416" s="20">
        <v>0.25000000000000011</v>
      </c>
    </row>
    <row r="3417" spans="13:20" x14ac:dyDescent="0.2">
      <c r="M3417" s="20">
        <v>1.4054415181796754E-2</v>
      </c>
      <c r="N3417" s="20">
        <v>2.0542321868132806E-3</v>
      </c>
      <c r="O3417" s="20">
        <v>0.14616276524077054</v>
      </c>
      <c r="P3417" s="20">
        <v>0.59</v>
      </c>
      <c r="Q3417" s="20">
        <v>0.40999999999999992</v>
      </c>
      <c r="R3417" s="20"/>
      <c r="S3417" s="20"/>
      <c r="T3417" s="20"/>
    </row>
    <row r="3418" spans="13:20" x14ac:dyDescent="0.2">
      <c r="M3418" s="20">
        <v>1.4273481573858949E-2</v>
      </c>
      <c r="N3418" s="20">
        <v>2.5014746874145286E-3</v>
      </c>
      <c r="O3418" s="20">
        <v>0.17525329573380569</v>
      </c>
      <c r="P3418" s="20">
        <v>0.93</v>
      </c>
      <c r="Q3418" s="20">
        <v>6.999999999999984E-2</v>
      </c>
      <c r="R3418" s="20"/>
      <c r="S3418" s="20"/>
      <c r="T3418" s="20"/>
    </row>
    <row r="3419" spans="13:20" x14ac:dyDescent="0.2">
      <c r="M3419" s="20">
        <v>1.0662128183616516E-2</v>
      </c>
      <c r="N3419" s="20">
        <v>1.4715164142434147E-3</v>
      </c>
      <c r="O3419" s="20">
        <v>0.13801338615536013</v>
      </c>
      <c r="P3419" s="20">
        <v>0.19999999999999996</v>
      </c>
      <c r="Q3419" s="20">
        <v>0.18</v>
      </c>
      <c r="R3419" s="20">
        <v>0.59</v>
      </c>
      <c r="S3419" s="20">
        <v>0</v>
      </c>
      <c r="T3419" s="20">
        <v>0.03</v>
      </c>
    </row>
    <row r="3420" spans="13:20" x14ac:dyDescent="0.2">
      <c r="M3420" s="20">
        <v>1.2418371488511373E-2</v>
      </c>
      <c r="N3420" s="20">
        <v>1.1994747147421026E-3</v>
      </c>
      <c r="O3420" s="20">
        <v>9.6588728711471908E-2</v>
      </c>
      <c r="P3420" s="20"/>
      <c r="Q3420" s="20">
        <v>0.4</v>
      </c>
      <c r="R3420" s="20">
        <v>0.6</v>
      </c>
      <c r="S3420" s="20"/>
      <c r="T3420" s="20"/>
    </row>
    <row r="3421" spans="13:20" x14ac:dyDescent="0.2">
      <c r="M3421" s="20">
        <v>1.0850416461202859E-2</v>
      </c>
      <c r="N3421" s="20">
        <v>6.3025906124373316E-4</v>
      </c>
      <c r="O3421" s="20">
        <v>5.8086163189893243E-2</v>
      </c>
      <c r="P3421" s="20"/>
      <c r="Q3421" s="20"/>
      <c r="R3421" s="20">
        <v>0.17</v>
      </c>
      <c r="S3421" s="20">
        <v>0.83</v>
      </c>
      <c r="T3421" s="20"/>
    </row>
    <row r="3422" spans="13:20" x14ac:dyDescent="0.2">
      <c r="M3422" s="20">
        <v>1.5933010011191028E-2</v>
      </c>
      <c r="N3422" s="20">
        <v>1.6596064509886506E-3</v>
      </c>
      <c r="O3422" s="20">
        <v>0.10416151435434835</v>
      </c>
      <c r="P3422" s="20">
        <v>0.28999999999999998</v>
      </c>
      <c r="Q3422" s="20">
        <v>0.71</v>
      </c>
      <c r="R3422" s="20"/>
      <c r="S3422" s="20"/>
      <c r="T3422" s="20"/>
    </row>
    <row r="3423" spans="13:20" x14ac:dyDescent="0.2">
      <c r="M3423" s="20">
        <v>1.0283284436038657E-2</v>
      </c>
      <c r="N3423" s="20">
        <v>9.3794651633924604E-4</v>
      </c>
      <c r="O3423" s="20">
        <v>9.1210791860636631E-2</v>
      </c>
      <c r="P3423" s="20"/>
      <c r="Q3423" s="20"/>
      <c r="R3423" s="20"/>
      <c r="S3423" s="20">
        <v>0.59</v>
      </c>
      <c r="T3423" s="20">
        <v>0.41000000000000014</v>
      </c>
    </row>
    <row r="3424" spans="13:20" x14ac:dyDescent="0.2">
      <c r="M3424" s="20">
        <v>1.4516805794357719E-2</v>
      </c>
      <c r="N3424" s="20">
        <v>1.7451353282312452E-3</v>
      </c>
      <c r="O3424" s="20">
        <v>0.12021482914027348</v>
      </c>
      <c r="P3424" s="20">
        <v>0.19999999999999984</v>
      </c>
      <c r="Q3424" s="20"/>
      <c r="R3424" s="20"/>
      <c r="S3424" s="20"/>
      <c r="T3424" s="20">
        <v>0.8</v>
      </c>
    </row>
    <row r="3425" spans="13:20" x14ac:dyDescent="0.2">
      <c r="M3425" s="20">
        <v>1.0124346513617766E-2</v>
      </c>
      <c r="N3425" s="20">
        <v>1.4195585246604609E-3</v>
      </c>
      <c r="O3425" s="20">
        <v>0.14021236064481613</v>
      </c>
      <c r="P3425" s="20">
        <v>0.34000000000000008</v>
      </c>
      <c r="Q3425" s="20"/>
      <c r="R3425" s="20"/>
      <c r="S3425" s="20">
        <v>0.47</v>
      </c>
      <c r="T3425" s="20">
        <v>0.19</v>
      </c>
    </row>
    <row r="3426" spans="13:20" x14ac:dyDescent="0.2">
      <c r="M3426" s="20">
        <v>1.1126261192309094E-2</v>
      </c>
      <c r="N3426" s="20">
        <v>1.0993252654935262E-3</v>
      </c>
      <c r="O3426" s="20">
        <v>9.8804553164132336E-2</v>
      </c>
      <c r="P3426" s="20"/>
      <c r="Q3426" s="20"/>
      <c r="R3426" s="20"/>
      <c r="S3426" s="20">
        <v>0.43</v>
      </c>
      <c r="T3426" s="20">
        <v>0.57000000000000006</v>
      </c>
    </row>
    <row r="3427" spans="13:20" x14ac:dyDescent="0.2">
      <c r="M3427" s="20">
        <v>1.0933102399933914E-2</v>
      </c>
      <c r="N3427" s="20">
        <v>6.5553370531925507E-4</v>
      </c>
      <c r="O3427" s="20">
        <v>5.9958617539630603E-2</v>
      </c>
      <c r="P3427" s="20"/>
      <c r="Q3427" s="20"/>
      <c r="R3427" s="20"/>
      <c r="S3427" s="20">
        <v>0.87</v>
      </c>
      <c r="T3427" s="20">
        <v>0.12999999999999989</v>
      </c>
    </row>
    <row r="3428" spans="13:20" x14ac:dyDescent="0.2">
      <c r="M3428" s="20">
        <v>1.4129622030865182E-2</v>
      </c>
      <c r="N3428" s="20">
        <v>8.9865218260758617E-4</v>
      </c>
      <c r="O3428" s="20">
        <v>6.3600581858774624E-2</v>
      </c>
      <c r="P3428" s="20"/>
      <c r="Q3428" s="20">
        <v>0.48</v>
      </c>
      <c r="R3428" s="20">
        <v>0.02</v>
      </c>
      <c r="S3428" s="20">
        <v>0.49999999999999989</v>
      </c>
      <c r="T3428" s="20"/>
    </row>
    <row r="3429" spans="13:20" x14ac:dyDescent="0.2">
      <c r="M3429" s="20">
        <v>1.386228907498102E-2</v>
      </c>
      <c r="N3429" s="20">
        <v>2.3173160106963677E-3</v>
      </c>
      <c r="O3429" s="20">
        <v>0.16716690859366892</v>
      </c>
      <c r="P3429" s="20">
        <v>0.79</v>
      </c>
      <c r="Q3429" s="20">
        <v>0.20999999999999996</v>
      </c>
      <c r="R3429" s="20"/>
      <c r="S3429" s="20"/>
      <c r="T3429" s="20"/>
    </row>
    <row r="3430" spans="13:20" x14ac:dyDescent="0.2">
      <c r="M3430" s="20">
        <v>1.3913296519489131E-2</v>
      </c>
      <c r="N3430" s="20">
        <v>2.3567785842788305E-3</v>
      </c>
      <c r="O3430" s="20">
        <v>0.16939037998489856</v>
      </c>
      <c r="P3430" s="20">
        <v>0.82</v>
      </c>
      <c r="Q3430" s="20">
        <v>0.17999999999999994</v>
      </c>
      <c r="R3430" s="20"/>
      <c r="S3430" s="20"/>
      <c r="T3430" s="20"/>
    </row>
    <row r="3431" spans="13:20" x14ac:dyDescent="0.2">
      <c r="M3431" s="20">
        <v>1.3784746290399724E-2</v>
      </c>
      <c r="N3431" s="20">
        <v>1.8617928991433205E-3</v>
      </c>
      <c r="O3431" s="20">
        <v>0.13506181832595288</v>
      </c>
      <c r="P3431" s="20">
        <v>0.31000000000000005</v>
      </c>
      <c r="Q3431" s="20"/>
      <c r="R3431" s="20"/>
      <c r="S3431" s="20"/>
      <c r="T3431" s="20">
        <v>0.69</v>
      </c>
    </row>
    <row r="3432" spans="13:20" x14ac:dyDescent="0.2">
      <c r="M3432" s="20">
        <v>1.2694576815348637E-2</v>
      </c>
      <c r="N3432" s="20">
        <v>1.9033024918246851E-3</v>
      </c>
      <c r="O3432" s="20">
        <v>0.14993036156380246</v>
      </c>
      <c r="P3432" s="20">
        <v>0.39</v>
      </c>
      <c r="Q3432" s="20">
        <v>0.16999999999999982</v>
      </c>
      <c r="R3432" s="20"/>
      <c r="S3432" s="20"/>
      <c r="T3432" s="20">
        <v>0.44</v>
      </c>
    </row>
    <row r="3433" spans="13:20" x14ac:dyDescent="0.2">
      <c r="M3433" s="20">
        <v>1.0609211937929571E-2</v>
      </c>
      <c r="N3433" s="20">
        <v>1.0909986866150555E-3</v>
      </c>
      <c r="O3433" s="20">
        <v>0.10283503553308862</v>
      </c>
      <c r="P3433" s="20"/>
      <c r="Q3433" s="20"/>
      <c r="R3433" s="20">
        <v>0.91</v>
      </c>
      <c r="S3433" s="20">
        <v>8.9999999999999969E-2</v>
      </c>
      <c r="T3433" s="20"/>
    </row>
    <row r="3434" spans="13:20" x14ac:dyDescent="0.2">
      <c r="M3434" s="20">
        <v>1.0074982223260288E-2</v>
      </c>
      <c r="N3434" s="20">
        <v>9.2140760597492005E-4</v>
      </c>
      <c r="O3434" s="20">
        <v>9.1455010595219738E-2</v>
      </c>
      <c r="P3434" s="20">
        <v>7.0000000000000062E-2</v>
      </c>
      <c r="Q3434" s="20"/>
      <c r="R3434" s="20"/>
      <c r="S3434" s="20">
        <v>0.68</v>
      </c>
      <c r="T3434" s="20">
        <v>0.25</v>
      </c>
    </row>
    <row r="3435" spans="13:20" x14ac:dyDescent="0.2">
      <c r="M3435" s="20">
        <v>1.6100360939876667E-2</v>
      </c>
      <c r="N3435" s="20">
        <v>1.5542411212842138E-3</v>
      </c>
      <c r="O3435" s="20">
        <v>9.6534551435722024E-2</v>
      </c>
      <c r="P3435" s="20">
        <v>2.0000000000000018E-2</v>
      </c>
      <c r="Q3435" s="20"/>
      <c r="R3435" s="20"/>
      <c r="S3435" s="20"/>
      <c r="T3435" s="20">
        <v>0.98</v>
      </c>
    </row>
    <row r="3436" spans="13:20" x14ac:dyDescent="0.2">
      <c r="M3436" s="20">
        <v>1.1970299990562367E-2</v>
      </c>
      <c r="N3436" s="20">
        <v>1.8073709123079726E-3</v>
      </c>
      <c r="O3436" s="20">
        <v>0.15098793795752333</v>
      </c>
      <c r="P3436" s="20">
        <v>0.33</v>
      </c>
      <c r="Q3436" s="20">
        <v>3.0000000000000027E-2</v>
      </c>
      <c r="R3436" s="20">
        <v>0.15</v>
      </c>
      <c r="S3436" s="20">
        <v>0.01</v>
      </c>
      <c r="T3436" s="20">
        <v>0.48</v>
      </c>
    </row>
    <row r="3437" spans="13:20" x14ac:dyDescent="0.2">
      <c r="M3437" s="20">
        <v>1.3811215636459411E-2</v>
      </c>
      <c r="N3437" s="20">
        <v>1.5188725858995542E-3</v>
      </c>
      <c r="O3437" s="20">
        <v>0.10997385211262448</v>
      </c>
      <c r="P3437" s="20">
        <v>0.09</v>
      </c>
      <c r="Q3437" s="20">
        <v>0.42999999999999994</v>
      </c>
      <c r="R3437" s="20"/>
      <c r="S3437" s="20"/>
      <c r="T3437" s="20">
        <v>0.48</v>
      </c>
    </row>
    <row r="3438" spans="13:20" x14ac:dyDescent="0.2">
      <c r="M3438" s="20">
        <v>1.0031491481697635E-2</v>
      </c>
      <c r="N3438" s="20">
        <v>7.2987843970239753E-4</v>
      </c>
      <c r="O3438" s="20">
        <v>7.2758715992936263E-2</v>
      </c>
      <c r="P3438" s="20"/>
      <c r="Q3438" s="20"/>
      <c r="R3438" s="20">
        <v>0.33</v>
      </c>
      <c r="S3438" s="20">
        <v>0.66999999999999993</v>
      </c>
      <c r="T3438" s="20"/>
    </row>
    <row r="3439" spans="13:20" x14ac:dyDescent="0.2">
      <c r="M3439" s="20">
        <v>1.0392937603379624E-2</v>
      </c>
      <c r="N3439" s="20">
        <v>1.0660938420003895E-3</v>
      </c>
      <c r="O3439" s="20">
        <v>0.10257868205171483</v>
      </c>
      <c r="P3439" s="20"/>
      <c r="Q3439" s="20"/>
      <c r="R3439" s="20">
        <v>0.87</v>
      </c>
      <c r="S3439" s="20">
        <v>0.13000000000000012</v>
      </c>
      <c r="T3439" s="20"/>
    </row>
    <row r="3440" spans="13:20" x14ac:dyDescent="0.2">
      <c r="M3440" s="20">
        <v>9.8334059489317057E-3</v>
      </c>
      <c r="N3440" s="20">
        <v>9.0320687032296185E-4</v>
      </c>
      <c r="O3440" s="20">
        <v>9.1850867849210024E-2</v>
      </c>
      <c r="P3440" s="20"/>
      <c r="Q3440" s="20"/>
      <c r="R3440" s="20">
        <v>0.09</v>
      </c>
      <c r="S3440" s="20">
        <v>0.59</v>
      </c>
      <c r="T3440" s="20">
        <v>0.32000000000000006</v>
      </c>
    </row>
    <row r="3441" spans="13:20" x14ac:dyDescent="0.2">
      <c r="M3441" s="20">
        <v>1.2808183960481218E-2</v>
      </c>
      <c r="N3441" s="20">
        <v>1.9701071861320924E-3</v>
      </c>
      <c r="O3441" s="20">
        <v>0.15381627810864712</v>
      </c>
      <c r="P3441" s="20">
        <v>0.54</v>
      </c>
      <c r="Q3441" s="20">
        <v>0.32</v>
      </c>
      <c r="R3441" s="20">
        <v>0.1399999999999999</v>
      </c>
      <c r="S3441" s="20"/>
      <c r="T3441" s="20"/>
    </row>
    <row r="3442" spans="13:20" x14ac:dyDescent="0.2">
      <c r="M3442" s="20">
        <v>1.1773160982480031E-2</v>
      </c>
      <c r="N3442" s="20">
        <v>1.1863646828060906E-3</v>
      </c>
      <c r="O3442" s="20">
        <v>0.1007685773235882</v>
      </c>
      <c r="P3442" s="20"/>
      <c r="Q3442" s="20">
        <v>0.3</v>
      </c>
      <c r="R3442" s="20">
        <v>0.70000000000000007</v>
      </c>
      <c r="S3442" s="20"/>
      <c r="T3442" s="20"/>
    </row>
    <row r="3443" spans="13:20" x14ac:dyDescent="0.2">
      <c r="M3443" s="20">
        <v>1.6551078644967018E-2</v>
      </c>
      <c r="N3443" s="20">
        <v>1.1593159786480157E-3</v>
      </c>
      <c r="O3443" s="20">
        <v>7.00447386853877E-2</v>
      </c>
      <c r="P3443" s="20">
        <v>0.03</v>
      </c>
      <c r="Q3443" s="20">
        <v>0.76</v>
      </c>
      <c r="R3443" s="20">
        <v>0</v>
      </c>
      <c r="S3443" s="20">
        <v>0.20999999999999996</v>
      </c>
      <c r="T3443" s="20"/>
    </row>
    <row r="3444" spans="13:20" x14ac:dyDescent="0.2">
      <c r="M3444" s="20">
        <v>1.1416955184019167E-2</v>
      </c>
      <c r="N3444" s="20">
        <v>1.0283431534792371E-3</v>
      </c>
      <c r="O3444" s="20">
        <v>9.0071576607277548E-2</v>
      </c>
      <c r="P3444" s="20"/>
      <c r="Q3444" s="20">
        <v>0.3</v>
      </c>
      <c r="R3444" s="20">
        <v>0.43</v>
      </c>
      <c r="S3444" s="20">
        <v>0.26</v>
      </c>
      <c r="T3444" s="20">
        <v>1.0000000000000009E-2</v>
      </c>
    </row>
    <row r="3445" spans="13:20" x14ac:dyDescent="0.2">
      <c r="M3445" s="20">
        <v>1.2518076842735868E-2</v>
      </c>
      <c r="N3445" s="20">
        <v>2.0473849751959645E-3</v>
      </c>
      <c r="O3445" s="20">
        <v>0.16355427442387399</v>
      </c>
      <c r="P3445" s="20">
        <v>0.59</v>
      </c>
      <c r="Q3445" s="20">
        <v>0.24</v>
      </c>
      <c r="R3445" s="20">
        <v>0.13000000000000012</v>
      </c>
      <c r="S3445" s="20"/>
      <c r="T3445" s="20">
        <v>0.04</v>
      </c>
    </row>
    <row r="3446" spans="13:20" x14ac:dyDescent="0.2">
      <c r="M3446" s="20">
        <v>1.5185250871918809E-2</v>
      </c>
      <c r="N3446" s="20">
        <v>1.2374938073565376E-3</v>
      </c>
      <c r="O3446" s="20">
        <v>8.149314211495591E-2</v>
      </c>
      <c r="P3446" s="20"/>
      <c r="Q3446" s="20">
        <v>0.69</v>
      </c>
      <c r="R3446" s="20">
        <v>0.31000000000000005</v>
      </c>
      <c r="S3446" s="20"/>
      <c r="T3446" s="20"/>
    </row>
    <row r="3447" spans="13:20" x14ac:dyDescent="0.2">
      <c r="M3447" s="20">
        <v>9.5703661724533661E-3</v>
      </c>
      <c r="N3447" s="20">
        <v>1.0299789148411512E-3</v>
      </c>
      <c r="O3447" s="20">
        <v>0.1076216830455</v>
      </c>
      <c r="P3447" s="20"/>
      <c r="Q3447" s="20"/>
      <c r="R3447" s="20">
        <v>0.65</v>
      </c>
      <c r="S3447" s="20">
        <v>0.25</v>
      </c>
      <c r="T3447" s="20">
        <v>9.9999999999999867E-2</v>
      </c>
    </row>
    <row r="3448" spans="13:20" x14ac:dyDescent="0.2">
      <c r="M3448" s="20">
        <v>1.4637253852239254E-2</v>
      </c>
      <c r="N3448" s="20">
        <v>2.593554025773609E-3</v>
      </c>
      <c r="O3448" s="20">
        <v>0.17718856637693953</v>
      </c>
      <c r="P3448" s="20">
        <v>1</v>
      </c>
      <c r="Q3448" s="20">
        <v>0</v>
      </c>
      <c r="R3448" s="20"/>
      <c r="S3448" s="20"/>
      <c r="T3448" s="20"/>
    </row>
    <row r="3449" spans="13:20" x14ac:dyDescent="0.2">
      <c r="M3449" s="20">
        <v>1.3784746290399724E-2</v>
      </c>
      <c r="N3449" s="20">
        <v>1.8617928991433205E-3</v>
      </c>
      <c r="O3449" s="20">
        <v>0.13506181832595288</v>
      </c>
      <c r="P3449" s="20">
        <v>0.31000000000000005</v>
      </c>
      <c r="Q3449" s="20"/>
      <c r="R3449" s="20"/>
      <c r="S3449" s="20"/>
      <c r="T3449" s="20">
        <v>0.69</v>
      </c>
    </row>
    <row r="3450" spans="13:20" x14ac:dyDescent="0.2">
      <c r="M3450" s="20">
        <v>1.0293138345401874E-2</v>
      </c>
      <c r="N3450" s="20">
        <v>1.0536414196930565E-3</v>
      </c>
      <c r="O3450" s="20">
        <v>0.10236347597171241</v>
      </c>
      <c r="P3450" s="20"/>
      <c r="Q3450" s="20"/>
      <c r="R3450" s="20">
        <v>0.85</v>
      </c>
      <c r="S3450" s="20">
        <v>0.15000000000000002</v>
      </c>
      <c r="T3450" s="20"/>
    </row>
    <row r="3451" spans="13:20" x14ac:dyDescent="0.2">
      <c r="M3451" s="20">
        <v>1.0958888078150845E-2</v>
      </c>
      <c r="N3451" s="20">
        <v>1.779841404995367E-3</v>
      </c>
      <c r="O3451" s="20">
        <v>0.1624107657914588</v>
      </c>
      <c r="P3451" s="20">
        <v>0.48</v>
      </c>
      <c r="Q3451" s="20"/>
      <c r="R3451" s="20"/>
      <c r="S3451" s="20">
        <v>0.26</v>
      </c>
      <c r="T3451" s="20">
        <v>0.26</v>
      </c>
    </row>
    <row r="3452" spans="13:20" x14ac:dyDescent="0.2">
      <c r="M3452" s="20">
        <v>1.046571883667017E-2</v>
      </c>
      <c r="N3452" s="20">
        <v>1.2472794756663028E-3</v>
      </c>
      <c r="O3452" s="20">
        <v>0.11917762125388265</v>
      </c>
      <c r="P3452" s="20">
        <v>0.13</v>
      </c>
      <c r="Q3452" s="20"/>
      <c r="R3452" s="20"/>
      <c r="S3452" s="20">
        <v>0.42</v>
      </c>
      <c r="T3452" s="20">
        <v>0.45</v>
      </c>
    </row>
    <row r="3453" spans="13:20" x14ac:dyDescent="0.2">
      <c r="M3453" s="20">
        <v>1.0311232922207449E-2</v>
      </c>
      <c r="N3453" s="20">
        <v>9.4803268816138835E-4</v>
      </c>
      <c r="O3453" s="20">
        <v>9.1941739199741759E-2</v>
      </c>
      <c r="P3453" s="20"/>
      <c r="Q3453" s="20"/>
      <c r="R3453" s="20"/>
      <c r="S3453" s="20">
        <v>0.57999999999999996</v>
      </c>
      <c r="T3453" s="20">
        <v>0.42000000000000004</v>
      </c>
    </row>
    <row r="3454" spans="13:20" x14ac:dyDescent="0.2">
      <c r="M3454" s="20">
        <v>1.393487870060163E-2</v>
      </c>
      <c r="N3454" s="20">
        <v>2.3699327754729852E-3</v>
      </c>
      <c r="O3454" s="20">
        <v>0.17007200610728421</v>
      </c>
      <c r="P3454" s="20">
        <v>0.83</v>
      </c>
      <c r="Q3454" s="20">
        <v>0.17000000000000004</v>
      </c>
      <c r="R3454" s="20"/>
      <c r="S3454" s="20"/>
      <c r="T3454" s="20"/>
    </row>
    <row r="3455" spans="13:20" x14ac:dyDescent="0.2">
      <c r="M3455" s="20">
        <v>1.3621378205520344E-2</v>
      </c>
      <c r="N3455" s="20">
        <v>1.8936086003011592E-3</v>
      </c>
      <c r="O3455" s="20">
        <v>0.13901740130332299</v>
      </c>
      <c r="P3455" s="20">
        <v>0.33999999999999997</v>
      </c>
      <c r="Q3455" s="20"/>
      <c r="R3455" s="20"/>
      <c r="S3455" s="20"/>
      <c r="T3455" s="20">
        <v>0.66</v>
      </c>
    </row>
    <row r="3456" spans="13:20" x14ac:dyDescent="0.2">
      <c r="M3456" s="20">
        <v>1.104127549478429E-2</v>
      </c>
      <c r="N3456" s="20">
        <v>1.0954653048250503E-3</v>
      </c>
      <c r="O3456" s="20">
        <v>9.9215467030283735E-2</v>
      </c>
      <c r="P3456" s="20"/>
      <c r="Q3456" s="20"/>
      <c r="R3456" s="20">
        <v>0.01</v>
      </c>
      <c r="S3456" s="20">
        <v>0.43</v>
      </c>
      <c r="T3456" s="20">
        <v>0.56000000000000005</v>
      </c>
    </row>
    <row r="3457" spans="13:20" x14ac:dyDescent="0.2">
      <c r="M3457" s="20">
        <v>1.4237925137556241E-2</v>
      </c>
      <c r="N3457" s="20">
        <v>1.654203771743796E-3</v>
      </c>
      <c r="O3457" s="20">
        <v>0.11618292382928762</v>
      </c>
      <c r="P3457" s="20">
        <v>0.15</v>
      </c>
      <c r="Q3457" s="20">
        <v>3.0000000000000027E-2</v>
      </c>
      <c r="R3457" s="20"/>
      <c r="S3457" s="20">
        <v>0.03</v>
      </c>
      <c r="T3457" s="20">
        <v>0.79</v>
      </c>
    </row>
    <row r="3458" spans="13:20" x14ac:dyDescent="0.2">
      <c r="M3458" s="20">
        <v>1.2698758306638375E-2</v>
      </c>
      <c r="N3458" s="20">
        <v>1.7291154797640564E-3</v>
      </c>
      <c r="O3458" s="20">
        <v>0.13616413810003358</v>
      </c>
      <c r="P3458" s="20">
        <v>0.27999999999999992</v>
      </c>
      <c r="Q3458" s="20"/>
      <c r="R3458" s="20"/>
      <c r="S3458" s="20">
        <v>0.1</v>
      </c>
      <c r="T3458" s="20">
        <v>0.62</v>
      </c>
    </row>
    <row r="3459" spans="13:20" x14ac:dyDescent="0.2">
      <c r="M3459" s="20">
        <v>1.0258850148799391E-2</v>
      </c>
      <c r="N3459" s="20">
        <v>9.2786034451710307E-4</v>
      </c>
      <c r="O3459" s="20">
        <v>9.0444867705343379E-2</v>
      </c>
      <c r="P3459" s="20"/>
      <c r="Q3459" s="20"/>
      <c r="R3459" s="20"/>
      <c r="S3459" s="20">
        <v>0.6</v>
      </c>
      <c r="T3459" s="20">
        <v>0.39999999999999991</v>
      </c>
    </row>
    <row r="3460" spans="13:20" x14ac:dyDescent="0.2">
      <c r="M3460" s="20">
        <v>1.0457552217227443E-2</v>
      </c>
      <c r="N3460" s="20">
        <v>9.8837737544995837E-4</v>
      </c>
      <c r="O3460" s="20">
        <v>9.4513262273913073E-2</v>
      </c>
      <c r="P3460" s="20"/>
      <c r="Q3460" s="20"/>
      <c r="R3460" s="20"/>
      <c r="S3460" s="20">
        <v>0.54</v>
      </c>
      <c r="T3460" s="20">
        <v>0.45999999999999996</v>
      </c>
    </row>
    <row r="3461" spans="13:20" x14ac:dyDescent="0.2">
      <c r="M3461" s="20">
        <v>9.5662104058997343E-3</v>
      </c>
      <c r="N3461" s="20">
        <v>8.7930750739039398E-4</v>
      </c>
      <c r="O3461" s="20">
        <v>9.1918060556989395E-2</v>
      </c>
      <c r="P3461" s="20"/>
      <c r="Q3461" s="20"/>
      <c r="R3461" s="20">
        <v>0.56999999999999995</v>
      </c>
      <c r="S3461" s="20">
        <v>0.43000000000000005</v>
      </c>
      <c r="T3461" s="20"/>
    </row>
    <row r="3462" spans="13:20" x14ac:dyDescent="0.2">
      <c r="M3462" s="20">
        <v>1.0192156839305608E-2</v>
      </c>
      <c r="N3462" s="20">
        <v>8.4717096993996315E-4</v>
      </c>
      <c r="O3462" s="20">
        <v>8.3119891431898421E-2</v>
      </c>
      <c r="P3462" s="20"/>
      <c r="Q3462" s="20"/>
      <c r="R3462" s="20"/>
      <c r="S3462" s="20">
        <v>0.68</v>
      </c>
      <c r="T3462" s="20">
        <v>0.31999999999999995</v>
      </c>
    </row>
    <row r="3463" spans="13:20" x14ac:dyDescent="0.2">
      <c r="M3463" s="20">
        <v>1.4723279088520291E-2</v>
      </c>
      <c r="N3463" s="20">
        <v>1.4937291089040404E-3</v>
      </c>
      <c r="O3463" s="20">
        <v>0.10145356207155631</v>
      </c>
      <c r="P3463" s="20">
        <v>0.15</v>
      </c>
      <c r="Q3463" s="20">
        <v>0.62000000000000011</v>
      </c>
      <c r="R3463" s="20"/>
      <c r="S3463" s="20">
        <v>0.04</v>
      </c>
      <c r="T3463" s="20">
        <v>0.19</v>
      </c>
    </row>
    <row r="3464" spans="13:20" x14ac:dyDescent="0.2">
      <c r="M3464" s="20">
        <v>1.3306023585005959E-2</v>
      </c>
      <c r="N3464" s="20">
        <v>1.9678452363361158E-3</v>
      </c>
      <c r="O3464" s="20">
        <v>0.14789130830593178</v>
      </c>
      <c r="P3464" s="20">
        <v>0.40999999999999992</v>
      </c>
      <c r="Q3464" s="20"/>
      <c r="R3464" s="20"/>
      <c r="S3464" s="20"/>
      <c r="T3464" s="20">
        <v>0.59</v>
      </c>
    </row>
    <row r="3465" spans="13:20" x14ac:dyDescent="0.2">
      <c r="M3465" s="20">
        <v>1.3737670672684263E-2</v>
      </c>
      <c r="N3465" s="20">
        <v>1.6487768825619764E-3</v>
      </c>
      <c r="O3465" s="20">
        <v>0.12001866414226793</v>
      </c>
      <c r="P3465" s="20">
        <v>0.15</v>
      </c>
      <c r="Q3465" s="20">
        <v>0.17000000000000004</v>
      </c>
      <c r="R3465" s="20"/>
      <c r="S3465" s="20"/>
      <c r="T3465" s="20">
        <v>0.68</v>
      </c>
    </row>
    <row r="3466" spans="13:20" x14ac:dyDescent="0.2">
      <c r="M3466" s="20">
        <v>1.0111038660449708E-2</v>
      </c>
      <c r="N3466" s="20">
        <v>1.0287365750783904E-3</v>
      </c>
      <c r="O3466" s="20">
        <v>0.10174390679588553</v>
      </c>
      <c r="P3466" s="20"/>
      <c r="Q3466" s="20"/>
      <c r="R3466" s="20">
        <v>0.81</v>
      </c>
      <c r="S3466" s="20">
        <v>0.19000000000000006</v>
      </c>
      <c r="T3466" s="20"/>
    </row>
    <row r="3467" spans="13:20" x14ac:dyDescent="0.2">
      <c r="M3467" s="20">
        <v>1.1023386769699602E-2</v>
      </c>
      <c r="N3467" s="20">
        <v>1.2868334876815534E-3</v>
      </c>
      <c r="O3467" s="20">
        <v>0.11673667218306454</v>
      </c>
      <c r="P3467" s="20"/>
      <c r="Q3467" s="20">
        <v>0.09</v>
      </c>
      <c r="R3467" s="20">
        <v>0.5</v>
      </c>
      <c r="S3467" s="20">
        <v>0.03</v>
      </c>
      <c r="T3467" s="20">
        <v>0.37999999999999989</v>
      </c>
    </row>
    <row r="3468" spans="13:20" x14ac:dyDescent="0.2">
      <c r="M3468" s="20">
        <v>1.0881542269800948E-2</v>
      </c>
      <c r="N3468" s="20">
        <v>8.086760028514241E-4</v>
      </c>
      <c r="O3468" s="20">
        <v>7.4316303957730895E-2</v>
      </c>
      <c r="P3468" s="20">
        <v>0.10999999999999999</v>
      </c>
      <c r="Q3468" s="20"/>
      <c r="R3468" s="20">
        <v>0.01</v>
      </c>
      <c r="S3468" s="20">
        <v>0.83</v>
      </c>
      <c r="T3468" s="20">
        <v>0.05</v>
      </c>
    </row>
    <row r="3469" spans="13:20" x14ac:dyDescent="0.2">
      <c r="M3469" s="20">
        <v>1.1636617847707356E-2</v>
      </c>
      <c r="N3469" s="20">
        <v>7.3438327198372452E-4</v>
      </c>
      <c r="O3469" s="20">
        <v>6.3109683723816062E-2</v>
      </c>
      <c r="P3469" s="20">
        <v>0.02</v>
      </c>
      <c r="Q3469" s="20">
        <v>0.12999999999999989</v>
      </c>
      <c r="R3469" s="20"/>
      <c r="S3469" s="20">
        <v>0.78</v>
      </c>
      <c r="T3469" s="20">
        <v>7.0000000000000007E-2</v>
      </c>
    </row>
    <row r="3470" spans="13:20" x14ac:dyDescent="0.2">
      <c r="M3470" s="20">
        <v>1.0306945055218125E-2</v>
      </c>
      <c r="N3470" s="20">
        <v>9.2256639671547686E-4</v>
      </c>
      <c r="O3470" s="20">
        <v>8.9509199066546558E-2</v>
      </c>
      <c r="P3470" s="20"/>
      <c r="Q3470" s="20">
        <v>0.14000000000000001</v>
      </c>
      <c r="R3470" s="20">
        <v>0.47</v>
      </c>
      <c r="S3470" s="20">
        <v>0.39</v>
      </c>
      <c r="T3470" s="20">
        <v>0</v>
      </c>
    </row>
    <row r="3471" spans="13:20" x14ac:dyDescent="0.2">
      <c r="M3471" s="20">
        <v>1.5807718646568845E-2</v>
      </c>
      <c r="N3471" s="20">
        <v>1.5860568224420528E-3</v>
      </c>
      <c r="O3471" s="20">
        <v>0.10033432767265979</v>
      </c>
      <c r="P3471" s="20">
        <v>5.0000000000000155E-2</v>
      </c>
      <c r="Q3471" s="20"/>
      <c r="R3471" s="20"/>
      <c r="S3471" s="20"/>
      <c r="T3471" s="20">
        <v>0.95</v>
      </c>
    </row>
    <row r="3472" spans="13:20" x14ac:dyDescent="0.2">
      <c r="M3472" s="20">
        <v>1.1989094644060314E-2</v>
      </c>
      <c r="N3472" s="20">
        <v>1.3483737116401868E-3</v>
      </c>
      <c r="O3472" s="20">
        <v>0.11246668340450573</v>
      </c>
      <c r="P3472" s="20"/>
      <c r="Q3472" s="20"/>
      <c r="R3472" s="20">
        <v>0.4</v>
      </c>
      <c r="S3472" s="20">
        <v>0.03</v>
      </c>
      <c r="T3472" s="20">
        <v>0.56999999999999995</v>
      </c>
    </row>
    <row r="3473" spans="13:20" x14ac:dyDescent="0.2">
      <c r="M3473" s="20">
        <v>1.0243260330531622E-2</v>
      </c>
      <c r="N3473" s="20">
        <v>1.5441436916299386E-3</v>
      </c>
      <c r="O3473" s="20">
        <v>0.15074728570818213</v>
      </c>
      <c r="P3473" s="20">
        <v>0.25</v>
      </c>
      <c r="Q3473" s="20"/>
      <c r="R3473" s="20">
        <v>0.24</v>
      </c>
      <c r="S3473" s="20">
        <v>0.16</v>
      </c>
      <c r="T3473" s="20">
        <v>0.35</v>
      </c>
    </row>
    <row r="3474" spans="13:20" x14ac:dyDescent="0.2">
      <c r="M3474" s="20">
        <v>1.1004230292705927E-2</v>
      </c>
      <c r="N3474" s="20">
        <v>6.4544753349711243E-4</v>
      </c>
      <c r="O3474" s="20">
        <v>5.865449162082173E-2</v>
      </c>
      <c r="P3474" s="20"/>
      <c r="Q3474" s="20"/>
      <c r="R3474" s="20"/>
      <c r="S3474" s="20">
        <v>0.88</v>
      </c>
      <c r="T3474" s="20">
        <v>0.11999999999999988</v>
      </c>
    </row>
    <row r="3475" spans="13:20" x14ac:dyDescent="0.2">
      <c r="M3475" s="20">
        <v>1.0994366276318106E-2</v>
      </c>
      <c r="N3475" s="20">
        <v>1.1567406630832357E-3</v>
      </c>
      <c r="O3475" s="20">
        <v>0.10521212719416655</v>
      </c>
      <c r="P3475" s="20"/>
      <c r="Q3475" s="20">
        <v>0.19</v>
      </c>
      <c r="R3475" s="20">
        <v>0.17</v>
      </c>
      <c r="S3475" s="20">
        <v>0.26</v>
      </c>
      <c r="T3475" s="20">
        <v>0.37999999999999989</v>
      </c>
    </row>
    <row r="3476" spans="13:20" x14ac:dyDescent="0.2">
      <c r="M3476" s="20">
        <v>1.4912738377618208E-2</v>
      </c>
      <c r="N3476" s="20">
        <v>1.6921091596348479E-3</v>
      </c>
      <c r="O3476" s="20">
        <v>0.11346736707823232</v>
      </c>
      <c r="P3476" s="20">
        <v>0.15000000000000002</v>
      </c>
      <c r="Q3476" s="20"/>
      <c r="R3476" s="20"/>
      <c r="S3476" s="20"/>
      <c r="T3476" s="20">
        <v>0.85</v>
      </c>
    </row>
    <row r="3477" spans="13:20" x14ac:dyDescent="0.2">
      <c r="M3477" s="20">
        <v>8.0711792094108163E-3</v>
      </c>
      <c r="N3477" s="20">
        <v>1.0516896238450279E-3</v>
      </c>
      <c r="O3477" s="20">
        <v>0.1303018551017652</v>
      </c>
      <c r="P3477" s="20">
        <v>0.18</v>
      </c>
      <c r="Q3477" s="20">
        <v>0.23</v>
      </c>
      <c r="R3477" s="20">
        <v>7.0000000000000007E-2</v>
      </c>
      <c r="S3477" s="20">
        <v>0.08</v>
      </c>
      <c r="T3477" s="20">
        <v>0.11</v>
      </c>
    </row>
    <row r="3478" spans="13:20" x14ac:dyDescent="0.2">
      <c r="M3478" s="20">
        <v>1.396711256181948E-2</v>
      </c>
      <c r="N3478" s="20">
        <v>2.0936947603957439E-3</v>
      </c>
      <c r="O3478" s="20">
        <v>0.14990176037666303</v>
      </c>
      <c r="P3478" s="20">
        <v>0.62</v>
      </c>
      <c r="Q3478" s="20">
        <v>0.37999999999999989</v>
      </c>
      <c r="R3478" s="20"/>
      <c r="S3478" s="20"/>
      <c r="T3478" s="20"/>
    </row>
    <row r="3479" spans="13:20" x14ac:dyDescent="0.2">
      <c r="M3479" s="20">
        <v>1.3395386703779596E-2</v>
      </c>
      <c r="N3479" s="20">
        <v>9.6451849891071551E-4</v>
      </c>
      <c r="O3479" s="20">
        <v>7.2003781618232066E-2</v>
      </c>
      <c r="P3479" s="20"/>
      <c r="Q3479" s="20">
        <v>0.46</v>
      </c>
      <c r="R3479" s="20">
        <v>0.15</v>
      </c>
      <c r="S3479" s="20">
        <v>0.3899999999999999</v>
      </c>
      <c r="T3479" s="20"/>
    </row>
    <row r="3480" spans="13:20" x14ac:dyDescent="0.2">
      <c r="M3480" s="20">
        <v>1.32976647931668E-2</v>
      </c>
      <c r="N3480" s="20">
        <v>1.7425529262506648E-3</v>
      </c>
      <c r="O3480" s="20">
        <v>0.13104202529951733</v>
      </c>
      <c r="P3480" s="20">
        <v>0.37</v>
      </c>
      <c r="Q3480" s="20">
        <v>0.46</v>
      </c>
      <c r="R3480" s="20">
        <v>0.16999999999999982</v>
      </c>
      <c r="S3480" s="20"/>
      <c r="T3480" s="20"/>
    </row>
    <row r="3481" spans="13:20" x14ac:dyDescent="0.2">
      <c r="M3481" s="20">
        <v>1.2772311521681195E-2</v>
      </c>
      <c r="N3481" s="20">
        <v>8.0918780881963502E-4</v>
      </c>
      <c r="O3481" s="20">
        <v>6.3354844379267319E-2</v>
      </c>
      <c r="P3481" s="20"/>
      <c r="Q3481" s="20">
        <v>0.32</v>
      </c>
      <c r="R3481" s="20">
        <v>7.0000000000000007E-2</v>
      </c>
      <c r="S3481" s="20">
        <v>0.60999999999999988</v>
      </c>
      <c r="T3481" s="20"/>
    </row>
    <row r="3482" spans="13:20" x14ac:dyDescent="0.2">
      <c r="M3482" s="20">
        <v>1.2446291720065337E-2</v>
      </c>
      <c r="N3482" s="20">
        <v>1.4289383279775928E-3</v>
      </c>
      <c r="O3482" s="20">
        <v>0.11480835899691509</v>
      </c>
      <c r="P3482" s="20">
        <v>0.06</v>
      </c>
      <c r="Q3482" s="20">
        <v>0.34</v>
      </c>
      <c r="R3482" s="20">
        <v>0.20999999999999996</v>
      </c>
      <c r="S3482" s="20"/>
      <c r="T3482" s="20">
        <v>0.39</v>
      </c>
    </row>
    <row r="3483" spans="13:20" x14ac:dyDescent="0.2">
      <c r="M3483" s="20">
        <v>1.048034784882086E-2</v>
      </c>
      <c r="N3483" s="20">
        <v>1.6256528457294461E-3</v>
      </c>
      <c r="O3483" s="20">
        <v>0.15511439784055905</v>
      </c>
      <c r="P3483" s="20">
        <v>0.32</v>
      </c>
      <c r="Q3483" s="20">
        <v>0.12</v>
      </c>
      <c r="R3483" s="20">
        <v>0.55999999999999994</v>
      </c>
      <c r="S3483" s="20"/>
      <c r="T3483" s="20"/>
    </row>
    <row r="3484" spans="13:20" x14ac:dyDescent="0.2">
      <c r="M3484" s="20">
        <v>1.2640245607014244E-2</v>
      </c>
      <c r="N3484" s="20">
        <v>9.6910490205644119E-4</v>
      </c>
      <c r="O3484" s="20">
        <v>7.6668201883567169E-2</v>
      </c>
      <c r="P3484" s="20"/>
      <c r="Q3484" s="20">
        <v>0.4</v>
      </c>
      <c r="R3484" s="20">
        <v>0.23</v>
      </c>
      <c r="S3484" s="20">
        <v>0.37</v>
      </c>
      <c r="T3484" s="20"/>
    </row>
    <row r="3485" spans="13:20" x14ac:dyDescent="0.2">
      <c r="M3485" s="20">
        <v>1.2938053536493532E-2</v>
      </c>
      <c r="N3485" s="20">
        <v>1.913088917904404E-3</v>
      </c>
      <c r="O3485" s="20">
        <v>0.14786528070148092</v>
      </c>
      <c r="P3485" s="20">
        <v>0.38</v>
      </c>
      <c r="Q3485" s="20">
        <v>8.9999999999999969E-2</v>
      </c>
      <c r="R3485" s="20"/>
      <c r="S3485" s="20"/>
      <c r="T3485" s="20">
        <v>0.53</v>
      </c>
    </row>
    <row r="3486" spans="13:20" x14ac:dyDescent="0.2">
      <c r="M3486" s="20">
        <v>1.0942937885282049E-2</v>
      </c>
      <c r="N3486" s="20">
        <v>1.4379996223221781E-3</v>
      </c>
      <c r="O3486" s="20">
        <v>0.13140891755003456</v>
      </c>
      <c r="P3486" s="20">
        <v>0.18</v>
      </c>
      <c r="Q3486" s="20">
        <v>0.24</v>
      </c>
      <c r="R3486" s="20">
        <v>0.53</v>
      </c>
      <c r="S3486" s="20">
        <v>2.0000000000000018E-2</v>
      </c>
      <c r="T3486" s="20">
        <v>0.03</v>
      </c>
    </row>
    <row r="3487" spans="13:20" x14ac:dyDescent="0.2">
      <c r="M3487" s="20">
        <v>1.446912698500487E-2</v>
      </c>
      <c r="N3487" s="20">
        <v>2.5540914521911462E-3</v>
      </c>
      <c r="O3487" s="20">
        <v>0.17652007994940452</v>
      </c>
      <c r="P3487" s="20">
        <v>0.97</v>
      </c>
      <c r="Q3487" s="20">
        <v>3.0000000000000027E-2</v>
      </c>
      <c r="R3487" s="20"/>
      <c r="S3487" s="20"/>
      <c r="T3487" s="20"/>
    </row>
    <row r="3488" spans="13:20" x14ac:dyDescent="0.2">
      <c r="M3488" s="20">
        <v>1.3046086004781228E-2</v>
      </c>
      <c r="N3488" s="20">
        <v>1.4459427370182906E-3</v>
      </c>
      <c r="O3488" s="20">
        <v>0.11083345123498117</v>
      </c>
      <c r="P3488" s="20">
        <v>0.1</v>
      </c>
      <c r="Q3488" s="20">
        <v>0.47</v>
      </c>
      <c r="R3488" s="20">
        <v>0.19000000000000006</v>
      </c>
      <c r="S3488" s="20"/>
      <c r="T3488" s="20">
        <v>0.24</v>
      </c>
    </row>
    <row r="3489" spans="13:20" x14ac:dyDescent="0.2">
      <c r="M3489" s="20">
        <v>1.6593473067402938E-2</v>
      </c>
      <c r="N3489" s="20">
        <v>1.5675271126295704E-3</v>
      </c>
      <c r="O3489" s="20">
        <v>9.4466487290650464E-2</v>
      </c>
      <c r="P3489" s="20">
        <v>0.22</v>
      </c>
      <c r="Q3489" s="20">
        <v>0.77999999999999992</v>
      </c>
      <c r="R3489" s="20"/>
      <c r="S3489" s="20"/>
      <c r="T3489" s="20"/>
    </row>
    <row r="3490" spans="13:20" x14ac:dyDescent="0.2">
      <c r="M3490" s="20">
        <v>1.055091249018629E-2</v>
      </c>
      <c r="N3490" s="20">
        <v>1.0085497190942434E-3</v>
      </c>
      <c r="O3490" s="20">
        <v>9.5588862103853561E-2</v>
      </c>
      <c r="P3490" s="20"/>
      <c r="Q3490" s="20"/>
      <c r="R3490" s="20"/>
      <c r="S3490" s="20">
        <v>0.52</v>
      </c>
      <c r="T3490" s="20">
        <v>0.48</v>
      </c>
    </row>
    <row r="3491" spans="13:20" x14ac:dyDescent="0.2">
      <c r="M3491" s="20">
        <v>1.409250508640581E-2</v>
      </c>
      <c r="N3491" s="20">
        <v>1.8087667305469227E-3</v>
      </c>
      <c r="O3491" s="20">
        <v>0.12834955314592938</v>
      </c>
      <c r="P3491" s="20">
        <v>0.26</v>
      </c>
      <c r="Q3491" s="20"/>
      <c r="R3491" s="20"/>
      <c r="S3491" s="20"/>
      <c r="T3491" s="20">
        <v>0.74</v>
      </c>
    </row>
    <row r="3492" spans="13:20" x14ac:dyDescent="0.2">
      <c r="M3492" s="20">
        <v>1.0277058390703801E-2</v>
      </c>
      <c r="N3492" s="20">
        <v>1.3284939025045221E-3</v>
      </c>
      <c r="O3492" s="20">
        <v>0.12926791422205233</v>
      </c>
      <c r="P3492" s="20">
        <v>7.999999999999996E-2</v>
      </c>
      <c r="Q3492" s="20"/>
      <c r="R3492" s="20">
        <v>0.41</v>
      </c>
      <c r="S3492" s="20">
        <v>0.13</v>
      </c>
      <c r="T3492" s="20">
        <v>0.38</v>
      </c>
    </row>
    <row r="3493" spans="13:20" x14ac:dyDescent="0.2">
      <c r="M3493" s="20">
        <v>1.0192156839305608E-2</v>
      </c>
      <c r="N3493" s="20">
        <v>8.4717096993996315E-4</v>
      </c>
      <c r="O3493" s="20">
        <v>8.3119891431898421E-2</v>
      </c>
      <c r="P3493" s="20"/>
      <c r="Q3493" s="20"/>
      <c r="R3493" s="20"/>
      <c r="S3493" s="20">
        <v>0.68</v>
      </c>
      <c r="T3493" s="20">
        <v>0.32000000000000006</v>
      </c>
    </row>
    <row r="3494" spans="13:20" x14ac:dyDescent="0.2">
      <c r="M3494" s="20">
        <v>1.3920174483762862E-2</v>
      </c>
      <c r="N3494" s="20">
        <v>2.1200031427840525E-3</v>
      </c>
      <c r="O3494" s="20">
        <v>0.15229716734204177</v>
      </c>
      <c r="P3494" s="20">
        <v>0.64</v>
      </c>
      <c r="Q3494" s="20">
        <v>0.35999999999999988</v>
      </c>
      <c r="R3494" s="20"/>
      <c r="S3494" s="20"/>
      <c r="T3494" s="20"/>
    </row>
    <row r="3495" spans="13:20" x14ac:dyDescent="0.2">
      <c r="M3495" s="20">
        <v>1.2947232663544632E-2</v>
      </c>
      <c r="N3495" s="20">
        <v>2.24144175938229E-3</v>
      </c>
      <c r="O3495" s="20">
        <v>0.17312130071574991</v>
      </c>
      <c r="P3495" s="20">
        <v>0.68</v>
      </c>
      <c r="Q3495" s="20">
        <v>5.0000000000000044E-2</v>
      </c>
      <c r="R3495" s="20"/>
      <c r="S3495" s="20"/>
      <c r="T3495" s="20">
        <v>0.27</v>
      </c>
    </row>
    <row r="3496" spans="13:20" x14ac:dyDescent="0.2">
      <c r="M3496" s="20">
        <v>1.3714248450234227E-2</v>
      </c>
      <c r="N3496" s="20">
        <v>1.4152546990170232E-3</v>
      </c>
      <c r="O3496" s="20">
        <v>0.10319593553760156</v>
      </c>
      <c r="P3496" s="20">
        <v>0.02</v>
      </c>
      <c r="Q3496" s="20">
        <v>0.10999999999999988</v>
      </c>
      <c r="R3496" s="20"/>
      <c r="S3496" s="20">
        <v>0.11</v>
      </c>
      <c r="T3496" s="20">
        <v>0.76</v>
      </c>
    </row>
    <row r="3497" spans="13:20" x14ac:dyDescent="0.2">
      <c r="M3497" s="20">
        <v>1.3474696834592237E-2</v>
      </c>
      <c r="N3497" s="20">
        <v>1.9254243014589978E-3</v>
      </c>
      <c r="O3497" s="20">
        <v>0.14289184573830627</v>
      </c>
      <c r="P3497" s="20">
        <v>0.37</v>
      </c>
      <c r="Q3497" s="20"/>
      <c r="R3497" s="20"/>
      <c r="S3497" s="20"/>
      <c r="T3497" s="20">
        <v>0.63</v>
      </c>
    </row>
    <row r="3498" spans="13:20" x14ac:dyDescent="0.2">
      <c r="M3498" s="20">
        <v>1.2838856754486346E-2</v>
      </c>
      <c r="N3498" s="20">
        <v>1.8065346423356355E-3</v>
      </c>
      <c r="O3498" s="20">
        <v>0.14070837278438902</v>
      </c>
      <c r="P3498" s="20">
        <v>0.33</v>
      </c>
      <c r="Q3498" s="20">
        <v>0.3</v>
      </c>
      <c r="R3498" s="20">
        <v>0</v>
      </c>
      <c r="S3498" s="20"/>
      <c r="T3498" s="20">
        <v>0.37</v>
      </c>
    </row>
    <row r="3499" spans="13:20" x14ac:dyDescent="0.2">
      <c r="M3499" s="20">
        <v>1.3025664141353185E-2</v>
      </c>
      <c r="N3499" s="20">
        <v>2.0738975735289113E-3</v>
      </c>
      <c r="O3499" s="20">
        <v>0.15921626344907908</v>
      </c>
      <c r="P3499" s="20">
        <v>0.51</v>
      </c>
      <c r="Q3499" s="20"/>
      <c r="R3499" s="20"/>
      <c r="S3499" s="20"/>
      <c r="T3499" s="20">
        <v>0.49</v>
      </c>
    </row>
    <row r="3500" spans="13:20" x14ac:dyDescent="0.2">
      <c r="M3500" s="20">
        <v>1.3842888435093081E-2</v>
      </c>
      <c r="N3500" s="20">
        <v>2.1857740987548243E-3</v>
      </c>
      <c r="O3500" s="20">
        <v>0.15789870076635684</v>
      </c>
      <c r="P3500" s="20">
        <v>0.69</v>
      </c>
      <c r="Q3500" s="20">
        <v>0.31000000000000005</v>
      </c>
      <c r="R3500" s="20"/>
      <c r="S3500" s="20"/>
      <c r="T3500" s="20"/>
    </row>
    <row r="3501" spans="13:20" x14ac:dyDescent="0.2">
      <c r="M3501" s="20">
        <v>1.1316847661369096E-2</v>
      </c>
      <c r="N3501" s="20">
        <v>6.0510284620854252E-4</v>
      </c>
      <c r="O3501" s="20">
        <v>5.3469204880622921E-2</v>
      </c>
      <c r="P3501" s="20"/>
      <c r="Q3501" s="20"/>
      <c r="R3501" s="20"/>
      <c r="S3501" s="20">
        <v>0.92</v>
      </c>
      <c r="T3501" s="20">
        <v>7.999999999999996E-2</v>
      </c>
    </row>
    <row r="3502" spans="13:20" x14ac:dyDescent="0.2">
      <c r="M3502" s="20">
        <v>1.1383691064210772E-2</v>
      </c>
      <c r="N3502" s="20">
        <v>5.8044937201440097E-4</v>
      </c>
      <c r="O3502" s="20">
        <v>5.0989557669856127E-2</v>
      </c>
      <c r="P3502" s="20"/>
      <c r="Q3502" s="20"/>
      <c r="R3502" s="20">
        <v>0.09</v>
      </c>
      <c r="S3502" s="20">
        <v>0.90999999999999992</v>
      </c>
      <c r="T3502" s="20"/>
    </row>
    <row r="3503" spans="13:20" x14ac:dyDescent="0.2">
      <c r="M3503" s="20">
        <v>1.293078296579264E-2</v>
      </c>
      <c r="N3503" s="20">
        <v>9.5927448613631065E-4</v>
      </c>
      <c r="O3503" s="20">
        <v>7.4185336547214126E-2</v>
      </c>
      <c r="P3503" s="20"/>
      <c r="Q3503" s="20">
        <v>0.42</v>
      </c>
      <c r="R3503" s="20">
        <v>0.19</v>
      </c>
      <c r="S3503" s="20">
        <v>0.3899999999999999</v>
      </c>
      <c r="T3503" s="20"/>
    </row>
    <row r="3504" spans="13:20" x14ac:dyDescent="0.2">
      <c r="M3504" s="20">
        <v>1.3826620564832233E-2</v>
      </c>
      <c r="N3504" s="20">
        <v>2.2646992459197505E-3</v>
      </c>
      <c r="O3504" s="20">
        <v>0.16379268059759833</v>
      </c>
      <c r="P3504" s="20">
        <v>0.75</v>
      </c>
      <c r="Q3504" s="20">
        <v>0.25</v>
      </c>
      <c r="R3504" s="20"/>
      <c r="S3504" s="20"/>
      <c r="T3504" s="20"/>
    </row>
    <row r="3505" spans="13:20" x14ac:dyDescent="0.2">
      <c r="M3505" s="20">
        <v>1.0345406250637363E-2</v>
      </c>
      <c r="N3505" s="20">
        <v>6.8629496162673196E-4</v>
      </c>
      <c r="O3505" s="20">
        <v>6.6338135497042511E-2</v>
      </c>
      <c r="P3505" s="20"/>
      <c r="Q3505" s="20"/>
      <c r="R3505" s="20">
        <v>0.26</v>
      </c>
      <c r="S3505" s="20">
        <v>0.7400000000000001</v>
      </c>
      <c r="T3505" s="20"/>
    </row>
    <row r="3506" spans="13:20" x14ac:dyDescent="0.2">
      <c r="M3506" s="20">
        <v>1.6482271217304091E-2</v>
      </c>
      <c r="N3506" s="20">
        <v>1.2519148424861505E-3</v>
      </c>
      <c r="O3506" s="20">
        <v>7.595523857002269E-2</v>
      </c>
      <c r="P3506" s="20"/>
      <c r="Q3506" s="20">
        <v>0.8</v>
      </c>
      <c r="R3506" s="20">
        <v>0.19999999999999984</v>
      </c>
      <c r="S3506" s="20"/>
      <c r="T3506" s="20"/>
    </row>
    <row r="3507" spans="13:20" x14ac:dyDescent="0.2">
      <c r="M3507" s="20">
        <v>1.0342908440868175E-2</v>
      </c>
      <c r="N3507" s="20">
        <v>9.9696983708881569E-4</v>
      </c>
      <c r="O3507" s="20">
        <v>9.6391633242102925E-2</v>
      </c>
      <c r="P3507" s="20"/>
      <c r="Q3507" s="20"/>
      <c r="R3507" s="20">
        <v>0.03</v>
      </c>
      <c r="S3507" s="20">
        <v>0.52</v>
      </c>
      <c r="T3507" s="20">
        <v>0.45000000000000007</v>
      </c>
    </row>
    <row r="3508" spans="13:20" x14ac:dyDescent="0.2">
      <c r="M3508" s="20">
        <v>1.1787333187213925E-2</v>
      </c>
      <c r="N3508" s="20">
        <v>1.8534475919089284E-3</v>
      </c>
      <c r="O3508" s="20">
        <v>0.1572406211372237</v>
      </c>
      <c r="P3508" s="20">
        <v>0.47</v>
      </c>
      <c r="Q3508" s="20">
        <v>0.25</v>
      </c>
      <c r="R3508" s="20">
        <v>0.27</v>
      </c>
      <c r="S3508" s="20">
        <v>1.0000000000000009E-2</v>
      </c>
      <c r="T3508" s="20"/>
    </row>
    <row r="3509" spans="13:20" x14ac:dyDescent="0.2">
      <c r="M3509" s="20">
        <v>1.2956551174077428E-2</v>
      </c>
      <c r="N3509" s="20">
        <v>2.1799499107217064E-3</v>
      </c>
      <c r="O3509" s="20">
        <v>0.16825078536973631</v>
      </c>
      <c r="P3509" s="20">
        <v>0.60999999999999988</v>
      </c>
      <c r="Q3509" s="20"/>
      <c r="R3509" s="20"/>
      <c r="S3509" s="20"/>
      <c r="T3509" s="20">
        <v>0.39</v>
      </c>
    </row>
    <row r="3510" spans="13:20" x14ac:dyDescent="0.2">
      <c r="M3510" s="20">
        <v>1.4712403566782219E-2</v>
      </c>
      <c r="N3510" s="20">
        <v>1.4220827638020868E-3</v>
      </c>
      <c r="O3510" s="20">
        <v>9.6658765330015578E-2</v>
      </c>
      <c r="P3510" s="20"/>
      <c r="Q3510" s="20"/>
      <c r="R3510" s="20"/>
      <c r="S3510" s="20">
        <v>0.11</v>
      </c>
      <c r="T3510" s="20">
        <v>0.8899999999999999</v>
      </c>
    </row>
    <row r="3511" spans="13:20" x14ac:dyDescent="0.2">
      <c r="M3511" s="20">
        <v>1.8132536690980541E-2</v>
      </c>
      <c r="N3511" s="20">
        <v>1.2689578840029666E-3</v>
      </c>
      <c r="O3511" s="20">
        <v>6.9982369572932926E-2</v>
      </c>
      <c r="P3511" s="20"/>
      <c r="Q3511" s="20">
        <v>0.93</v>
      </c>
      <c r="R3511" s="20">
        <v>7.0000000000000062E-2</v>
      </c>
      <c r="S3511" s="20"/>
      <c r="T3511" s="20"/>
    </row>
    <row r="3512" spans="13:20" x14ac:dyDescent="0.2">
      <c r="M3512" s="20">
        <v>1.2137228702577031E-2</v>
      </c>
      <c r="N3512" s="20">
        <v>1.1942307019676976E-3</v>
      </c>
      <c r="O3512" s="20">
        <v>9.839401820896175E-2</v>
      </c>
      <c r="P3512" s="20"/>
      <c r="Q3512" s="20">
        <v>0.36</v>
      </c>
      <c r="R3512" s="20">
        <v>0.64</v>
      </c>
      <c r="S3512" s="20"/>
      <c r="T3512" s="20"/>
    </row>
    <row r="3513" spans="13:20" x14ac:dyDescent="0.2">
      <c r="M3513" s="20">
        <v>1.6100360939876667E-2</v>
      </c>
      <c r="N3513" s="20">
        <v>1.5542411212842138E-3</v>
      </c>
      <c r="O3513" s="20">
        <v>9.6534551435722024E-2</v>
      </c>
      <c r="P3513" s="20">
        <v>2.0000000000000018E-2</v>
      </c>
      <c r="Q3513" s="20"/>
      <c r="R3513" s="20"/>
      <c r="S3513" s="20"/>
      <c r="T3513" s="20">
        <v>0.98</v>
      </c>
    </row>
    <row r="3514" spans="13:20" x14ac:dyDescent="0.2">
      <c r="M3514" s="20">
        <v>1.0688756815026595E-2</v>
      </c>
      <c r="N3514" s="20">
        <v>1.075928473984277E-3</v>
      </c>
      <c r="O3514" s="20">
        <v>0.10065983281345707</v>
      </c>
      <c r="P3514" s="20"/>
      <c r="Q3514" s="20">
        <v>0.17</v>
      </c>
      <c r="R3514" s="20">
        <v>0.68</v>
      </c>
      <c r="S3514" s="20">
        <v>0.14999999999999991</v>
      </c>
      <c r="T3514" s="20"/>
    </row>
    <row r="3515" spans="13:20" x14ac:dyDescent="0.2">
      <c r="M3515" s="20">
        <v>9.3165815188750254E-3</v>
      </c>
      <c r="N3515" s="20">
        <v>8.8503097770301119E-4</v>
      </c>
      <c r="O3515" s="20">
        <v>9.4995248623110679E-2</v>
      </c>
      <c r="P3515" s="20"/>
      <c r="Q3515" s="20"/>
      <c r="R3515" s="20">
        <v>0.32</v>
      </c>
      <c r="S3515" s="20">
        <v>0.52</v>
      </c>
      <c r="T3515" s="20">
        <v>0.15999999999999992</v>
      </c>
    </row>
    <row r="3516" spans="13:20" x14ac:dyDescent="0.2">
      <c r="M3516" s="20">
        <v>1.29642486731527E-2</v>
      </c>
      <c r="N3516" s="20">
        <v>2.1269237421253093E-3</v>
      </c>
      <c r="O3516" s="20">
        <v>0.16406070230123679</v>
      </c>
      <c r="P3516" s="20">
        <v>0.56000000000000005</v>
      </c>
      <c r="Q3516" s="20"/>
      <c r="R3516" s="20"/>
      <c r="S3516" s="20"/>
      <c r="T3516" s="20">
        <v>0.44</v>
      </c>
    </row>
    <row r="3517" spans="13:20" x14ac:dyDescent="0.2">
      <c r="M3517" s="20">
        <v>1.0907497346881831E-2</v>
      </c>
      <c r="N3517" s="20">
        <v>1.0690667500270984E-3</v>
      </c>
      <c r="O3517" s="20">
        <v>9.8012102687580913E-2</v>
      </c>
      <c r="P3517" s="20"/>
      <c r="Q3517" s="20"/>
      <c r="R3517" s="20"/>
      <c r="S3517" s="20">
        <v>0.46</v>
      </c>
      <c r="T3517" s="20">
        <v>0.53999999999999992</v>
      </c>
    </row>
    <row r="3518" spans="13:20" x14ac:dyDescent="0.2">
      <c r="M3518" s="20">
        <v>1.0263478502256913E-2</v>
      </c>
      <c r="N3518" s="20">
        <v>1.3422075172426812E-3</v>
      </c>
      <c r="O3518" s="20">
        <v>0.13077510874578568</v>
      </c>
      <c r="P3518" s="20">
        <v>0.20999999999999985</v>
      </c>
      <c r="Q3518" s="20"/>
      <c r="R3518" s="20"/>
      <c r="S3518" s="20">
        <v>0.41</v>
      </c>
      <c r="T3518" s="20">
        <v>0.38</v>
      </c>
    </row>
    <row r="3519" spans="13:20" x14ac:dyDescent="0.2">
      <c r="M3519" s="20">
        <v>1.1011649651740642E-2</v>
      </c>
      <c r="N3519" s="20">
        <v>1.7873786193426345E-3</v>
      </c>
      <c r="O3519" s="20">
        <v>0.16231706200896961</v>
      </c>
      <c r="P3519" s="20">
        <v>0.48</v>
      </c>
      <c r="Q3519" s="20">
        <v>9.9999999999998979E-3</v>
      </c>
      <c r="R3519" s="20"/>
      <c r="S3519" s="20">
        <v>0.25</v>
      </c>
      <c r="T3519" s="20">
        <v>0.26</v>
      </c>
    </row>
    <row r="3520" spans="13:20" x14ac:dyDescent="0.2">
      <c r="M3520" s="20">
        <v>1.5413130945862857E-2</v>
      </c>
      <c r="N3520" s="20">
        <v>1.2401158137437399E-3</v>
      </c>
      <c r="O3520" s="20">
        <v>8.0458397330141915E-2</v>
      </c>
      <c r="P3520" s="20"/>
      <c r="Q3520" s="20">
        <v>0.71</v>
      </c>
      <c r="R3520" s="20">
        <v>0.28999999999999992</v>
      </c>
      <c r="S3520" s="20"/>
      <c r="T3520" s="20"/>
    </row>
    <row r="3521" spans="13:20" x14ac:dyDescent="0.2">
      <c r="M3521" s="20">
        <v>1.0602495561197554E-2</v>
      </c>
      <c r="N3521" s="20">
        <v>1.0186358909163857E-3</v>
      </c>
      <c r="O3521" s="20">
        <v>9.6075106566828938E-2</v>
      </c>
      <c r="P3521" s="20"/>
      <c r="Q3521" s="20"/>
      <c r="R3521" s="20"/>
      <c r="S3521" s="20">
        <v>0.51</v>
      </c>
      <c r="T3521" s="20">
        <v>0.48999999999999988</v>
      </c>
    </row>
    <row r="3522" spans="13:20" x14ac:dyDescent="0.2">
      <c r="M3522" s="20">
        <v>1.4227492800594425E-2</v>
      </c>
      <c r="N3522" s="20">
        <v>1.7875562631083637E-3</v>
      </c>
      <c r="O3522" s="20">
        <v>0.12564098876463176</v>
      </c>
      <c r="P3522" s="20">
        <v>0.24</v>
      </c>
      <c r="Q3522" s="20"/>
      <c r="R3522" s="20"/>
      <c r="S3522" s="20"/>
      <c r="T3522" s="20">
        <v>0.76</v>
      </c>
    </row>
    <row r="3523" spans="13:20" x14ac:dyDescent="0.2">
      <c r="M3523" s="20">
        <v>1.0283284436038657E-2</v>
      </c>
      <c r="N3523" s="20">
        <v>9.3794651633924604E-4</v>
      </c>
      <c r="O3523" s="20">
        <v>9.1210791860636631E-2</v>
      </c>
      <c r="P3523" s="20"/>
      <c r="Q3523" s="20"/>
      <c r="R3523" s="20"/>
      <c r="S3523" s="20">
        <v>0.59</v>
      </c>
      <c r="T3523" s="20">
        <v>0.41000000000000014</v>
      </c>
    </row>
    <row r="3524" spans="13:20" x14ac:dyDescent="0.2">
      <c r="M3524" s="20">
        <v>1.1544694850982159E-2</v>
      </c>
      <c r="N3524" s="20">
        <v>1.1559823357579055E-3</v>
      </c>
      <c r="O3524" s="20">
        <v>0.10013104293177233</v>
      </c>
      <c r="P3524" s="20"/>
      <c r="Q3524" s="20"/>
      <c r="R3524" s="20">
        <v>0.01</v>
      </c>
      <c r="S3524" s="20">
        <v>0.37</v>
      </c>
      <c r="T3524" s="20">
        <v>0.62000000000000011</v>
      </c>
    </row>
    <row r="3525" spans="13:20" x14ac:dyDescent="0.2">
      <c r="M3525" s="20">
        <v>1.0972784808687778E-2</v>
      </c>
      <c r="N3525" s="20">
        <v>1.1283559535370546E-3</v>
      </c>
      <c r="O3525" s="20">
        <v>0.10283223203681814</v>
      </c>
      <c r="P3525" s="20"/>
      <c r="Q3525" s="20"/>
      <c r="R3525" s="20">
        <v>0.97</v>
      </c>
      <c r="S3525" s="20">
        <v>3.0000000000000027E-2</v>
      </c>
      <c r="T3525" s="20"/>
    </row>
    <row r="3526" spans="13:20" x14ac:dyDescent="0.2">
      <c r="M3526" s="20">
        <v>1.0463635466068349E-2</v>
      </c>
      <c r="N3526" s="20">
        <v>8.4159798293348821E-4</v>
      </c>
      <c r="O3526" s="20">
        <v>8.0430743756568737E-2</v>
      </c>
      <c r="P3526" s="20"/>
      <c r="Q3526" s="20">
        <v>0.08</v>
      </c>
      <c r="R3526" s="20">
        <v>0.04</v>
      </c>
      <c r="S3526" s="20">
        <v>0.65</v>
      </c>
      <c r="T3526" s="20">
        <v>0.22999999999999998</v>
      </c>
    </row>
    <row r="3527" spans="13:20" x14ac:dyDescent="0.2">
      <c r="M3527" s="20">
        <v>9.5662104058997343E-3</v>
      </c>
      <c r="N3527" s="20">
        <v>8.7930750739039398E-4</v>
      </c>
      <c r="O3527" s="20">
        <v>9.1918060556989395E-2</v>
      </c>
      <c r="P3527" s="20"/>
      <c r="Q3527" s="20"/>
      <c r="R3527" s="20">
        <v>0.56999999999999995</v>
      </c>
      <c r="S3527" s="20">
        <v>0.43000000000000005</v>
      </c>
      <c r="T3527" s="20"/>
    </row>
    <row r="3528" spans="13:20" x14ac:dyDescent="0.2">
      <c r="M3528" s="20">
        <v>9.7939735866188482E-3</v>
      </c>
      <c r="N3528" s="20">
        <v>7.734619177780631E-4</v>
      </c>
      <c r="O3528" s="20">
        <v>7.8973249308617308E-2</v>
      </c>
      <c r="P3528" s="20"/>
      <c r="Q3528" s="20"/>
      <c r="R3528" s="20">
        <v>0.4</v>
      </c>
      <c r="S3528" s="20">
        <v>0.6</v>
      </c>
      <c r="T3528" s="20"/>
    </row>
    <row r="3529" spans="13:20" x14ac:dyDescent="0.2">
      <c r="M3529" s="20">
        <v>1.1170957929046488E-2</v>
      </c>
      <c r="N3529" s="20">
        <v>1.1470345869980542E-3</v>
      </c>
      <c r="O3529" s="20">
        <v>0.10268005611368021</v>
      </c>
      <c r="P3529" s="20"/>
      <c r="Q3529" s="20"/>
      <c r="R3529" s="20">
        <v>1</v>
      </c>
      <c r="S3529" s="20">
        <v>0</v>
      </c>
      <c r="T3529" s="20"/>
    </row>
    <row r="3530" spans="13:20" x14ac:dyDescent="0.2">
      <c r="M3530" s="20">
        <v>1.0569640821757332E-2</v>
      </c>
      <c r="N3530" s="20">
        <v>7.1605073625211004E-4</v>
      </c>
      <c r="O3530" s="20">
        <v>6.7745985727172303E-2</v>
      </c>
      <c r="P3530" s="20"/>
      <c r="Q3530" s="20"/>
      <c r="R3530" s="20"/>
      <c r="S3530" s="20">
        <v>0.81</v>
      </c>
      <c r="T3530" s="20">
        <v>0.18999999999999984</v>
      </c>
    </row>
    <row r="3531" spans="13:20" x14ac:dyDescent="0.2">
      <c r="M3531" s="20">
        <v>1.3044338301955732E-2</v>
      </c>
      <c r="N3531" s="20">
        <v>2.0632923398096318E-3</v>
      </c>
      <c r="O3531" s="20">
        <v>0.15817531652795938</v>
      </c>
      <c r="P3531" s="20">
        <v>0.5</v>
      </c>
      <c r="Q3531" s="20"/>
      <c r="R3531" s="20"/>
      <c r="S3531" s="20"/>
      <c r="T3531" s="20">
        <v>0.5</v>
      </c>
    </row>
    <row r="3532" spans="13:20" x14ac:dyDescent="0.2">
      <c r="M3532" s="20">
        <v>1.598845991503469E-2</v>
      </c>
      <c r="N3532" s="20">
        <v>1.4334073535589671E-3</v>
      </c>
      <c r="O3532" s="20">
        <v>8.9652622027157694E-2</v>
      </c>
      <c r="P3532" s="20">
        <v>0.13</v>
      </c>
      <c r="Q3532" s="20">
        <v>0.75</v>
      </c>
      <c r="R3532" s="20">
        <v>0.12000000000000011</v>
      </c>
      <c r="S3532" s="20"/>
      <c r="T3532" s="20"/>
    </row>
    <row r="3533" spans="13:20" x14ac:dyDescent="0.2">
      <c r="M3533" s="20">
        <v>1.1963198236748265E-2</v>
      </c>
      <c r="N3533" s="20">
        <v>5.3449964345354513E-4</v>
      </c>
      <c r="O3533" s="20">
        <v>4.4678658070856171E-2</v>
      </c>
      <c r="P3533" s="20"/>
      <c r="Q3533" s="20"/>
      <c r="R3533" s="20"/>
      <c r="S3533" s="20">
        <v>0.99</v>
      </c>
      <c r="T3533" s="20">
        <v>1.000000000000012E-2</v>
      </c>
    </row>
    <row r="3534" spans="13:20" x14ac:dyDescent="0.2">
      <c r="M3534" s="20">
        <v>1.4111664700453741E-2</v>
      </c>
      <c r="N3534" s="20">
        <v>2.448857922637911E-3</v>
      </c>
      <c r="O3534" s="20">
        <v>0.17353430474855114</v>
      </c>
      <c r="P3534" s="20">
        <v>0.89</v>
      </c>
      <c r="Q3534" s="20">
        <v>0.10999999999999988</v>
      </c>
      <c r="R3534" s="20"/>
      <c r="S3534" s="20"/>
      <c r="T3534" s="20"/>
    </row>
    <row r="3535" spans="13:20" x14ac:dyDescent="0.2">
      <c r="M3535" s="20">
        <v>9.8839769893505937E-3</v>
      </c>
      <c r="N3535" s="20">
        <v>9.9137930815639116E-4</v>
      </c>
      <c r="O3535" s="20">
        <v>0.10030166088251159</v>
      </c>
      <c r="P3535" s="20"/>
      <c r="Q3535" s="20"/>
      <c r="R3535" s="20">
        <v>0.75</v>
      </c>
      <c r="S3535" s="20">
        <v>0.25</v>
      </c>
      <c r="T3535" s="20"/>
    </row>
    <row r="3536" spans="13:20" x14ac:dyDescent="0.2">
      <c r="M3536" s="20">
        <v>1.2602317140384151E-2</v>
      </c>
      <c r="N3536" s="20">
        <v>1.2323381130984173E-3</v>
      </c>
      <c r="O3536" s="20">
        <v>9.7786629186579294E-2</v>
      </c>
      <c r="P3536" s="20">
        <v>0.02</v>
      </c>
      <c r="Q3536" s="20">
        <v>0.43</v>
      </c>
      <c r="R3536" s="20">
        <v>0.55000000000000004</v>
      </c>
      <c r="S3536" s="20"/>
      <c r="T3536" s="20"/>
    </row>
    <row r="3537" spans="13:20" x14ac:dyDescent="0.2">
      <c r="M3537" s="20">
        <v>1.2671262416203548E-2</v>
      </c>
      <c r="N3537" s="20">
        <v>1.9066702569391207E-3</v>
      </c>
      <c r="O3537" s="20">
        <v>0.15047200462843704</v>
      </c>
      <c r="P3537" s="20">
        <v>0.41</v>
      </c>
      <c r="Q3537" s="20">
        <v>0.24</v>
      </c>
      <c r="R3537" s="20"/>
      <c r="S3537" s="20"/>
      <c r="T3537" s="20">
        <v>0.35</v>
      </c>
    </row>
    <row r="3538" spans="13:20" x14ac:dyDescent="0.2">
      <c r="M3538" s="20">
        <v>1.3600758615372213E-2</v>
      </c>
      <c r="N3538" s="20">
        <v>2.3169066068765873E-3</v>
      </c>
      <c r="O3538" s="20">
        <v>0.17035127763078681</v>
      </c>
      <c r="P3538" s="20">
        <v>0.78</v>
      </c>
      <c r="Q3538" s="20">
        <v>0.16999999999999982</v>
      </c>
      <c r="R3538" s="20"/>
      <c r="S3538" s="20"/>
      <c r="T3538" s="20">
        <v>0.05</v>
      </c>
    </row>
    <row r="3539" spans="13:20" x14ac:dyDescent="0.2">
      <c r="M3539" s="20">
        <v>1.0092894326104128E-2</v>
      </c>
      <c r="N3539" s="20">
        <v>1.5685588723025423E-3</v>
      </c>
      <c r="O3539" s="20">
        <v>0.15541219610767573</v>
      </c>
      <c r="P3539" s="20">
        <v>0.39</v>
      </c>
      <c r="Q3539" s="20">
        <v>7.0000000000000007E-2</v>
      </c>
      <c r="R3539" s="20">
        <v>0.28000000000000003</v>
      </c>
      <c r="S3539" s="20">
        <v>0.25000000000000011</v>
      </c>
      <c r="T3539" s="20">
        <v>0.01</v>
      </c>
    </row>
    <row r="3540" spans="13:20" x14ac:dyDescent="0.2">
      <c r="M3540" s="20">
        <v>1.0071806873128789E-2</v>
      </c>
      <c r="N3540" s="20">
        <v>7.2365222854873102E-4</v>
      </c>
      <c r="O3540" s="20">
        <v>7.1849295530021395E-2</v>
      </c>
      <c r="P3540" s="20"/>
      <c r="Q3540" s="20"/>
      <c r="R3540" s="20">
        <v>0.32</v>
      </c>
      <c r="S3540" s="20">
        <v>0.68</v>
      </c>
      <c r="T3540" s="20"/>
    </row>
    <row r="3541" spans="13:20" x14ac:dyDescent="0.2">
      <c r="M3541" s="20">
        <v>1.774207684011481E-2</v>
      </c>
      <c r="N3541" s="20">
        <v>1.2650248744221632E-3</v>
      </c>
      <c r="O3541" s="20">
        <v>7.1300833934049027E-2</v>
      </c>
      <c r="P3541" s="20"/>
      <c r="Q3541" s="20">
        <v>0.9</v>
      </c>
      <c r="R3541" s="20">
        <v>0.10000000000000009</v>
      </c>
      <c r="S3541" s="20"/>
      <c r="T3541" s="20"/>
    </row>
    <row r="3542" spans="13:20" x14ac:dyDescent="0.2">
      <c r="M3542" s="20">
        <v>1.3088010981072576E-2</v>
      </c>
      <c r="N3542" s="20">
        <v>2.0420818723710732E-3</v>
      </c>
      <c r="O3542" s="20">
        <v>0.15602690701621971</v>
      </c>
      <c r="P3542" s="20">
        <v>0.48000000000000009</v>
      </c>
      <c r="Q3542" s="20"/>
      <c r="R3542" s="20"/>
      <c r="S3542" s="20"/>
      <c r="T3542" s="20">
        <v>0.52</v>
      </c>
    </row>
    <row r="3543" spans="13:20" x14ac:dyDescent="0.2">
      <c r="M3543" s="20">
        <v>1.0154769381702147E-2</v>
      </c>
      <c r="N3543" s="20">
        <v>1.6328455220526511E-3</v>
      </c>
      <c r="O3543" s="20">
        <v>0.16079592363711101</v>
      </c>
      <c r="P3543" s="20">
        <v>0.32999999999999996</v>
      </c>
      <c r="Q3543" s="20"/>
      <c r="R3543" s="20">
        <v>0.23</v>
      </c>
      <c r="S3543" s="20">
        <v>0.16</v>
      </c>
      <c r="T3543" s="20">
        <v>0.28000000000000003</v>
      </c>
    </row>
    <row r="3544" spans="13:20" x14ac:dyDescent="0.2">
      <c r="M3544" s="20">
        <v>1.0569640821757332E-2</v>
      </c>
      <c r="N3544" s="20">
        <v>7.1605073625211025E-4</v>
      </c>
      <c r="O3544" s="20">
        <v>6.7745985727172331E-2</v>
      </c>
      <c r="P3544" s="20"/>
      <c r="Q3544" s="20"/>
      <c r="R3544" s="20"/>
      <c r="S3544" s="20">
        <v>0.81</v>
      </c>
      <c r="T3544" s="20">
        <v>0.18999999999999995</v>
      </c>
    </row>
    <row r="3545" spans="13:20" x14ac:dyDescent="0.2">
      <c r="M3545" s="20">
        <v>1.0431737418710332E-2</v>
      </c>
      <c r="N3545" s="20">
        <v>9.726067046744748E-4</v>
      </c>
      <c r="O3545" s="20">
        <v>9.3235351469833805E-2</v>
      </c>
      <c r="P3545" s="20">
        <v>0.12</v>
      </c>
      <c r="Q3545" s="20">
        <v>0.1</v>
      </c>
      <c r="R3545" s="20">
        <v>0.2</v>
      </c>
      <c r="S3545" s="20">
        <v>0.57999999999999996</v>
      </c>
      <c r="T3545" s="20"/>
    </row>
    <row r="3546" spans="13:20" x14ac:dyDescent="0.2">
      <c r="M3546" s="20">
        <v>1.4368989816425544E-2</v>
      </c>
      <c r="N3546" s="20">
        <v>1.7663457956698047E-3</v>
      </c>
      <c r="O3546" s="20">
        <v>0.12292762527054278</v>
      </c>
      <c r="P3546" s="20">
        <v>0.21999999999999997</v>
      </c>
      <c r="Q3546" s="20"/>
      <c r="R3546" s="20"/>
      <c r="S3546" s="20"/>
      <c r="T3546" s="20">
        <v>0.78</v>
      </c>
    </row>
    <row r="3547" spans="13:20" x14ac:dyDescent="0.2">
      <c r="M3547" s="20">
        <v>7.7869116756778519E-3</v>
      </c>
      <c r="N3547" s="20">
        <v>1.0051796423325213E-3</v>
      </c>
      <c r="O3547" s="20">
        <v>0.12908578961697548</v>
      </c>
      <c r="P3547" s="20">
        <v>0.17</v>
      </c>
      <c r="Q3547" s="20">
        <v>0.23</v>
      </c>
      <c r="R3547" s="20">
        <v>7.0000000000000007E-2</v>
      </c>
      <c r="S3547" s="20">
        <v>7.0000000000000007E-2</v>
      </c>
      <c r="T3547" s="20">
        <v>0.1</v>
      </c>
    </row>
    <row r="3548" spans="13:20" x14ac:dyDescent="0.2">
      <c r="M3548" s="20">
        <v>1.4201752820903989E-2</v>
      </c>
      <c r="N3548" s="20">
        <v>2.0016154220366634E-3</v>
      </c>
      <c r="O3548" s="20">
        <v>0.14094143499599748</v>
      </c>
      <c r="P3548" s="20">
        <v>0.55000000000000004</v>
      </c>
      <c r="Q3548" s="20">
        <v>0.44999999999999996</v>
      </c>
      <c r="R3548" s="20"/>
      <c r="S3548" s="20"/>
      <c r="T3548" s="20"/>
    </row>
    <row r="3549" spans="13:20" x14ac:dyDescent="0.2">
      <c r="M3549" s="20">
        <v>1.2945630530405105E-2</v>
      </c>
      <c r="N3549" s="20">
        <v>9.0465924702426989E-4</v>
      </c>
      <c r="O3549" s="20">
        <v>6.9881435662752581E-2</v>
      </c>
      <c r="P3549" s="20"/>
      <c r="Q3549" s="20">
        <v>0.39</v>
      </c>
      <c r="R3549" s="20">
        <v>0.09</v>
      </c>
      <c r="S3549" s="20">
        <v>0.49</v>
      </c>
      <c r="T3549" s="20">
        <v>3.0000000000000027E-2</v>
      </c>
    </row>
    <row r="3550" spans="13:20" x14ac:dyDescent="0.2">
      <c r="M3550" s="20">
        <v>1.0131610014002557E-2</v>
      </c>
      <c r="N3550" s="20">
        <v>1.0124650173313672E-3</v>
      </c>
      <c r="O3550" s="20">
        <v>9.9931305679163862E-2</v>
      </c>
      <c r="P3550" s="20"/>
      <c r="Q3550" s="20">
        <v>0.12</v>
      </c>
      <c r="R3550" s="20">
        <v>0.59</v>
      </c>
      <c r="S3550" s="20">
        <v>0.26</v>
      </c>
      <c r="T3550" s="20">
        <v>3.0000000000000027E-2</v>
      </c>
    </row>
    <row r="3551" spans="13:20" x14ac:dyDescent="0.2">
      <c r="M3551" s="20">
        <v>1.4913495337633626E-2</v>
      </c>
      <c r="N3551" s="20">
        <v>1.7275169606145171E-3</v>
      </c>
      <c r="O3551" s="20">
        <v>0.1158358199405605</v>
      </c>
      <c r="P3551" s="20">
        <v>0.33</v>
      </c>
      <c r="Q3551" s="20">
        <v>0.6100000000000001</v>
      </c>
      <c r="R3551" s="20"/>
      <c r="S3551" s="20"/>
      <c r="T3551" s="20">
        <v>0.06</v>
      </c>
    </row>
    <row r="3552" spans="13:20" x14ac:dyDescent="0.2">
      <c r="M3552" s="20">
        <v>1.0666632172008018E-2</v>
      </c>
      <c r="N3552" s="20">
        <v>1.0972248977687222E-3</v>
      </c>
      <c r="O3552" s="20">
        <v>0.10286516681883172</v>
      </c>
      <c r="P3552" s="20"/>
      <c r="Q3552" s="20">
        <v>0</v>
      </c>
      <c r="R3552" s="20">
        <v>0.92</v>
      </c>
      <c r="S3552" s="20">
        <v>8.0000000000000071E-2</v>
      </c>
      <c r="T3552" s="20"/>
    </row>
    <row r="3553" spans="13:20" x14ac:dyDescent="0.2">
      <c r="M3553" s="20">
        <v>1.4579219008078452E-2</v>
      </c>
      <c r="N3553" s="20">
        <v>2.5803998345794547E-3</v>
      </c>
      <c r="O3553" s="20">
        <v>0.17699163673648338</v>
      </c>
      <c r="P3553" s="20">
        <v>0.99</v>
      </c>
      <c r="Q3553" s="20">
        <v>1.0000000000000009E-2</v>
      </c>
      <c r="R3553" s="20"/>
      <c r="S3553" s="20"/>
      <c r="T3553" s="20"/>
    </row>
    <row r="3554" spans="13:20" x14ac:dyDescent="0.2">
      <c r="M3554" s="20">
        <v>1.2389574122601835E-2</v>
      </c>
      <c r="N3554" s="20">
        <v>8.7276092354990158E-4</v>
      </c>
      <c r="O3554" s="20">
        <v>7.0443173826108874E-2</v>
      </c>
      <c r="P3554" s="20"/>
      <c r="Q3554" s="20">
        <v>0.33</v>
      </c>
      <c r="R3554" s="20">
        <v>0.16</v>
      </c>
      <c r="S3554" s="20">
        <v>0.51</v>
      </c>
      <c r="T3554" s="20"/>
    </row>
    <row r="3555" spans="13:20" x14ac:dyDescent="0.2">
      <c r="M3555" s="20">
        <v>1.2730970878301719E-2</v>
      </c>
      <c r="N3555" s="20">
        <v>1.8952462155802804E-3</v>
      </c>
      <c r="O3555" s="20">
        <v>0.14886894595057792</v>
      </c>
      <c r="P3555" s="20">
        <v>0.38</v>
      </c>
      <c r="Q3555" s="20">
        <v>0.15999999999999981</v>
      </c>
      <c r="R3555" s="20"/>
      <c r="S3555" s="20"/>
      <c r="T3555" s="20">
        <v>0.46</v>
      </c>
    </row>
    <row r="3556" spans="13:20" x14ac:dyDescent="0.2">
      <c r="M3556" s="20">
        <v>1.6001662566933018E-2</v>
      </c>
      <c r="N3556" s="20">
        <v>1.5648463550034931E-3</v>
      </c>
      <c r="O3556" s="20">
        <v>9.7792735502197359E-2</v>
      </c>
      <c r="P3556" s="20">
        <v>2.9999999999999916E-2</v>
      </c>
      <c r="Q3556" s="20"/>
      <c r="R3556" s="20"/>
      <c r="S3556" s="20"/>
      <c r="T3556" s="20">
        <v>0.97</v>
      </c>
    </row>
    <row r="3557" spans="13:20" x14ac:dyDescent="0.2">
      <c r="M3557" s="20">
        <v>1.0850416461202859E-2</v>
      </c>
      <c r="N3557" s="20">
        <v>6.3025906124373316E-4</v>
      </c>
      <c r="O3557" s="20">
        <v>5.8086163189893243E-2</v>
      </c>
      <c r="P3557" s="20"/>
      <c r="Q3557" s="20"/>
      <c r="R3557" s="20">
        <v>0.17</v>
      </c>
      <c r="S3557" s="20">
        <v>0.83</v>
      </c>
      <c r="T3557" s="20"/>
    </row>
    <row r="3558" spans="13:20" x14ac:dyDescent="0.2">
      <c r="M3558" s="20">
        <v>1.4188266558946014E-2</v>
      </c>
      <c r="N3558" s="20">
        <v>2.4751663050262196E-3</v>
      </c>
      <c r="O3558" s="20">
        <v>0.17445163542304418</v>
      </c>
      <c r="P3558" s="20">
        <v>0.91</v>
      </c>
      <c r="Q3558" s="20">
        <v>8.9999999999999858E-2</v>
      </c>
      <c r="R3558" s="20"/>
      <c r="S3558" s="20"/>
      <c r="T3558" s="20"/>
    </row>
    <row r="3559" spans="13:20" x14ac:dyDescent="0.2">
      <c r="M3559" s="20">
        <v>1.3039954327764827E-2</v>
      </c>
      <c r="N3559" s="20">
        <v>1.6863657401202962E-3</v>
      </c>
      <c r="O3559" s="20">
        <v>0.12932297903296072</v>
      </c>
      <c r="P3559" s="20">
        <v>0.4</v>
      </c>
      <c r="Q3559" s="20">
        <v>0.3899999999999999</v>
      </c>
      <c r="R3559" s="20"/>
      <c r="S3559" s="20">
        <v>0.17</v>
      </c>
      <c r="T3559" s="20">
        <v>0.04</v>
      </c>
    </row>
    <row r="3560" spans="13:20" x14ac:dyDescent="0.2">
      <c r="M3560" s="20">
        <v>1.6593473067402938E-2</v>
      </c>
      <c r="N3560" s="20">
        <v>1.5675271126295704E-3</v>
      </c>
      <c r="O3560" s="20">
        <v>9.4466487290650464E-2</v>
      </c>
      <c r="P3560" s="20">
        <v>0.22</v>
      </c>
      <c r="Q3560" s="20">
        <v>0.77999999999999992</v>
      </c>
      <c r="R3560" s="20"/>
      <c r="S3560" s="20"/>
      <c r="T3560" s="20"/>
    </row>
    <row r="3561" spans="13:20" x14ac:dyDescent="0.2">
      <c r="M3561" s="20">
        <v>1.055091249018629E-2</v>
      </c>
      <c r="N3561" s="20">
        <v>1.0085497190942434E-3</v>
      </c>
      <c r="O3561" s="20">
        <v>9.5588862103853561E-2</v>
      </c>
      <c r="P3561" s="20"/>
      <c r="Q3561" s="20"/>
      <c r="R3561" s="20"/>
      <c r="S3561" s="20">
        <v>0.52</v>
      </c>
      <c r="T3561" s="20">
        <v>0.48</v>
      </c>
    </row>
    <row r="3562" spans="13:20" x14ac:dyDescent="0.2">
      <c r="M3562" s="20">
        <v>1.0187873581924066E-2</v>
      </c>
      <c r="N3562" s="20">
        <v>8.5725714176210568E-4</v>
      </c>
      <c r="O3562" s="20">
        <v>8.4144854651818854E-2</v>
      </c>
      <c r="P3562" s="20"/>
      <c r="Q3562" s="20"/>
      <c r="R3562" s="20"/>
      <c r="S3562" s="20">
        <v>0.67</v>
      </c>
      <c r="T3562" s="20">
        <v>0.33000000000000007</v>
      </c>
    </row>
    <row r="3563" spans="13:20" x14ac:dyDescent="0.2">
      <c r="M3563" s="20">
        <v>1.0414606424011388E-2</v>
      </c>
      <c r="N3563" s="20">
        <v>1.648826738043722E-3</v>
      </c>
      <c r="O3563" s="20">
        <v>0.15831867964230223</v>
      </c>
      <c r="P3563" s="20">
        <v>0.29000000000000004</v>
      </c>
      <c r="Q3563" s="20"/>
      <c r="R3563" s="20">
        <v>0.34</v>
      </c>
      <c r="S3563" s="20">
        <v>0.06</v>
      </c>
      <c r="T3563" s="20">
        <v>0.31</v>
      </c>
    </row>
    <row r="3564" spans="13:20" x14ac:dyDescent="0.2">
      <c r="M3564" s="20">
        <v>1.0237955221876788E-2</v>
      </c>
      <c r="N3564" s="20">
        <v>9.1777417269496065E-4</v>
      </c>
      <c r="O3564" s="20">
        <v>8.9644284703827543E-2</v>
      </c>
      <c r="P3564" s="20"/>
      <c r="Q3564" s="20"/>
      <c r="R3564" s="20"/>
      <c r="S3564" s="20">
        <v>0.61</v>
      </c>
      <c r="T3564" s="20">
        <v>0.3899999999999999</v>
      </c>
    </row>
    <row r="3565" spans="13:20" x14ac:dyDescent="0.2">
      <c r="M3565" s="20">
        <v>1.3920174483762862E-2</v>
      </c>
      <c r="N3565" s="20">
        <v>2.1200031427840525E-3</v>
      </c>
      <c r="O3565" s="20">
        <v>0.15229716734204177</v>
      </c>
      <c r="P3565" s="20">
        <v>0.64</v>
      </c>
      <c r="Q3565" s="20">
        <v>0.35999999999999988</v>
      </c>
      <c r="R3565" s="20"/>
      <c r="S3565" s="20"/>
      <c r="T3565" s="20"/>
    </row>
    <row r="3566" spans="13:20" x14ac:dyDescent="0.2">
      <c r="M3566" s="20">
        <v>1.2759741951601719E-2</v>
      </c>
      <c r="N3566" s="20">
        <v>2.1468134635483343E-3</v>
      </c>
      <c r="O3566" s="20">
        <v>0.16824897178103565</v>
      </c>
      <c r="P3566" s="20">
        <v>0.61</v>
      </c>
      <c r="Q3566" s="20">
        <v>0.13</v>
      </c>
      <c r="R3566" s="20"/>
      <c r="S3566" s="20"/>
      <c r="T3566" s="20">
        <v>0.26</v>
      </c>
    </row>
    <row r="3567" spans="13:20" x14ac:dyDescent="0.2">
      <c r="M3567" s="20">
        <v>1.3431298236216764E-2</v>
      </c>
      <c r="N3567" s="20">
        <v>1.7583358714362103E-3</v>
      </c>
      <c r="O3567" s="20">
        <v>0.13091332204171843</v>
      </c>
      <c r="P3567" s="20">
        <v>0.26</v>
      </c>
      <c r="Q3567" s="20"/>
      <c r="R3567" s="20"/>
      <c r="S3567" s="20">
        <v>0.05</v>
      </c>
      <c r="T3567" s="20">
        <v>0.69</v>
      </c>
    </row>
    <row r="3568" spans="13:20" x14ac:dyDescent="0.2">
      <c r="M3568" s="20">
        <v>1.0712183127775974E-2</v>
      </c>
      <c r="N3568" s="20">
        <v>6.4806515440282762E-4</v>
      </c>
      <c r="O3568" s="20">
        <v>6.0497953281104577E-2</v>
      </c>
      <c r="P3568" s="20"/>
      <c r="Q3568" s="20"/>
      <c r="R3568" s="20">
        <v>0.15</v>
      </c>
      <c r="S3568" s="20">
        <v>0.82</v>
      </c>
      <c r="T3568" s="20">
        <v>2.9999999999999916E-2</v>
      </c>
    </row>
    <row r="3569" spans="13:20" x14ac:dyDescent="0.2">
      <c r="M3569" s="20">
        <v>1.2427934527818763E-2</v>
      </c>
      <c r="N3569" s="20">
        <v>1.7689096839370241E-3</v>
      </c>
      <c r="O3569" s="20">
        <v>0.14233336038080072</v>
      </c>
      <c r="P3569" s="20">
        <v>0.32</v>
      </c>
      <c r="Q3569" s="20">
        <v>0.3</v>
      </c>
      <c r="R3569" s="20">
        <v>6.9999999999999951E-2</v>
      </c>
      <c r="S3569" s="20"/>
      <c r="T3569" s="20">
        <v>0.31</v>
      </c>
    </row>
    <row r="3570" spans="13:20" x14ac:dyDescent="0.2">
      <c r="M3570" s="20">
        <v>1.3009110546230461E-2</v>
      </c>
      <c r="N3570" s="20">
        <v>2.0845028072481913E-3</v>
      </c>
      <c r="O3570" s="20">
        <v>0.16023407594550726</v>
      </c>
      <c r="P3570" s="20">
        <v>0.52</v>
      </c>
      <c r="Q3570" s="20"/>
      <c r="R3570" s="20"/>
      <c r="S3570" s="20"/>
      <c r="T3570" s="20">
        <v>0.48</v>
      </c>
    </row>
    <row r="3571" spans="13:20" x14ac:dyDescent="0.2">
      <c r="M3571" s="20">
        <v>1.3942508844043463E-2</v>
      </c>
      <c r="N3571" s="20">
        <v>2.1068489515898982E-3</v>
      </c>
      <c r="O3571" s="20">
        <v>0.151109744677694</v>
      </c>
      <c r="P3571" s="20">
        <v>0.63</v>
      </c>
      <c r="Q3571" s="20">
        <v>0.37</v>
      </c>
      <c r="R3571" s="20"/>
      <c r="S3571" s="20"/>
      <c r="T3571" s="20"/>
    </row>
    <row r="3572" spans="13:20" x14ac:dyDescent="0.2">
      <c r="M3572" s="20">
        <v>1.1303081540850851E-2</v>
      </c>
      <c r="N3572" s="20">
        <v>6.8417172902772536E-4</v>
      </c>
      <c r="O3572" s="20">
        <v>6.0529664105760619E-2</v>
      </c>
      <c r="P3572" s="20">
        <v>0.02</v>
      </c>
      <c r="Q3572" s="20">
        <v>5.0000000000000044E-2</v>
      </c>
      <c r="R3572" s="20"/>
      <c r="S3572" s="20">
        <v>0.85</v>
      </c>
      <c r="T3572" s="20">
        <v>0.08</v>
      </c>
    </row>
    <row r="3573" spans="13:20" x14ac:dyDescent="0.2">
      <c r="M3573" s="20">
        <v>1.7613123556929056E-2</v>
      </c>
      <c r="N3573" s="20">
        <v>1.2637138712285616E-3</v>
      </c>
      <c r="O3573" s="20">
        <v>7.1748424811986997E-2</v>
      </c>
      <c r="P3573" s="20"/>
      <c r="Q3573" s="20">
        <v>0.89</v>
      </c>
      <c r="R3573" s="20">
        <v>0.10999999999999988</v>
      </c>
      <c r="S3573" s="20"/>
      <c r="T3573" s="20"/>
    </row>
    <row r="3574" spans="13:20" x14ac:dyDescent="0.2">
      <c r="M3574" s="20">
        <v>1.0326523245225813E-2</v>
      </c>
      <c r="N3574" s="20">
        <v>7.4564944936103962E-4</v>
      </c>
      <c r="O3574" s="20">
        <v>7.2207211629119264E-2</v>
      </c>
      <c r="P3574" s="20">
        <v>4.0000000000000036E-2</v>
      </c>
      <c r="Q3574" s="20"/>
      <c r="R3574" s="20">
        <v>0.19</v>
      </c>
      <c r="S3574" s="20">
        <v>0.75</v>
      </c>
      <c r="T3574" s="20">
        <v>0.02</v>
      </c>
    </row>
    <row r="3575" spans="13:20" x14ac:dyDescent="0.2">
      <c r="M3575" s="20">
        <v>1.1335791443679848E-2</v>
      </c>
      <c r="N3575" s="20">
        <v>1.1732546508700782E-3</v>
      </c>
      <c r="O3575" s="20">
        <v>0.10350002085864188</v>
      </c>
      <c r="P3575" s="20"/>
      <c r="Q3575" s="20">
        <v>0.2</v>
      </c>
      <c r="R3575" s="20">
        <v>0.79999999999999993</v>
      </c>
      <c r="S3575" s="20"/>
      <c r="T3575" s="20"/>
    </row>
    <row r="3576" spans="13:20" x14ac:dyDescent="0.2">
      <c r="M3576" s="20">
        <v>1.5761864063279733E-2</v>
      </c>
      <c r="N3576" s="20">
        <v>1.2440488233245435E-3</v>
      </c>
      <c r="O3576" s="20">
        <v>7.8927772649860145E-2</v>
      </c>
      <c r="P3576" s="20"/>
      <c r="Q3576" s="20">
        <v>0.74</v>
      </c>
      <c r="R3576" s="20">
        <v>0.26</v>
      </c>
      <c r="S3576" s="20"/>
      <c r="T3576" s="20"/>
    </row>
    <row r="3577" spans="13:20" x14ac:dyDescent="0.2">
      <c r="M3577" s="20">
        <v>1.8661079521685268E-2</v>
      </c>
      <c r="N3577" s="20">
        <v>1.2742018967773713E-3</v>
      </c>
      <c r="O3577" s="20">
        <v>6.8281253252078691E-2</v>
      </c>
      <c r="P3577" s="20"/>
      <c r="Q3577" s="20">
        <v>0.97</v>
      </c>
      <c r="R3577" s="20">
        <v>3.0000000000000027E-2</v>
      </c>
      <c r="S3577" s="20"/>
      <c r="T3577" s="20"/>
    </row>
    <row r="3578" spans="13:20" x14ac:dyDescent="0.2">
      <c r="M3578" s="20">
        <v>1.0289922180360862E-2</v>
      </c>
      <c r="N3578" s="20">
        <v>1.3901983196679324E-3</v>
      </c>
      <c r="O3578" s="20">
        <v>0.13510289925430505</v>
      </c>
      <c r="P3578" s="20">
        <v>0.1100000000000001</v>
      </c>
      <c r="Q3578" s="20"/>
      <c r="R3578" s="20">
        <v>0.62</v>
      </c>
      <c r="S3578" s="20">
        <v>0.02</v>
      </c>
      <c r="T3578" s="20">
        <v>0.25</v>
      </c>
    </row>
    <row r="3579" spans="13:20" x14ac:dyDescent="0.2">
      <c r="M3579" s="20">
        <v>1.1443542192633299E-2</v>
      </c>
      <c r="N3579" s="20">
        <v>1.177187660450882E-3</v>
      </c>
      <c r="O3579" s="20">
        <v>0.10286916766110132</v>
      </c>
      <c r="P3579" s="20"/>
      <c r="Q3579" s="20">
        <v>0.23</v>
      </c>
      <c r="R3579" s="20">
        <v>0.77</v>
      </c>
      <c r="S3579" s="20"/>
      <c r="T3579" s="20"/>
    </row>
    <row r="3580" spans="13:20" x14ac:dyDescent="0.2">
      <c r="M3580" s="20">
        <v>1.4188266558946014E-2</v>
      </c>
      <c r="N3580" s="20">
        <v>2.47516630502622E-3</v>
      </c>
      <c r="O3580" s="20">
        <v>0.1744516354230442</v>
      </c>
      <c r="P3580" s="20">
        <v>0.91</v>
      </c>
      <c r="Q3580" s="20">
        <v>8.9999999999999969E-2</v>
      </c>
      <c r="R3580" s="20"/>
      <c r="S3580" s="20"/>
      <c r="T3580" s="20"/>
    </row>
    <row r="3581" spans="13:20" x14ac:dyDescent="0.2">
      <c r="M3581" s="20">
        <v>1.5167446413524818E-2</v>
      </c>
      <c r="N3581" s="20">
        <v>1.6602934584770091E-3</v>
      </c>
      <c r="O3581" s="20">
        <v>0.10946427059709436</v>
      </c>
      <c r="P3581" s="20">
        <v>0.12</v>
      </c>
      <c r="Q3581" s="20"/>
      <c r="R3581" s="20"/>
      <c r="S3581" s="20"/>
      <c r="T3581" s="20">
        <v>0.88</v>
      </c>
    </row>
    <row r="3582" spans="13:20" x14ac:dyDescent="0.2">
      <c r="M3582" s="20">
        <v>1.191376079794903E-2</v>
      </c>
      <c r="N3582" s="20">
        <v>7.9633353278563525E-4</v>
      </c>
      <c r="O3582" s="20">
        <v>6.6841490801353431E-2</v>
      </c>
      <c r="P3582" s="20"/>
      <c r="Q3582" s="20">
        <v>0.24</v>
      </c>
      <c r="R3582" s="20">
        <v>0.13</v>
      </c>
      <c r="S3582" s="20">
        <v>0.62</v>
      </c>
      <c r="T3582" s="20">
        <v>1.000000000000012E-2</v>
      </c>
    </row>
    <row r="3583" spans="13:20" x14ac:dyDescent="0.2">
      <c r="M3583" s="20">
        <v>1.0199118291272596E-2</v>
      </c>
      <c r="N3583" s="20">
        <v>1.0411889973857235E-3</v>
      </c>
      <c r="O3583" s="20">
        <v>0.10208617722148304</v>
      </c>
      <c r="P3583" s="20"/>
      <c r="Q3583" s="20"/>
      <c r="R3583" s="20">
        <v>0.83</v>
      </c>
      <c r="S3583" s="20">
        <v>0.17</v>
      </c>
      <c r="T3583" s="20">
        <v>0</v>
      </c>
    </row>
    <row r="3584" spans="13:20" x14ac:dyDescent="0.2">
      <c r="M3584" s="20">
        <v>1.2746105962996411E-2</v>
      </c>
      <c r="N3584" s="20">
        <v>2.0766517188789283E-3</v>
      </c>
      <c r="O3584" s="20">
        <v>0.16292440412057738</v>
      </c>
      <c r="P3584" s="20">
        <v>0.62</v>
      </c>
      <c r="Q3584" s="20">
        <v>0.25</v>
      </c>
      <c r="R3584" s="20">
        <v>0.12999999999999989</v>
      </c>
      <c r="S3584" s="20"/>
      <c r="T3584" s="20"/>
    </row>
    <row r="3585" spans="13:20" x14ac:dyDescent="0.2">
      <c r="M3585" s="20">
        <v>1.2854572609774965E-2</v>
      </c>
      <c r="N3585" s="20">
        <v>1.8477864558038995E-3</v>
      </c>
      <c r="O3585" s="20">
        <v>0.14374546022625387</v>
      </c>
      <c r="P3585" s="20">
        <v>0.45</v>
      </c>
      <c r="Q3585" s="20">
        <v>0.38</v>
      </c>
      <c r="R3585" s="20">
        <v>0.16999999999999982</v>
      </c>
      <c r="S3585" s="20"/>
      <c r="T3585" s="20"/>
    </row>
    <row r="3586" spans="13:20" x14ac:dyDescent="0.2">
      <c r="M3586" s="20">
        <v>1.7484792450961066E-2</v>
      </c>
      <c r="N3586" s="20">
        <v>1.2624028680349607E-3</v>
      </c>
      <c r="O3586" s="20">
        <v>7.2200048789573798E-2</v>
      </c>
      <c r="P3586" s="20"/>
      <c r="Q3586" s="20">
        <v>0.88</v>
      </c>
      <c r="R3586" s="20">
        <v>0.12000000000000011</v>
      </c>
      <c r="S3586" s="20"/>
      <c r="T3586" s="20"/>
    </row>
    <row r="3587" spans="13:20" x14ac:dyDescent="0.2">
      <c r="M3587" s="20">
        <v>1.6482271217304091E-2</v>
      </c>
      <c r="N3587" s="20">
        <v>1.2519148424861507E-3</v>
      </c>
      <c r="O3587" s="20">
        <v>7.5955238570022704E-2</v>
      </c>
      <c r="P3587" s="20"/>
      <c r="Q3587" s="20">
        <v>0.8</v>
      </c>
      <c r="R3587" s="20">
        <v>0.19999999999999996</v>
      </c>
      <c r="S3587" s="20"/>
      <c r="T3587" s="20"/>
    </row>
    <row r="3588" spans="13:20" x14ac:dyDescent="0.2">
      <c r="M3588" s="20">
        <v>1.3489024308975783E-2</v>
      </c>
      <c r="N3588" s="20">
        <v>1.6249249230923496E-3</v>
      </c>
      <c r="O3588" s="20">
        <v>0.12046274703583283</v>
      </c>
      <c r="P3588" s="20">
        <v>0.19</v>
      </c>
      <c r="Q3588" s="20">
        <v>0.42999999999999994</v>
      </c>
      <c r="R3588" s="20"/>
      <c r="S3588" s="20"/>
      <c r="T3588" s="20">
        <v>0.38</v>
      </c>
    </row>
    <row r="3589" spans="13:20" x14ac:dyDescent="0.2">
      <c r="M3589" s="20">
        <v>1.0762494278659253E-2</v>
      </c>
      <c r="N3589" s="20">
        <v>1.1671924183024776E-3</v>
      </c>
      <c r="O3589" s="20">
        <v>0.10844999198902074</v>
      </c>
      <c r="P3589" s="20"/>
      <c r="Q3589" s="20"/>
      <c r="R3589" s="20">
        <v>0.19</v>
      </c>
      <c r="S3589" s="20">
        <v>0.28999999999999998</v>
      </c>
      <c r="T3589" s="20">
        <v>0.52000000000000013</v>
      </c>
    </row>
    <row r="3590" spans="13:20" x14ac:dyDescent="0.2">
      <c r="M3590" s="20">
        <v>1.0763204455054604E-2</v>
      </c>
      <c r="N3590" s="20">
        <v>1.4541935310805232E-3</v>
      </c>
      <c r="O3590" s="20">
        <v>0.13510786096770711</v>
      </c>
      <c r="P3590" s="20">
        <v>0.22999999999999987</v>
      </c>
      <c r="Q3590" s="20"/>
      <c r="R3590" s="20"/>
      <c r="S3590" s="20">
        <v>0.32</v>
      </c>
      <c r="T3590" s="20">
        <v>0.45</v>
      </c>
    </row>
    <row r="3591" spans="13:20" x14ac:dyDescent="0.2">
      <c r="M3591" s="20">
        <v>1.039134687011423E-2</v>
      </c>
      <c r="N3591" s="20">
        <v>7.5639542354068059E-4</v>
      </c>
      <c r="O3591" s="20">
        <v>7.2790893518923178E-2</v>
      </c>
      <c r="P3591" s="20"/>
      <c r="Q3591" s="20"/>
      <c r="R3591" s="20"/>
      <c r="S3591" s="20">
        <v>0.77</v>
      </c>
      <c r="T3591" s="20">
        <v>0.23000000000000009</v>
      </c>
    </row>
    <row r="3592" spans="13:20" x14ac:dyDescent="0.2">
      <c r="M3592" s="20">
        <v>1.0286653193854307E-2</v>
      </c>
      <c r="N3592" s="20">
        <v>6.940148829636839E-4</v>
      </c>
      <c r="O3592" s="20">
        <v>6.7467510558081076E-2</v>
      </c>
      <c r="P3592" s="20"/>
      <c r="Q3592" s="20"/>
      <c r="R3592" s="20">
        <v>0.24</v>
      </c>
      <c r="S3592" s="20">
        <v>0.74</v>
      </c>
      <c r="T3592" s="20">
        <v>2.0000000000000018E-2</v>
      </c>
    </row>
    <row r="3593" spans="13:20" x14ac:dyDescent="0.2">
      <c r="M3593" s="20">
        <v>1.0846598161076436E-2</v>
      </c>
      <c r="N3593" s="20">
        <v>1.1159035312297216E-3</v>
      </c>
      <c r="O3593" s="20">
        <v>0.10288050821631778</v>
      </c>
      <c r="P3593" s="20"/>
      <c r="Q3593" s="20"/>
      <c r="R3593" s="20">
        <v>0.95</v>
      </c>
      <c r="S3593" s="20">
        <v>5.0000000000000044E-2</v>
      </c>
      <c r="T3593" s="20"/>
    </row>
    <row r="3594" spans="13:20" x14ac:dyDescent="0.2">
      <c r="M3594" s="20">
        <v>1.5081169588307183E-2</v>
      </c>
      <c r="N3594" s="20">
        <v>1.6708986921962891E-3</v>
      </c>
      <c r="O3594" s="20">
        <v>0.1107937075047402</v>
      </c>
      <c r="P3594" s="20">
        <v>0.13000000000000012</v>
      </c>
      <c r="Q3594" s="20"/>
      <c r="R3594" s="20"/>
      <c r="S3594" s="20"/>
      <c r="T3594" s="20">
        <v>0.87</v>
      </c>
    </row>
    <row r="3595" spans="13:20" x14ac:dyDescent="0.2">
      <c r="M3595" s="20">
        <v>1.234926255044465E-2</v>
      </c>
      <c r="N3595" s="20">
        <v>2.1095592764933855E-3</v>
      </c>
      <c r="O3595" s="20">
        <v>0.17082471668864377</v>
      </c>
      <c r="P3595" s="20">
        <v>0.65</v>
      </c>
      <c r="Q3595" s="20">
        <v>0.17</v>
      </c>
      <c r="R3595" s="20">
        <v>0.17999999999999994</v>
      </c>
      <c r="S3595" s="20"/>
      <c r="T3595" s="20"/>
    </row>
    <row r="3596" spans="13:20" x14ac:dyDescent="0.2">
      <c r="M3596" s="20">
        <v>9.5688548890340459E-3</v>
      </c>
      <c r="N3596" s="20">
        <v>8.8553371854406039E-4</v>
      </c>
      <c r="O3596" s="20">
        <v>9.2543332385454632E-2</v>
      </c>
      <c r="P3596" s="20"/>
      <c r="Q3596" s="20"/>
      <c r="R3596" s="20">
        <v>0.57999999999999996</v>
      </c>
      <c r="S3596" s="20">
        <v>0.41999999999999993</v>
      </c>
      <c r="T3596" s="20"/>
    </row>
    <row r="3597" spans="13:20" x14ac:dyDescent="0.2">
      <c r="M3597" s="20">
        <v>1.0005991813919854E-2</v>
      </c>
      <c r="N3597" s="20">
        <v>1.1363315856227347E-3</v>
      </c>
      <c r="O3597" s="20">
        <v>0.11356511246010864</v>
      </c>
      <c r="P3597" s="20">
        <v>0.12999999999999989</v>
      </c>
      <c r="Q3597" s="20"/>
      <c r="R3597" s="20"/>
      <c r="S3597" s="20">
        <v>0.53</v>
      </c>
      <c r="T3597" s="20">
        <v>0.34</v>
      </c>
    </row>
    <row r="3598" spans="13:20" x14ac:dyDescent="0.2">
      <c r="M3598" s="20">
        <v>1.338645310110043E-2</v>
      </c>
      <c r="N3598" s="20">
        <v>1.9466347688975566E-3</v>
      </c>
      <c r="O3598" s="20">
        <v>0.14541826383700804</v>
      </c>
      <c r="P3598" s="20">
        <v>0.3899999999999999</v>
      </c>
      <c r="Q3598" s="20"/>
      <c r="R3598" s="20"/>
      <c r="S3598" s="20"/>
      <c r="T3598" s="20">
        <v>0.61</v>
      </c>
    </row>
    <row r="3599" spans="13:20" x14ac:dyDescent="0.2">
      <c r="M3599" s="20">
        <v>1.0926204294645907E-2</v>
      </c>
      <c r="N3599" s="20">
        <v>1.1311409666513652E-3</v>
      </c>
      <c r="O3599" s="20">
        <v>0.10352551866576853</v>
      </c>
      <c r="P3599" s="20">
        <v>3.0000000000000138E-2</v>
      </c>
      <c r="Q3599" s="20"/>
      <c r="R3599" s="20"/>
      <c r="S3599" s="20">
        <v>0.43</v>
      </c>
      <c r="T3599" s="20">
        <v>0.54</v>
      </c>
    </row>
    <row r="3600" spans="13:20" x14ac:dyDescent="0.2">
      <c r="M3600" s="20">
        <v>1.2563005505253376E-2</v>
      </c>
      <c r="N3600" s="20">
        <v>1.9983768006434496E-3</v>
      </c>
      <c r="O3600" s="20">
        <v>0.15906836941270172</v>
      </c>
      <c r="P3600" s="20">
        <v>0.47</v>
      </c>
      <c r="Q3600" s="20">
        <v>0.06</v>
      </c>
      <c r="R3600" s="20">
        <v>0.02</v>
      </c>
      <c r="S3600" s="20">
        <v>1.000000000000012E-2</v>
      </c>
      <c r="T3600" s="20">
        <v>0.44</v>
      </c>
    </row>
    <row r="3601" spans="13:20" x14ac:dyDescent="0.2">
      <c r="M3601" s="20">
        <v>1.2982396460022395E-2</v>
      </c>
      <c r="N3601" s="20">
        <v>2.1057132746867503E-3</v>
      </c>
      <c r="O3601" s="20">
        <v>0.16219757894245651</v>
      </c>
      <c r="P3601" s="20">
        <v>0.54</v>
      </c>
      <c r="Q3601" s="20"/>
      <c r="R3601" s="20"/>
      <c r="S3601" s="20"/>
      <c r="T3601" s="20">
        <v>0.46</v>
      </c>
    </row>
    <row r="3602" spans="13:20" x14ac:dyDescent="0.2">
      <c r="M3602" s="20">
        <v>1.4222189509099807E-2</v>
      </c>
      <c r="N3602" s="20">
        <v>1.4314817586704429E-3</v>
      </c>
      <c r="O3602" s="20">
        <v>0.10065129266872275</v>
      </c>
      <c r="P3602" s="20">
        <v>0.01</v>
      </c>
      <c r="Q3602" s="20">
        <v>0.43999999999999995</v>
      </c>
      <c r="R3602" s="20"/>
      <c r="S3602" s="20"/>
      <c r="T3602" s="20">
        <v>0.55000000000000004</v>
      </c>
    </row>
    <row r="3603" spans="13:20" x14ac:dyDescent="0.2">
      <c r="M3603" s="20">
        <v>9.6934705756580048E-3</v>
      </c>
      <c r="N3603" s="20">
        <v>9.4779583008072559E-4</v>
      </c>
      <c r="O3603" s="20">
        <v>9.7776727404610492E-2</v>
      </c>
      <c r="P3603" s="20"/>
      <c r="Q3603" s="20"/>
      <c r="R3603" s="20">
        <v>0.68</v>
      </c>
      <c r="S3603" s="20">
        <v>0.31999999999999984</v>
      </c>
      <c r="T3603" s="20"/>
    </row>
    <row r="3604" spans="13:20" x14ac:dyDescent="0.2">
      <c r="M3604" s="20">
        <v>1.4469126985004872E-2</v>
      </c>
      <c r="N3604" s="20">
        <v>2.5540914521911462E-3</v>
      </c>
      <c r="O3604" s="20">
        <v>0.17652007994940452</v>
      </c>
      <c r="P3604" s="20">
        <v>0.97</v>
      </c>
      <c r="Q3604" s="20">
        <v>3.0000000000000138E-2</v>
      </c>
      <c r="R3604" s="20"/>
      <c r="S3604" s="20"/>
      <c r="T3604" s="20"/>
    </row>
    <row r="3605" spans="13:20" x14ac:dyDescent="0.2">
      <c r="M3605" s="20">
        <v>1.7871638832514841E-2</v>
      </c>
      <c r="N3605" s="20">
        <v>1.2663358776157641E-3</v>
      </c>
      <c r="O3605" s="20">
        <v>7.0857288997573667E-2</v>
      </c>
      <c r="P3605" s="20"/>
      <c r="Q3605" s="20">
        <v>0.91</v>
      </c>
      <c r="R3605" s="20">
        <v>8.9999999999999969E-2</v>
      </c>
      <c r="S3605" s="20"/>
      <c r="T3605" s="20"/>
    </row>
    <row r="3606" spans="13:20" x14ac:dyDescent="0.2">
      <c r="M3606" s="20">
        <v>1.1286071671928853E-2</v>
      </c>
      <c r="N3606" s="20">
        <v>1.1194976091378113E-3</v>
      </c>
      <c r="O3606" s="20">
        <v>9.919284952994481E-2</v>
      </c>
      <c r="P3606" s="20"/>
      <c r="Q3606" s="20"/>
      <c r="R3606" s="20"/>
      <c r="S3606" s="20">
        <v>0.41</v>
      </c>
      <c r="T3606" s="20">
        <v>0.59000000000000008</v>
      </c>
    </row>
    <row r="3607" spans="13:20" x14ac:dyDescent="0.2">
      <c r="M3607" s="20">
        <v>1.0355187992500054E-2</v>
      </c>
      <c r="N3607" s="20">
        <v>7.6648159536282269E-4</v>
      </c>
      <c r="O3607" s="20">
        <v>7.4019090326313902E-2</v>
      </c>
      <c r="P3607" s="20"/>
      <c r="Q3607" s="20"/>
      <c r="R3607" s="20"/>
      <c r="S3607" s="20">
        <v>0.76</v>
      </c>
      <c r="T3607" s="20">
        <v>0.23999999999999988</v>
      </c>
    </row>
    <row r="3608" spans="13:20" x14ac:dyDescent="0.2">
      <c r="M3608" s="20">
        <v>1.5807718646568842E-2</v>
      </c>
      <c r="N3608" s="20">
        <v>1.5860568224420524E-3</v>
      </c>
      <c r="O3608" s="20">
        <v>0.10033432767265979</v>
      </c>
      <c r="P3608" s="20">
        <v>5.0000000000000044E-2</v>
      </c>
      <c r="Q3608" s="20"/>
      <c r="R3608" s="20"/>
      <c r="S3608" s="20"/>
      <c r="T3608" s="20">
        <v>0.95</v>
      </c>
    </row>
    <row r="3609" spans="13:20" x14ac:dyDescent="0.2">
      <c r="M3609" s="20">
        <v>1.0085319157421295E-2</v>
      </c>
      <c r="N3609" s="20">
        <v>1.1408625269353659E-3</v>
      </c>
      <c r="O3609" s="20">
        <v>0.11312111288970569</v>
      </c>
      <c r="P3609" s="20"/>
      <c r="Q3609" s="20">
        <v>0.01</v>
      </c>
      <c r="R3609" s="20">
        <v>0.33</v>
      </c>
      <c r="S3609" s="20">
        <v>0.26</v>
      </c>
      <c r="T3609" s="20">
        <v>0.39999999999999991</v>
      </c>
    </row>
    <row r="3610" spans="13:20" x14ac:dyDescent="0.2">
      <c r="M3610" s="20">
        <v>1.4593023709096226E-2</v>
      </c>
      <c r="N3610" s="20">
        <v>1.7345300945119659E-3</v>
      </c>
      <c r="O3610" s="20">
        <v>0.1188602258921012</v>
      </c>
      <c r="P3610" s="20">
        <v>0.18999999999999995</v>
      </c>
      <c r="Q3610" s="20"/>
      <c r="R3610" s="20"/>
      <c r="S3610" s="20"/>
      <c r="T3610" s="20">
        <v>0.81</v>
      </c>
    </row>
    <row r="3611" spans="13:20" x14ac:dyDescent="0.2">
      <c r="M3611" s="20">
        <v>1.0031491481697635E-2</v>
      </c>
      <c r="N3611" s="20">
        <v>7.2987843970239753E-4</v>
      </c>
      <c r="O3611" s="20">
        <v>7.2758715992936263E-2</v>
      </c>
      <c r="P3611" s="20"/>
      <c r="Q3611" s="20"/>
      <c r="R3611" s="20">
        <v>0.33</v>
      </c>
      <c r="S3611" s="20">
        <v>0.66999999999999993</v>
      </c>
      <c r="T3611" s="20"/>
    </row>
    <row r="3612" spans="13:20" x14ac:dyDescent="0.2">
      <c r="M3612" s="20">
        <v>1.4023079188701035E-2</v>
      </c>
      <c r="N3612" s="20">
        <v>2.0673863780074357E-3</v>
      </c>
      <c r="O3612" s="20">
        <v>0.14742741948381874</v>
      </c>
      <c r="P3612" s="20">
        <v>0.6</v>
      </c>
      <c r="Q3612" s="20">
        <v>0.40000000000000013</v>
      </c>
      <c r="R3612" s="20"/>
      <c r="S3612" s="20"/>
      <c r="T3612" s="20"/>
    </row>
    <row r="3613" spans="13:20" x14ac:dyDescent="0.2">
      <c r="M3613" s="20">
        <v>1.0015367360712074E-2</v>
      </c>
      <c r="N3613" s="20">
        <v>9.5959485882313644E-4</v>
      </c>
      <c r="O3613" s="20">
        <v>9.5812247745140217E-2</v>
      </c>
      <c r="P3613" s="20"/>
      <c r="Q3613" s="20">
        <v>0.09</v>
      </c>
      <c r="R3613" s="20">
        <v>0.59</v>
      </c>
      <c r="S3613" s="20">
        <v>0.32000000000000006</v>
      </c>
      <c r="T3613" s="20"/>
    </row>
    <row r="3614" spans="13:20" x14ac:dyDescent="0.2">
      <c r="M3614" s="20">
        <v>9.9444016421771555E-3</v>
      </c>
      <c r="N3614" s="20">
        <v>1.7482743836044182E-3</v>
      </c>
      <c r="O3614" s="20">
        <v>0.17580488464881266</v>
      </c>
      <c r="P3614" s="20">
        <v>0.54</v>
      </c>
      <c r="Q3614" s="20">
        <v>0.05</v>
      </c>
      <c r="R3614" s="20">
        <v>0.06</v>
      </c>
      <c r="S3614" s="20">
        <v>0.03</v>
      </c>
      <c r="T3614" s="20">
        <v>0.13</v>
      </c>
    </row>
    <row r="3615" spans="13:20" x14ac:dyDescent="0.2">
      <c r="M3615" s="20">
        <v>1.1234592652910182E-2</v>
      </c>
      <c r="N3615" s="20">
        <v>6.1518901803068505E-4</v>
      </c>
      <c r="O3615" s="20">
        <v>5.4758462281347418E-2</v>
      </c>
      <c r="P3615" s="20"/>
      <c r="Q3615" s="20"/>
      <c r="R3615" s="20"/>
      <c r="S3615" s="20">
        <v>0.91</v>
      </c>
      <c r="T3615" s="20">
        <v>8.9999999999999969E-2</v>
      </c>
    </row>
    <row r="3616" spans="13:20" x14ac:dyDescent="0.2">
      <c r="M3616" s="20">
        <v>1.4434072448601475E-2</v>
      </c>
      <c r="N3616" s="20">
        <v>1.935844466065892E-3</v>
      </c>
      <c r="O3616" s="20">
        <v>0.13411630521872966</v>
      </c>
      <c r="P3616" s="20">
        <v>0.5</v>
      </c>
      <c r="Q3616" s="20">
        <v>0.5</v>
      </c>
      <c r="R3616" s="20"/>
      <c r="S3616" s="20"/>
      <c r="T3616" s="20"/>
    </row>
    <row r="3617" spans="13:20" x14ac:dyDescent="0.2">
      <c r="M3617" s="20">
        <v>8.7436767945378267E-3</v>
      </c>
      <c r="N3617" s="20">
        <v>6.2652757330146575E-4</v>
      </c>
      <c r="O3617" s="20">
        <v>7.1654932818749364E-2</v>
      </c>
      <c r="P3617" s="20">
        <v>0.04</v>
      </c>
      <c r="Q3617" s="20">
        <v>0.16</v>
      </c>
      <c r="R3617" s="20">
        <v>0</v>
      </c>
      <c r="S3617" s="20">
        <v>0.49</v>
      </c>
      <c r="T3617" s="20">
        <v>0.04</v>
      </c>
    </row>
    <row r="3618" spans="13:20" x14ac:dyDescent="0.2">
      <c r="M3618" s="20">
        <v>1.459040922087264E-2</v>
      </c>
      <c r="N3618" s="20">
        <v>1.2570859757659581E-3</v>
      </c>
      <c r="O3618" s="20">
        <v>8.615837683069269E-2</v>
      </c>
      <c r="P3618" s="20"/>
      <c r="Q3618" s="20">
        <v>0.64</v>
      </c>
      <c r="R3618" s="20">
        <v>0.24</v>
      </c>
      <c r="S3618" s="20">
        <v>0.02</v>
      </c>
      <c r="T3618" s="20">
        <v>9.9999999999999867E-2</v>
      </c>
    </row>
    <row r="3619" spans="13:20" x14ac:dyDescent="0.2">
      <c r="M3619" s="20">
        <v>1.1598481729077216E-2</v>
      </c>
      <c r="N3619" s="20">
        <v>1.5216861601116702E-3</v>
      </c>
      <c r="O3619" s="20">
        <v>0.13119701316568239</v>
      </c>
      <c r="P3619" s="20">
        <v>0.23</v>
      </c>
      <c r="Q3619" s="20">
        <v>0.32</v>
      </c>
      <c r="R3619" s="20">
        <v>0.44999999999999984</v>
      </c>
      <c r="S3619" s="20"/>
      <c r="T3619" s="20"/>
    </row>
    <row r="3620" spans="13:20" x14ac:dyDescent="0.2">
      <c r="M3620" s="20">
        <v>1.2736077773824444E-2</v>
      </c>
      <c r="N3620" s="20">
        <v>7.2293000213523805E-4</v>
      </c>
      <c r="O3620" s="20">
        <v>5.6762373391047033E-2</v>
      </c>
      <c r="P3620" s="20"/>
      <c r="Q3620" s="20">
        <v>0.25</v>
      </c>
      <c r="R3620" s="20">
        <v>0</v>
      </c>
      <c r="S3620" s="20">
        <v>0.74</v>
      </c>
      <c r="T3620" s="20">
        <v>1.0000000000000009E-2</v>
      </c>
    </row>
    <row r="3621" spans="13:20" x14ac:dyDescent="0.2">
      <c r="M3621" s="20">
        <v>1.3775184260185329E-2</v>
      </c>
      <c r="N3621" s="20">
        <v>1.7327999446766517E-3</v>
      </c>
      <c r="O3621" s="20">
        <v>0.12579141679323996</v>
      </c>
      <c r="P3621" s="20">
        <v>0.21</v>
      </c>
      <c r="Q3621" s="20">
        <v>8.9999999999999969E-2</v>
      </c>
      <c r="R3621" s="20"/>
      <c r="S3621" s="20"/>
      <c r="T3621" s="20">
        <v>0.7</v>
      </c>
    </row>
    <row r="3622" spans="13:20" x14ac:dyDescent="0.2">
      <c r="M3622" s="20">
        <v>1.3455136205421844E-2</v>
      </c>
      <c r="N3622" s="20">
        <v>2.3920545851072979E-3</v>
      </c>
      <c r="O3622" s="20">
        <v>0.17778003496860942</v>
      </c>
      <c r="P3622" s="20">
        <v>0.81</v>
      </c>
      <c r="Q3622" s="20"/>
      <c r="R3622" s="20"/>
      <c r="S3622" s="20"/>
      <c r="T3622" s="20">
        <v>0.19</v>
      </c>
    </row>
    <row r="3623" spans="13:20" x14ac:dyDescent="0.2">
      <c r="M3623" s="20">
        <v>1.3106396211294986E-2</v>
      </c>
      <c r="N3623" s="20">
        <v>1.2262108453173681E-3</v>
      </c>
      <c r="O3623" s="20">
        <v>9.35582005571165E-2</v>
      </c>
      <c r="P3623" s="20"/>
      <c r="Q3623" s="20">
        <v>0.49</v>
      </c>
      <c r="R3623" s="20">
        <v>0.21</v>
      </c>
      <c r="S3623" s="20">
        <v>0.1</v>
      </c>
      <c r="T3623" s="20">
        <v>0.19999999999999996</v>
      </c>
    </row>
    <row r="3624" spans="13:20" x14ac:dyDescent="0.2">
      <c r="M3624" s="20">
        <v>1.282311173578528E-2</v>
      </c>
      <c r="N3624" s="20">
        <v>1.8031668772212001E-3</v>
      </c>
      <c r="O3624" s="20">
        <v>0.14061851088680194</v>
      </c>
      <c r="P3624" s="20">
        <v>0.31</v>
      </c>
      <c r="Q3624" s="20">
        <v>0.22999999999999998</v>
      </c>
      <c r="R3624" s="20"/>
      <c r="S3624" s="20"/>
      <c r="T3624" s="20">
        <v>0.46</v>
      </c>
    </row>
    <row r="3625" spans="13:20" x14ac:dyDescent="0.2">
      <c r="M3625" s="20">
        <v>1.5434330851729931E-2</v>
      </c>
      <c r="N3625" s="20">
        <v>1.575860992542553E-3</v>
      </c>
      <c r="O3625" s="20">
        <v>0.1021010245070602</v>
      </c>
      <c r="P3625" s="20">
        <v>0.05</v>
      </c>
      <c r="Q3625" s="20">
        <v>3.9999999999999925E-2</v>
      </c>
      <c r="R3625" s="20"/>
      <c r="S3625" s="20"/>
      <c r="T3625" s="20">
        <v>0.91</v>
      </c>
    </row>
    <row r="3626" spans="13:20" x14ac:dyDescent="0.2">
      <c r="M3626" s="20">
        <v>1.2953779016432502E-2</v>
      </c>
      <c r="N3626" s="20">
        <v>2.1693446770024273E-3</v>
      </c>
      <c r="O3626" s="20">
        <v>0.16746809361580953</v>
      </c>
      <c r="P3626" s="20">
        <v>0.6</v>
      </c>
      <c r="Q3626" s="20"/>
      <c r="R3626" s="20"/>
      <c r="S3626" s="20"/>
      <c r="T3626" s="20">
        <v>0.4</v>
      </c>
    </row>
    <row r="3627" spans="13:20" x14ac:dyDescent="0.2">
      <c r="M3627" s="20">
        <v>9.9596467234373386E-3</v>
      </c>
      <c r="N3627" s="20">
        <v>8.0602240578032827E-4</v>
      </c>
      <c r="O3627" s="20">
        <v>8.0928814862837678E-2</v>
      </c>
      <c r="P3627" s="20"/>
      <c r="Q3627" s="20">
        <v>0.01</v>
      </c>
      <c r="R3627" s="20">
        <v>0.1</v>
      </c>
      <c r="S3627" s="20">
        <v>0.68</v>
      </c>
      <c r="T3627" s="20">
        <v>0.20999999999999996</v>
      </c>
    </row>
    <row r="3628" spans="13:20" x14ac:dyDescent="0.2">
      <c r="M3628" s="20">
        <v>1.2859445445455385E-2</v>
      </c>
      <c r="N3628" s="20">
        <v>1.0674974593672052E-3</v>
      </c>
      <c r="O3628" s="20">
        <v>8.3012713409384695E-2</v>
      </c>
      <c r="P3628" s="20">
        <v>0.04</v>
      </c>
      <c r="Q3628" s="20">
        <v>0.41000000000000003</v>
      </c>
      <c r="R3628" s="20"/>
      <c r="S3628" s="20">
        <v>0.4</v>
      </c>
      <c r="T3628" s="20">
        <v>0.15</v>
      </c>
    </row>
    <row r="3629" spans="13:20" x14ac:dyDescent="0.2">
      <c r="M3629" s="20">
        <v>1.0977548684537796E-2</v>
      </c>
      <c r="N3629" s="20">
        <v>1.0791529218492409E-3</v>
      </c>
      <c r="O3629" s="20">
        <v>9.830545533077524E-2</v>
      </c>
      <c r="P3629" s="20"/>
      <c r="Q3629" s="20"/>
      <c r="R3629" s="20"/>
      <c r="S3629" s="20">
        <v>0.45</v>
      </c>
      <c r="T3629" s="20">
        <v>0.54999999999999993</v>
      </c>
    </row>
    <row r="3630" spans="13:20" x14ac:dyDescent="0.2">
      <c r="M3630" s="20">
        <v>1.0237955221876788E-2</v>
      </c>
      <c r="N3630" s="20">
        <v>9.1777417269496065E-4</v>
      </c>
      <c r="O3630" s="20">
        <v>8.9644284703827543E-2</v>
      </c>
      <c r="P3630" s="20"/>
      <c r="Q3630" s="20"/>
      <c r="R3630" s="20"/>
      <c r="S3630" s="20">
        <v>0.61</v>
      </c>
      <c r="T3630" s="20">
        <v>0.3899999999999999</v>
      </c>
    </row>
    <row r="3631" spans="13:20" x14ac:dyDescent="0.2">
      <c r="M3631" s="20">
        <v>1.0248298050818193E-2</v>
      </c>
      <c r="N3631" s="20">
        <v>6.9874738393406488E-4</v>
      </c>
      <c r="O3631" s="20">
        <v>6.8181797647686393E-2</v>
      </c>
      <c r="P3631" s="20"/>
      <c r="Q3631" s="20"/>
      <c r="R3631" s="20">
        <v>0.28000000000000003</v>
      </c>
      <c r="S3631" s="20">
        <v>0.72</v>
      </c>
      <c r="T3631" s="20"/>
    </row>
    <row r="3632" spans="13:20" x14ac:dyDescent="0.2">
      <c r="M3632" s="20">
        <v>1.1051862538117284E-2</v>
      </c>
      <c r="N3632" s="20">
        <v>1.0490592326110875E-3</v>
      </c>
      <c r="O3632" s="20">
        <v>9.4921487576681132E-2</v>
      </c>
      <c r="P3632" s="20"/>
      <c r="Q3632" s="20">
        <v>0.25</v>
      </c>
      <c r="R3632" s="20">
        <v>0.54</v>
      </c>
      <c r="S3632" s="20">
        <v>0.20999999999999985</v>
      </c>
      <c r="T3632" s="20"/>
    </row>
    <row r="3633" spans="13:20" x14ac:dyDescent="0.2">
      <c r="M3633" s="20">
        <v>1.0426482944511529E-2</v>
      </c>
      <c r="N3633" s="20">
        <v>1.2008226659361936E-3</v>
      </c>
      <c r="O3633" s="20">
        <v>0.11517044360277819</v>
      </c>
      <c r="P3633" s="20"/>
      <c r="Q3633" s="20"/>
      <c r="R3633" s="20">
        <v>0.73</v>
      </c>
      <c r="S3633" s="20">
        <v>0.05</v>
      </c>
      <c r="T3633" s="20">
        <v>0.21999999999999997</v>
      </c>
    </row>
    <row r="3634" spans="13:20" x14ac:dyDescent="0.2">
      <c r="M3634" s="20">
        <v>1.2867289523156087E-2</v>
      </c>
      <c r="N3634" s="20">
        <v>2.0525945715341599E-3</v>
      </c>
      <c r="O3634" s="20">
        <v>0.15952035336115603</v>
      </c>
      <c r="P3634" s="20">
        <v>0.55000000000000004</v>
      </c>
      <c r="Q3634" s="20">
        <v>0.25000000000000011</v>
      </c>
      <c r="R3634" s="20"/>
      <c r="S3634" s="20"/>
      <c r="T3634" s="20">
        <v>0.2</v>
      </c>
    </row>
    <row r="3635" spans="13:20" x14ac:dyDescent="0.2">
      <c r="M3635" s="20">
        <v>1.1103742306070523E-2</v>
      </c>
      <c r="N3635" s="20">
        <v>1.1408083758443876E-3</v>
      </c>
      <c r="O3635" s="20">
        <v>0.10274089080946129</v>
      </c>
      <c r="P3635" s="20"/>
      <c r="Q3635" s="20"/>
      <c r="R3635" s="20">
        <v>0.99</v>
      </c>
      <c r="S3635" s="20">
        <v>9.9999999999998979E-3</v>
      </c>
      <c r="T3635" s="20"/>
    </row>
    <row r="3636" spans="13:20" x14ac:dyDescent="0.2">
      <c r="M3636" s="20">
        <v>1.4148879873072286E-2</v>
      </c>
      <c r="N3636" s="20">
        <v>2.4620121138320653E-3</v>
      </c>
      <c r="O3636" s="20">
        <v>0.174007563561105</v>
      </c>
      <c r="P3636" s="20">
        <v>0.9</v>
      </c>
      <c r="Q3636" s="20">
        <v>9.9999999999999867E-2</v>
      </c>
      <c r="R3636" s="20"/>
      <c r="S3636" s="20"/>
      <c r="T3636" s="20"/>
    </row>
    <row r="3637" spans="13:20" x14ac:dyDescent="0.2">
      <c r="M3637" s="20">
        <v>9.8761222198527742E-3</v>
      </c>
      <c r="N3637" s="20">
        <v>1.0014654799785339E-3</v>
      </c>
      <c r="O3637" s="20">
        <v>0.10140270216233339</v>
      </c>
      <c r="P3637" s="20"/>
      <c r="Q3637" s="20"/>
      <c r="R3637" s="20">
        <v>0.75</v>
      </c>
      <c r="S3637" s="20">
        <v>0.24</v>
      </c>
      <c r="T3637" s="20">
        <v>1.000000000000012E-2</v>
      </c>
    </row>
    <row r="3638" spans="13:20" x14ac:dyDescent="0.2">
      <c r="M3638" s="20">
        <v>1.1571701745567787E-2</v>
      </c>
      <c r="N3638" s="20">
        <v>1.1811206700316856E-3</v>
      </c>
      <c r="O3638" s="20">
        <v>0.10206974704339235</v>
      </c>
      <c r="P3638" s="20"/>
      <c r="Q3638" s="20">
        <v>0.26</v>
      </c>
      <c r="R3638" s="20">
        <v>0.74</v>
      </c>
      <c r="S3638" s="20"/>
      <c r="T3638" s="20"/>
    </row>
    <row r="3639" spans="13:20" x14ac:dyDescent="0.2">
      <c r="M3639" s="20">
        <v>1.0601385807832524E-2</v>
      </c>
      <c r="N3639" s="20">
        <v>1.2154637745084643E-3</v>
      </c>
      <c r="O3639" s="20">
        <v>0.1146514046880979</v>
      </c>
      <c r="P3639" s="20">
        <v>0.10000000000000009</v>
      </c>
      <c r="Q3639" s="20"/>
      <c r="R3639" s="20"/>
      <c r="S3639" s="20">
        <v>0.42</v>
      </c>
      <c r="T3639" s="20">
        <v>0.48</v>
      </c>
    </row>
    <row r="3640" spans="13:20" x14ac:dyDescent="0.2">
      <c r="M3640" s="20">
        <v>1.0412517084331946E-2</v>
      </c>
      <c r="N3640" s="20">
        <v>7.1306331588553941E-4</v>
      </c>
      <c r="O3640" s="20">
        <v>6.8481358552439642E-2</v>
      </c>
      <c r="P3640" s="20"/>
      <c r="Q3640" s="20"/>
      <c r="R3640" s="20">
        <v>0.06</v>
      </c>
      <c r="S3640" s="20">
        <v>0.79</v>
      </c>
      <c r="T3640" s="20">
        <v>0.15000000000000002</v>
      </c>
    </row>
    <row r="3641" spans="13:20" x14ac:dyDescent="0.2">
      <c r="M3641" s="20">
        <v>1.4938542285317553E-2</v>
      </c>
      <c r="N3641" s="20">
        <v>1.8068515115992234E-3</v>
      </c>
      <c r="O3641" s="20">
        <v>0.12095233102998942</v>
      </c>
      <c r="P3641" s="20">
        <v>0.4</v>
      </c>
      <c r="Q3641" s="20">
        <v>0.59</v>
      </c>
      <c r="R3641" s="20"/>
      <c r="S3641" s="20"/>
      <c r="T3641" s="20">
        <v>0.01</v>
      </c>
    </row>
    <row r="3642" spans="13:20" x14ac:dyDescent="0.2">
      <c r="M3642" s="20">
        <v>1.1989270252081432E-2</v>
      </c>
      <c r="N3642" s="20">
        <v>1.0444816004283365E-3</v>
      </c>
      <c r="O3642" s="20">
        <v>8.7118029577071723E-2</v>
      </c>
      <c r="P3642" s="20"/>
      <c r="Q3642" s="20">
        <v>0.35</v>
      </c>
      <c r="R3642" s="20">
        <v>0.12</v>
      </c>
      <c r="S3642" s="20">
        <v>0.35</v>
      </c>
      <c r="T3642" s="20">
        <v>0.18000000000000005</v>
      </c>
    </row>
    <row r="3643" spans="13:20" x14ac:dyDescent="0.2">
      <c r="M3643" s="20">
        <v>1.8661079521685268E-2</v>
      </c>
      <c r="N3643" s="20">
        <v>1.2742018967773711E-3</v>
      </c>
      <c r="O3643" s="20">
        <v>6.8281253252078677E-2</v>
      </c>
      <c r="P3643" s="20"/>
      <c r="Q3643" s="20">
        <v>0.97</v>
      </c>
      <c r="R3643" s="20">
        <v>2.9999999999999916E-2</v>
      </c>
      <c r="S3643" s="20"/>
      <c r="T3643" s="20"/>
    </row>
    <row r="3644" spans="13:20" x14ac:dyDescent="0.2">
      <c r="M3644" s="20">
        <v>1.2130087016171163E-2</v>
      </c>
      <c r="N3644" s="20">
        <v>1.210273155537094E-3</v>
      </c>
      <c r="O3644" s="20">
        <v>9.9774482567488984E-2</v>
      </c>
      <c r="P3644" s="20">
        <v>0</v>
      </c>
      <c r="Q3644" s="20"/>
      <c r="R3644" s="20"/>
      <c r="S3644" s="20">
        <v>0.32</v>
      </c>
      <c r="T3644" s="20">
        <v>0.68</v>
      </c>
    </row>
    <row r="3645" spans="13:20" x14ac:dyDescent="0.2">
      <c r="M3645" s="20">
        <v>1.2917912082972932E-2</v>
      </c>
      <c r="N3645" s="20">
        <v>1.7218732868422642E-3</v>
      </c>
      <c r="O3645" s="20">
        <v>0.13329346691497157</v>
      </c>
      <c r="P3645" s="20">
        <v>0.28999999999999998</v>
      </c>
      <c r="Q3645" s="20">
        <v>0.39</v>
      </c>
      <c r="R3645" s="20">
        <v>5.0000000000000044E-2</v>
      </c>
      <c r="S3645" s="20"/>
      <c r="T3645" s="20">
        <v>0.27</v>
      </c>
    </row>
    <row r="3646" spans="13:20" x14ac:dyDescent="0.2">
      <c r="M3646" s="20">
        <v>1.1293543007837838E-2</v>
      </c>
      <c r="N3646" s="20">
        <v>1.5271560672510953E-3</v>
      </c>
      <c r="O3646" s="20">
        <v>0.1352238235769973</v>
      </c>
      <c r="P3646" s="20">
        <v>0.19</v>
      </c>
      <c r="Q3646" s="20">
        <v>0.2</v>
      </c>
      <c r="R3646" s="20">
        <v>0.17</v>
      </c>
      <c r="S3646" s="20">
        <v>9.000000000000008E-2</v>
      </c>
      <c r="T3646" s="20">
        <v>0.35</v>
      </c>
    </row>
    <row r="3647" spans="13:20" x14ac:dyDescent="0.2">
      <c r="M3647" s="20">
        <v>1.3902640725373946E-2</v>
      </c>
      <c r="N3647" s="20">
        <v>1.8405824317047612E-3</v>
      </c>
      <c r="O3647" s="20">
        <v>0.13239085063497921</v>
      </c>
      <c r="P3647" s="20">
        <v>0.29000000000000004</v>
      </c>
      <c r="Q3647" s="20"/>
      <c r="R3647" s="20"/>
      <c r="S3647" s="20"/>
      <c r="T3647" s="20">
        <v>0.71</v>
      </c>
    </row>
    <row r="3648" spans="13:20" x14ac:dyDescent="0.2">
      <c r="M3648" s="20">
        <v>1.3233550764420348E-2</v>
      </c>
      <c r="N3648" s="20">
        <v>1.9890557037746748E-3</v>
      </c>
      <c r="O3648" s="20">
        <v>0.15030400677665731</v>
      </c>
      <c r="P3648" s="20">
        <v>0.42999999999999994</v>
      </c>
      <c r="Q3648" s="20"/>
      <c r="R3648" s="20"/>
      <c r="S3648" s="20"/>
      <c r="T3648" s="20">
        <v>0.56999999999999995</v>
      </c>
    </row>
    <row r="3649" spans="13:20" x14ac:dyDescent="0.2">
      <c r="M3649" s="20">
        <v>1.159467367829072E-2</v>
      </c>
      <c r="N3649" s="20">
        <v>9.9921685611629595E-4</v>
      </c>
      <c r="O3649" s="20">
        <v>8.6178954564903279E-2</v>
      </c>
      <c r="P3649" s="20">
        <v>0.11</v>
      </c>
      <c r="Q3649" s="20">
        <v>0.23</v>
      </c>
      <c r="R3649" s="20">
        <v>7.0000000000000007E-2</v>
      </c>
      <c r="S3649" s="20">
        <v>0.56000000000000005</v>
      </c>
      <c r="T3649" s="20">
        <v>2.9999999999999916E-2</v>
      </c>
    </row>
    <row r="3650" spans="13:20" x14ac:dyDescent="0.2">
      <c r="M3650" s="20">
        <v>1.5713798177247416E-2</v>
      </c>
      <c r="N3650" s="20">
        <v>1.1404964352850755E-3</v>
      </c>
      <c r="O3650" s="20">
        <v>7.2579297660602643E-2</v>
      </c>
      <c r="P3650" s="20"/>
      <c r="Q3650" s="20">
        <v>0.71</v>
      </c>
      <c r="R3650" s="20">
        <v>0.13</v>
      </c>
      <c r="S3650" s="20">
        <v>0.15999999999999992</v>
      </c>
      <c r="T3650" s="20"/>
    </row>
    <row r="3651" spans="13:20" x14ac:dyDescent="0.2">
      <c r="M3651" s="20">
        <v>1.2070626699443577E-2</v>
      </c>
      <c r="N3651" s="20">
        <v>1.9990817341657462E-3</v>
      </c>
      <c r="O3651" s="20">
        <v>0.16561540539215736</v>
      </c>
      <c r="P3651" s="20">
        <v>0.56999999999999995</v>
      </c>
      <c r="Q3651" s="20">
        <v>0.21</v>
      </c>
      <c r="R3651" s="20">
        <v>0.2200000000000002</v>
      </c>
      <c r="S3651" s="20"/>
      <c r="T3651" s="20"/>
    </row>
    <row r="3652" spans="13:20" x14ac:dyDescent="0.2">
      <c r="M3652" s="20">
        <v>1.2275056160251751E-2</v>
      </c>
      <c r="N3652" s="20">
        <v>1.7846816654784724E-3</v>
      </c>
      <c r="O3652" s="20">
        <v>0.14539091652040723</v>
      </c>
      <c r="P3652" s="20">
        <v>0.41</v>
      </c>
      <c r="Q3652" s="20">
        <v>0.34</v>
      </c>
      <c r="R3652" s="20">
        <v>0.24999999999999989</v>
      </c>
      <c r="S3652" s="20"/>
      <c r="T3652" s="20"/>
    </row>
    <row r="3653" spans="13:20" x14ac:dyDescent="0.2">
      <c r="M3653" s="20">
        <v>1.6852964635850839E-2</v>
      </c>
      <c r="N3653" s="20">
        <v>1.2558478520669544E-3</v>
      </c>
      <c r="O3653" s="20">
        <v>7.4517918906411545E-2</v>
      </c>
      <c r="P3653" s="20"/>
      <c r="Q3653" s="20">
        <v>0.83</v>
      </c>
      <c r="R3653" s="20">
        <v>0.16999999999999993</v>
      </c>
      <c r="S3653" s="20"/>
      <c r="T3653" s="20"/>
    </row>
    <row r="3654" spans="13:20" x14ac:dyDescent="0.2">
      <c r="M3654" s="20">
        <v>1.5998727079513646E-2</v>
      </c>
      <c r="N3654" s="20">
        <v>1.246670829711746E-3</v>
      </c>
      <c r="O3654" s="20">
        <v>7.7923126228467698E-2</v>
      </c>
      <c r="P3654" s="20"/>
      <c r="Q3654" s="20">
        <v>0.76</v>
      </c>
      <c r="R3654" s="20">
        <v>0.2400000000000001</v>
      </c>
      <c r="S3654" s="20"/>
      <c r="T3654" s="20"/>
    </row>
    <row r="3655" spans="13:20" x14ac:dyDescent="0.2">
      <c r="M3655" s="20">
        <v>1.4048258290076871E-2</v>
      </c>
      <c r="N3655" s="20">
        <v>1.5489581372220788E-3</v>
      </c>
      <c r="O3655" s="20">
        <v>0.11025979913226687</v>
      </c>
      <c r="P3655" s="20">
        <v>0.14000000000000001</v>
      </c>
      <c r="Q3655" s="20">
        <v>0.51999999999999991</v>
      </c>
      <c r="R3655" s="20"/>
      <c r="S3655" s="20"/>
      <c r="T3655" s="20">
        <v>0.34</v>
      </c>
    </row>
    <row r="3656" spans="13:20" x14ac:dyDescent="0.2">
      <c r="M3656" s="20">
        <v>1.0943492384217027E-2</v>
      </c>
      <c r="N3656" s="20">
        <v>7.9312696568208118E-4</v>
      </c>
      <c r="O3656" s="20">
        <v>7.2474758316270982E-2</v>
      </c>
      <c r="P3656" s="20"/>
      <c r="Q3656" s="20">
        <v>0.15</v>
      </c>
      <c r="R3656" s="20">
        <v>0.25</v>
      </c>
      <c r="S3656" s="20">
        <v>0.6</v>
      </c>
      <c r="T3656" s="20">
        <v>0</v>
      </c>
    </row>
    <row r="3657" spans="13:20" x14ac:dyDescent="0.2">
      <c r="M3657" s="20">
        <v>9.7922382850035936E-3</v>
      </c>
      <c r="N3657" s="20">
        <v>9.7270067469539163E-4</v>
      </c>
      <c r="O3657" s="20">
        <v>9.9333844457711207E-2</v>
      </c>
      <c r="P3657" s="20"/>
      <c r="Q3657" s="20"/>
      <c r="R3657" s="20">
        <v>0.72</v>
      </c>
      <c r="S3657" s="20">
        <v>0.27999999999999992</v>
      </c>
      <c r="T3657" s="20"/>
    </row>
    <row r="3658" spans="13:20" x14ac:dyDescent="0.2">
      <c r="M3658" s="20">
        <v>1.0267488646913093E-2</v>
      </c>
      <c r="N3658" s="20">
        <v>7.9674011082925072E-4</v>
      </c>
      <c r="O3658" s="20">
        <v>7.7598343492572511E-2</v>
      </c>
      <c r="P3658" s="20"/>
      <c r="Q3658" s="20"/>
      <c r="R3658" s="20"/>
      <c r="S3658" s="20">
        <v>0.73</v>
      </c>
      <c r="T3658" s="20">
        <v>0.27000000000000013</v>
      </c>
    </row>
    <row r="3659" spans="13:20" x14ac:dyDescent="0.2">
      <c r="M3659" s="20">
        <v>9.6278641070666211E-3</v>
      </c>
      <c r="N3659" s="20">
        <v>8.204026156811556E-4</v>
      </c>
      <c r="O3659" s="20">
        <v>8.5211279112155286E-2</v>
      </c>
      <c r="P3659" s="20"/>
      <c r="Q3659" s="20"/>
      <c r="R3659" s="20">
        <v>0.2</v>
      </c>
      <c r="S3659" s="20">
        <v>0.63</v>
      </c>
      <c r="T3659" s="20">
        <v>0.16999999999999993</v>
      </c>
    </row>
    <row r="3660" spans="13:20" x14ac:dyDescent="0.2">
      <c r="M3660" s="20">
        <v>1.7871638832514841E-2</v>
      </c>
      <c r="N3660" s="20">
        <v>1.2663358776157643E-3</v>
      </c>
      <c r="O3660" s="20">
        <v>7.0857288997573681E-2</v>
      </c>
      <c r="P3660" s="20"/>
      <c r="Q3660" s="20">
        <v>0.91</v>
      </c>
      <c r="R3660" s="20">
        <v>9.000000000000008E-2</v>
      </c>
      <c r="S3660" s="20"/>
      <c r="T3660" s="20"/>
    </row>
    <row r="3661" spans="13:20" x14ac:dyDescent="0.2">
      <c r="M3661" s="20">
        <v>1.4749960029107697E-2</v>
      </c>
      <c r="N3661" s="20">
        <v>1.7133196270734071E-3</v>
      </c>
      <c r="O3661" s="20">
        <v>0.11615757762680899</v>
      </c>
      <c r="P3661" s="20">
        <v>0.17000000000000015</v>
      </c>
      <c r="Q3661" s="20"/>
      <c r="R3661" s="20"/>
      <c r="S3661" s="20"/>
      <c r="T3661" s="20">
        <v>0.83</v>
      </c>
    </row>
    <row r="3662" spans="13:20" x14ac:dyDescent="0.2">
      <c r="M3662" s="20">
        <v>1.3561610956032579E-2</v>
      </c>
      <c r="N3662" s="20">
        <v>1.604625797849544E-3</v>
      </c>
      <c r="O3662" s="20">
        <v>0.11832117902893846</v>
      </c>
      <c r="P3662" s="20">
        <v>0.13</v>
      </c>
      <c r="Q3662" s="20">
        <v>0.26</v>
      </c>
      <c r="R3662" s="20"/>
      <c r="S3662" s="20"/>
      <c r="T3662" s="20">
        <v>0.61</v>
      </c>
    </row>
    <row r="3663" spans="13:20" x14ac:dyDescent="0.2">
      <c r="M3663" s="20">
        <v>9.5690768826218534E-3</v>
      </c>
      <c r="N3663" s="20">
        <v>8.6062887392939435E-4</v>
      </c>
      <c r="O3663" s="20">
        <v>8.9938547310907252E-2</v>
      </c>
      <c r="P3663" s="20"/>
      <c r="Q3663" s="20"/>
      <c r="R3663" s="20">
        <v>0.54</v>
      </c>
      <c r="S3663" s="20">
        <v>0.46</v>
      </c>
      <c r="T3663" s="20">
        <v>0</v>
      </c>
    </row>
    <row r="3664" spans="13:20" x14ac:dyDescent="0.2">
      <c r="M3664" s="20">
        <v>1.4107761123317455E-2</v>
      </c>
      <c r="N3664" s="20">
        <v>1.2243837754205254E-3</v>
      </c>
      <c r="O3664" s="20">
        <v>8.6787957686414979E-2</v>
      </c>
      <c r="P3664" s="20"/>
      <c r="Q3664" s="20">
        <v>0.59</v>
      </c>
      <c r="R3664" s="20">
        <v>0.40999999999999992</v>
      </c>
      <c r="S3664" s="20"/>
      <c r="T3664" s="20"/>
    </row>
    <row r="3665" spans="13:20" x14ac:dyDescent="0.2">
      <c r="M3665" s="20">
        <v>1.3162038773222376E-2</v>
      </c>
      <c r="N3665" s="20">
        <v>1.9495931301922122E-3</v>
      </c>
      <c r="O3665" s="20">
        <v>0.14812242721534744</v>
      </c>
      <c r="P3665" s="20">
        <v>0.4</v>
      </c>
      <c r="Q3665" s="20">
        <v>3.0000000000000138E-2</v>
      </c>
      <c r="R3665" s="20"/>
      <c r="S3665" s="20"/>
      <c r="T3665" s="20">
        <v>0.56999999999999995</v>
      </c>
    </row>
    <row r="3666" spans="13:20" x14ac:dyDescent="0.2">
      <c r="M3666" s="20">
        <v>9.7394437849265582E-3</v>
      </c>
      <c r="N3666" s="20">
        <v>9.6024825238805872E-4</v>
      </c>
      <c r="O3666" s="20">
        <v>9.85937465827572E-2</v>
      </c>
      <c r="P3666" s="20"/>
      <c r="Q3666" s="20"/>
      <c r="R3666" s="20">
        <v>0.7</v>
      </c>
      <c r="S3666" s="20">
        <v>0.30000000000000004</v>
      </c>
      <c r="T3666" s="20"/>
    </row>
    <row r="3667" spans="13:20" x14ac:dyDescent="0.2">
      <c r="M3667" s="20">
        <v>1.1773712739279027E-2</v>
      </c>
      <c r="N3667" s="20">
        <v>1.9221984181293094E-3</v>
      </c>
      <c r="O3667" s="20">
        <v>0.16326187505123524</v>
      </c>
      <c r="P3667" s="20">
        <v>0.43</v>
      </c>
      <c r="Q3667" s="20">
        <v>0.02</v>
      </c>
      <c r="R3667" s="20">
        <v>0.15999999999999992</v>
      </c>
      <c r="S3667" s="20"/>
      <c r="T3667" s="20">
        <v>0.39</v>
      </c>
    </row>
    <row r="3668" spans="13:20" x14ac:dyDescent="0.2">
      <c r="M3668" s="20">
        <v>9.6223646147814996E-3</v>
      </c>
      <c r="N3668" s="20">
        <v>9.2289098546605955E-4</v>
      </c>
      <c r="O3668" s="20">
        <v>9.5911038753234382E-2</v>
      </c>
      <c r="P3668" s="20"/>
      <c r="Q3668" s="20"/>
      <c r="R3668" s="20">
        <v>0.64</v>
      </c>
      <c r="S3668" s="20">
        <v>0.35999999999999988</v>
      </c>
      <c r="T3668" s="20"/>
    </row>
    <row r="3669" spans="13:20" x14ac:dyDescent="0.2">
      <c r="M3669" s="20">
        <v>9.7155981301437367E-3</v>
      </c>
      <c r="N3669" s="20">
        <v>9.540220412343921E-4</v>
      </c>
      <c r="O3669" s="20">
        <v>9.8194885014277325E-2</v>
      </c>
      <c r="P3669" s="20"/>
      <c r="Q3669" s="20"/>
      <c r="R3669" s="20">
        <v>0.69</v>
      </c>
      <c r="S3669" s="20">
        <v>0.31000000000000005</v>
      </c>
      <c r="T3669" s="20"/>
    </row>
    <row r="3670" spans="13:20" x14ac:dyDescent="0.2">
      <c r="M3670" s="20">
        <v>1.1863708145930605E-2</v>
      </c>
      <c r="N3670" s="20">
        <v>5.4458581527568734E-4</v>
      </c>
      <c r="O3670" s="20">
        <v>4.5903507451208407E-2</v>
      </c>
      <c r="P3670" s="20"/>
      <c r="Q3670" s="20"/>
      <c r="R3670" s="20"/>
      <c r="S3670" s="20">
        <v>0.98</v>
      </c>
      <c r="T3670" s="20">
        <v>1.9999999999999907E-2</v>
      </c>
    </row>
    <row r="3671" spans="13:20" x14ac:dyDescent="0.2">
      <c r="M3671" s="20">
        <v>1.23453440931807E-2</v>
      </c>
      <c r="N3671" s="20">
        <v>1.1981637115485012E-3</v>
      </c>
      <c r="O3671" s="20">
        <v>9.7053893557356649E-2</v>
      </c>
      <c r="P3671" s="20"/>
      <c r="Q3671" s="20">
        <v>0.39</v>
      </c>
      <c r="R3671" s="20">
        <v>0.61</v>
      </c>
      <c r="S3671" s="20"/>
      <c r="T3671" s="20"/>
    </row>
    <row r="3672" spans="13:20" x14ac:dyDescent="0.2">
      <c r="M3672" s="20">
        <v>1.084063784495717E-2</v>
      </c>
      <c r="N3672" s="20">
        <v>1.1263915567785311E-3</v>
      </c>
      <c r="O3672" s="20">
        <v>0.10390454629037386</v>
      </c>
      <c r="P3672" s="20"/>
      <c r="Q3672" s="20">
        <v>0.08</v>
      </c>
      <c r="R3672" s="20">
        <v>0.87</v>
      </c>
      <c r="S3672" s="20">
        <v>5.0000000000000044E-2</v>
      </c>
      <c r="T3672" s="20"/>
    </row>
    <row r="3673" spans="13:20" x14ac:dyDescent="0.2">
      <c r="M3673" s="20">
        <v>1.7103671905773405E-2</v>
      </c>
      <c r="N3673" s="20">
        <v>1.2584698584541568E-3</v>
      </c>
      <c r="O3673" s="20">
        <v>7.357892886318497E-2</v>
      </c>
      <c r="P3673" s="20"/>
      <c r="Q3673" s="20">
        <v>0.85</v>
      </c>
      <c r="R3673" s="20">
        <v>0.15000000000000002</v>
      </c>
      <c r="S3673" s="20"/>
      <c r="T3673" s="20"/>
    </row>
    <row r="3674" spans="13:20" x14ac:dyDescent="0.2">
      <c r="M3674" s="20">
        <v>1.1579199744869626E-2</v>
      </c>
      <c r="N3674" s="20">
        <v>5.7484433074211482E-4</v>
      </c>
      <c r="O3674" s="20">
        <v>4.9644564685639006E-2</v>
      </c>
      <c r="P3674" s="20"/>
      <c r="Q3674" s="20"/>
      <c r="R3674" s="20"/>
      <c r="S3674" s="20">
        <v>0.95</v>
      </c>
      <c r="T3674" s="20">
        <v>4.9999999999999933E-2</v>
      </c>
    </row>
    <row r="3675" spans="13:20" x14ac:dyDescent="0.2">
      <c r="M3675" s="20">
        <v>1.3169166002341536E-2</v>
      </c>
      <c r="N3675" s="20">
        <v>2.0102661712132343E-3</v>
      </c>
      <c r="O3675" s="20">
        <v>0.15264946700920923</v>
      </c>
      <c r="P3675" s="20">
        <v>0.45000000000000007</v>
      </c>
      <c r="Q3675" s="20"/>
      <c r="R3675" s="20"/>
      <c r="S3675" s="20"/>
      <c r="T3675" s="20">
        <v>0.55000000000000004</v>
      </c>
    </row>
    <row r="3676" spans="13:20" x14ac:dyDescent="0.2">
      <c r="M3676" s="20">
        <v>1.1635707367628888E-2</v>
      </c>
      <c r="N3676" s="20">
        <v>1.5079098271533291E-3</v>
      </c>
      <c r="O3676" s="20">
        <v>0.12959330958669593</v>
      </c>
      <c r="P3676" s="20">
        <v>0.17</v>
      </c>
      <c r="Q3676" s="20">
        <v>0.28999999999999998</v>
      </c>
      <c r="R3676" s="20">
        <v>0.21</v>
      </c>
      <c r="S3676" s="20">
        <v>5.0000000000000044E-2</v>
      </c>
      <c r="T3676" s="20">
        <v>0.28000000000000003</v>
      </c>
    </row>
    <row r="3677" spans="13:20" x14ac:dyDescent="0.2">
      <c r="M3677" s="20">
        <v>1.0379223682767946E-2</v>
      </c>
      <c r="N3677" s="20">
        <v>7.8821112469851912E-4</v>
      </c>
      <c r="O3677" s="20">
        <v>7.5941240769976159E-2</v>
      </c>
      <c r="P3677" s="20">
        <v>3.0000000000000027E-2</v>
      </c>
      <c r="Q3677" s="20"/>
      <c r="R3677" s="20"/>
      <c r="S3677" s="20">
        <v>0.77</v>
      </c>
      <c r="T3677" s="20">
        <v>0.2</v>
      </c>
    </row>
    <row r="3678" spans="13:20" x14ac:dyDescent="0.2">
      <c r="M3678" s="20">
        <v>1.2994685620591232E-2</v>
      </c>
      <c r="N3678" s="20">
        <v>2.0951080409674708E-3</v>
      </c>
      <c r="O3678" s="20">
        <v>0.16122806677581997</v>
      </c>
      <c r="P3678" s="20">
        <v>0.53</v>
      </c>
      <c r="Q3678" s="20"/>
      <c r="R3678" s="20"/>
      <c r="S3678" s="20"/>
      <c r="T3678" s="20">
        <v>0.47</v>
      </c>
    </row>
    <row r="3679" spans="13:20" x14ac:dyDescent="0.2">
      <c r="M3679" s="20">
        <v>1.1671201312730247E-2</v>
      </c>
      <c r="N3679" s="20">
        <v>1.9915295890499821E-3</v>
      </c>
      <c r="O3679" s="20">
        <v>0.17063621264742823</v>
      </c>
      <c r="P3679" s="20">
        <v>0.55000000000000004</v>
      </c>
      <c r="Q3679" s="20">
        <v>0.1100000000000001</v>
      </c>
      <c r="R3679" s="20">
        <v>0.12</v>
      </c>
      <c r="S3679" s="20">
        <v>0.05</v>
      </c>
      <c r="T3679" s="20">
        <v>0.17</v>
      </c>
    </row>
    <row r="3680" spans="13:20" x14ac:dyDescent="0.2">
      <c r="M3680" s="20">
        <v>1.0901301075074711E-2</v>
      </c>
      <c r="N3680" s="20">
        <v>1.5789733853571065E-3</v>
      </c>
      <c r="O3680" s="20">
        <v>0.14484265451280415</v>
      </c>
      <c r="P3680" s="20">
        <v>0.5</v>
      </c>
      <c r="Q3680" s="20">
        <v>0.01</v>
      </c>
      <c r="R3680" s="20">
        <v>0.02</v>
      </c>
      <c r="S3680" s="20">
        <v>0.47</v>
      </c>
      <c r="T3680" s="20"/>
    </row>
    <row r="3681" spans="13:20" x14ac:dyDescent="0.2">
      <c r="M3681" s="20">
        <v>1.3299565419438806E-2</v>
      </c>
      <c r="N3681" s="20">
        <v>2.1824063336403892E-3</v>
      </c>
      <c r="O3681" s="20">
        <v>0.16409606365412191</v>
      </c>
      <c r="P3681" s="20">
        <v>0.67</v>
      </c>
      <c r="Q3681" s="20">
        <v>0.24</v>
      </c>
      <c r="R3681" s="20"/>
      <c r="S3681" s="20"/>
      <c r="T3681" s="20">
        <v>0.09</v>
      </c>
    </row>
    <row r="3682" spans="13:20" x14ac:dyDescent="0.2">
      <c r="M3682" s="20">
        <v>1.2972249134427268E-2</v>
      </c>
      <c r="N3682" s="20">
        <v>2.1163185084060298E-3</v>
      </c>
      <c r="O3682" s="20">
        <v>0.16314198767502058</v>
      </c>
      <c r="P3682" s="20">
        <v>0.55000000000000004</v>
      </c>
      <c r="Q3682" s="20"/>
      <c r="R3682" s="20"/>
      <c r="S3682" s="20"/>
      <c r="T3682" s="20">
        <v>0.45</v>
      </c>
    </row>
    <row r="3683" spans="13:20" x14ac:dyDescent="0.2">
      <c r="M3683" s="20">
        <v>1.4637253852239254E-2</v>
      </c>
      <c r="N3683" s="20">
        <v>2.593554025773609E-3</v>
      </c>
      <c r="O3683" s="20">
        <v>0.17718856637693953</v>
      </c>
      <c r="P3683" s="20">
        <v>1</v>
      </c>
      <c r="Q3683" s="20">
        <v>0</v>
      </c>
      <c r="R3683" s="20"/>
      <c r="S3683" s="20"/>
      <c r="T3683" s="20"/>
    </row>
    <row r="3684" spans="13:20" x14ac:dyDescent="0.2">
      <c r="M3684" s="20">
        <v>1.0909084634781437E-2</v>
      </c>
      <c r="N3684" s="20">
        <v>1.122129742383388E-3</v>
      </c>
      <c r="O3684" s="20">
        <v>0.10286195221235167</v>
      </c>
      <c r="P3684" s="20"/>
      <c r="Q3684" s="20"/>
      <c r="R3684" s="20">
        <v>0.96</v>
      </c>
      <c r="S3684" s="20">
        <v>4.0000000000000036E-2</v>
      </c>
      <c r="T3684" s="20"/>
    </row>
    <row r="3685" spans="13:20" x14ac:dyDescent="0.2">
      <c r="M3685" s="20">
        <v>1.4375236171961979E-2</v>
      </c>
      <c r="N3685" s="20">
        <v>1.0936333411935284E-3</v>
      </c>
      <c r="O3685" s="20">
        <v>7.6077591220838056E-2</v>
      </c>
      <c r="P3685" s="20"/>
      <c r="Q3685" s="20">
        <v>0.59</v>
      </c>
      <c r="R3685" s="20">
        <v>0.2</v>
      </c>
      <c r="S3685" s="20">
        <v>0.20999999999999996</v>
      </c>
      <c r="T3685" s="20"/>
    </row>
    <row r="3686" spans="13:20" x14ac:dyDescent="0.2">
      <c r="M3686" s="20">
        <v>9.739830883322035E-3</v>
      </c>
      <c r="N3686" s="20">
        <v>1.4925580088553712E-3</v>
      </c>
      <c r="O3686" s="20">
        <v>0.1532427027466306</v>
      </c>
      <c r="P3686" s="20">
        <v>0.38</v>
      </c>
      <c r="Q3686" s="20">
        <v>0.01</v>
      </c>
      <c r="R3686" s="20">
        <v>0.28000000000000003</v>
      </c>
      <c r="S3686" s="20">
        <v>0.33000000000000007</v>
      </c>
      <c r="T3686" s="20"/>
    </row>
    <row r="3687" spans="13:20" x14ac:dyDescent="0.2">
      <c r="M3687" s="20">
        <v>1.1369402635326598E-2</v>
      </c>
      <c r="N3687" s="20">
        <v>1.1745656540636795E-3</v>
      </c>
      <c r="O3687" s="20">
        <v>0.10330935509435751</v>
      </c>
      <c r="P3687" s="20"/>
      <c r="Q3687" s="20">
        <v>0.21</v>
      </c>
      <c r="R3687" s="20">
        <v>0.79</v>
      </c>
      <c r="S3687" s="20"/>
      <c r="T3687" s="20"/>
    </row>
    <row r="3688" spans="13:20" x14ac:dyDescent="0.2">
      <c r="M3688" s="20">
        <v>1.5298716201155593E-2</v>
      </c>
      <c r="N3688" s="20">
        <v>1.2388048105501385E-3</v>
      </c>
      <c r="O3688" s="20">
        <v>8.0974429112984331E-2</v>
      </c>
      <c r="P3688" s="20"/>
      <c r="Q3688" s="20">
        <v>0.7</v>
      </c>
      <c r="R3688" s="20">
        <v>0.29999999999999993</v>
      </c>
      <c r="S3688" s="20"/>
      <c r="T3688" s="20"/>
    </row>
    <row r="3689" spans="13:20" x14ac:dyDescent="0.2">
      <c r="M3689" s="20">
        <v>1.4148879873072288E-2</v>
      </c>
      <c r="N3689" s="20">
        <v>2.4620121138320657E-3</v>
      </c>
      <c r="O3689" s="20">
        <v>0.17400756356110503</v>
      </c>
      <c r="P3689" s="20">
        <v>0.9</v>
      </c>
      <c r="Q3689" s="20">
        <v>9.9999999999999978E-2</v>
      </c>
      <c r="R3689" s="20"/>
      <c r="S3689" s="20"/>
      <c r="T3689" s="20"/>
    </row>
    <row r="3690" spans="13:20" x14ac:dyDescent="0.2">
      <c r="M3690" s="20">
        <v>1.3704906115303792E-2</v>
      </c>
      <c r="N3690" s="20">
        <v>2.445080753703695E-3</v>
      </c>
      <c r="O3690" s="20">
        <v>0.17840915750406772</v>
      </c>
      <c r="P3690" s="20">
        <v>0.85999999999999988</v>
      </c>
      <c r="Q3690" s="20"/>
      <c r="R3690" s="20"/>
      <c r="S3690" s="20"/>
      <c r="T3690" s="20">
        <v>0.14000000000000001</v>
      </c>
    </row>
    <row r="3691" spans="13:20" x14ac:dyDescent="0.2">
      <c r="M3691" s="20">
        <v>1.3056114345062894E-2</v>
      </c>
      <c r="N3691" s="20">
        <v>1.302277377001484E-3</v>
      </c>
      <c r="O3691" s="20">
        <v>9.974463631240589E-2</v>
      </c>
      <c r="P3691" s="20"/>
      <c r="Q3691" s="20">
        <v>0.45</v>
      </c>
      <c r="R3691" s="20">
        <v>0.17</v>
      </c>
      <c r="S3691" s="20">
        <v>0.05</v>
      </c>
      <c r="T3691" s="20">
        <v>0.32999999999999985</v>
      </c>
    </row>
    <row r="3692" spans="13:20" x14ac:dyDescent="0.2">
      <c r="M3692" s="20">
        <v>1.2981697002729449E-2</v>
      </c>
      <c r="N3692" s="20">
        <v>1.7378053250702089E-3</v>
      </c>
      <c r="O3692" s="20">
        <v>0.13386580542627277</v>
      </c>
      <c r="P3692" s="20">
        <v>0.27</v>
      </c>
      <c r="Q3692" s="20">
        <v>0.32000000000000006</v>
      </c>
      <c r="R3692" s="20"/>
      <c r="S3692" s="20"/>
      <c r="T3692" s="20">
        <v>0.41</v>
      </c>
    </row>
    <row r="3693" spans="13:20" x14ac:dyDescent="0.2">
      <c r="M3693" s="20">
        <v>1.1753512463126644E-2</v>
      </c>
      <c r="N3693" s="20">
        <v>7.2201381085223114E-4</v>
      </c>
      <c r="O3693" s="20">
        <v>6.1429620559585695E-2</v>
      </c>
      <c r="P3693" s="20">
        <v>7.0000000000000007E-2</v>
      </c>
      <c r="Q3693" s="20">
        <v>7.0000000000000173E-2</v>
      </c>
      <c r="R3693" s="20"/>
      <c r="S3693" s="20">
        <v>0.86</v>
      </c>
      <c r="T3693" s="20">
        <v>0</v>
      </c>
    </row>
    <row r="3694" spans="13:20" x14ac:dyDescent="0.2">
      <c r="M3694" s="20">
        <v>1.039134687011423E-2</v>
      </c>
      <c r="N3694" s="20">
        <v>7.5639542354068038E-4</v>
      </c>
      <c r="O3694" s="20">
        <v>7.2790893518923164E-2</v>
      </c>
      <c r="P3694" s="20"/>
      <c r="Q3694" s="20"/>
      <c r="R3694" s="20"/>
      <c r="S3694" s="20">
        <v>0.77</v>
      </c>
      <c r="T3694" s="20">
        <v>0.22999999999999998</v>
      </c>
    </row>
    <row r="3695" spans="13:20" x14ac:dyDescent="0.2">
      <c r="M3695" s="20">
        <v>1.4588646014125491E-2</v>
      </c>
      <c r="N3695" s="20">
        <v>1.4610708983990189E-3</v>
      </c>
      <c r="O3695" s="20">
        <v>0.10015123384201204</v>
      </c>
      <c r="P3695" s="20">
        <v>0.16</v>
      </c>
      <c r="Q3695" s="20">
        <v>0.63</v>
      </c>
      <c r="R3695" s="20">
        <v>0.20999999999999996</v>
      </c>
      <c r="S3695" s="20"/>
      <c r="T3695" s="20"/>
    </row>
    <row r="3696" spans="13:20" x14ac:dyDescent="0.2">
      <c r="M3696" s="20">
        <v>1.4089516136079051E-2</v>
      </c>
      <c r="N3696" s="20">
        <v>1.0348337220801595E-3</v>
      </c>
      <c r="O3696" s="20">
        <v>7.3447073134772806E-2</v>
      </c>
      <c r="P3696" s="20">
        <v>0</v>
      </c>
      <c r="Q3696" s="20">
        <v>0.53</v>
      </c>
      <c r="R3696" s="20"/>
      <c r="S3696" s="20">
        <v>0.36</v>
      </c>
      <c r="T3696" s="20">
        <v>0.11</v>
      </c>
    </row>
    <row r="3697" spans="13:20" x14ac:dyDescent="0.2">
      <c r="M3697" s="20">
        <v>9.7666263457272025E-3</v>
      </c>
      <c r="N3697" s="20">
        <v>7.7968812893172961E-4</v>
      </c>
      <c r="O3697" s="20">
        <v>7.9831878617209001E-2</v>
      </c>
      <c r="P3697" s="20"/>
      <c r="Q3697" s="20"/>
      <c r="R3697" s="20">
        <v>0.41</v>
      </c>
      <c r="S3697" s="20">
        <v>0.59</v>
      </c>
      <c r="T3697" s="20"/>
    </row>
    <row r="3698" spans="13:20" x14ac:dyDescent="0.2">
      <c r="M3698" s="20">
        <v>1.0094207544865778E-2</v>
      </c>
      <c r="N3698" s="20">
        <v>1.0424416678406299E-3</v>
      </c>
      <c r="O3698" s="20">
        <v>0.10327127347117482</v>
      </c>
      <c r="P3698" s="20">
        <v>6.999999999999984E-2</v>
      </c>
      <c r="Q3698" s="20"/>
      <c r="R3698" s="20"/>
      <c r="S3698" s="20">
        <v>0.56000000000000005</v>
      </c>
      <c r="T3698" s="20">
        <v>0.37</v>
      </c>
    </row>
    <row r="3699" spans="13:20" x14ac:dyDescent="0.2">
      <c r="M3699" s="20">
        <v>1.1525323274419495E-2</v>
      </c>
      <c r="N3699" s="20">
        <v>1.6040660801652003E-3</v>
      </c>
      <c r="O3699" s="20">
        <v>0.13917753471830435</v>
      </c>
      <c r="P3699" s="20">
        <v>0.2</v>
      </c>
      <c r="Q3699" s="20">
        <v>0.19</v>
      </c>
      <c r="R3699" s="20">
        <v>0.24</v>
      </c>
      <c r="S3699" s="20"/>
      <c r="T3699" s="20">
        <v>0.37</v>
      </c>
    </row>
    <row r="3700" spans="13:20" x14ac:dyDescent="0.2">
      <c r="M3700" s="20">
        <v>1.0196705760860779E-2</v>
      </c>
      <c r="N3700" s="20">
        <v>8.8751565722853328E-4</v>
      </c>
      <c r="O3700" s="20">
        <v>8.703944960687103E-2</v>
      </c>
      <c r="P3700" s="20"/>
      <c r="Q3700" s="20"/>
      <c r="R3700" s="20"/>
      <c r="S3700" s="20">
        <v>0.64</v>
      </c>
      <c r="T3700" s="20">
        <v>0.3600000000000001</v>
      </c>
    </row>
    <row r="3701" spans="13:20" x14ac:dyDescent="0.2">
      <c r="M3701" s="20">
        <v>1.0912978398749273E-2</v>
      </c>
      <c r="N3701" s="20">
        <v>6.2403285009006665E-4</v>
      </c>
      <c r="O3701" s="20">
        <v>5.7182634042562255E-2</v>
      </c>
      <c r="P3701" s="20"/>
      <c r="Q3701" s="20">
        <v>0</v>
      </c>
      <c r="R3701" s="20">
        <v>0.16</v>
      </c>
      <c r="S3701" s="20">
        <v>0.84</v>
      </c>
      <c r="T3701" s="20"/>
    </row>
    <row r="3702" spans="13:20" x14ac:dyDescent="0.2">
      <c r="M3702" s="20">
        <v>9.5980502546850303E-3</v>
      </c>
      <c r="N3702" s="20">
        <v>8.3572402931472831E-4</v>
      </c>
      <c r="O3702" s="20">
        <v>8.7072270631922577E-2</v>
      </c>
      <c r="P3702" s="20"/>
      <c r="Q3702" s="20"/>
      <c r="R3702" s="20">
        <v>0.5</v>
      </c>
      <c r="S3702" s="20">
        <v>0.5</v>
      </c>
      <c r="T3702" s="20"/>
    </row>
    <row r="3703" spans="13:20" x14ac:dyDescent="0.2">
      <c r="M3703" s="20">
        <v>9.6097611956754737E-3</v>
      </c>
      <c r="N3703" s="20">
        <v>8.2949781816106191E-4</v>
      </c>
      <c r="O3703" s="20">
        <v>8.6318255081546405E-2</v>
      </c>
      <c r="P3703" s="20"/>
      <c r="Q3703" s="20"/>
      <c r="R3703" s="20">
        <v>0.49</v>
      </c>
      <c r="S3703" s="20">
        <v>0.51000000000000012</v>
      </c>
      <c r="T3703" s="20"/>
    </row>
    <row r="3704" spans="13:20" x14ac:dyDescent="0.2">
      <c r="M3704" s="20">
        <v>1.0107494439153051E-2</v>
      </c>
      <c r="N3704" s="20">
        <v>8.0147261179963148E-4</v>
      </c>
      <c r="O3704" s="20">
        <v>7.9294885258110542E-2</v>
      </c>
      <c r="P3704" s="20"/>
      <c r="Q3704" s="20"/>
      <c r="R3704" s="20">
        <v>0.04</v>
      </c>
      <c r="S3704" s="20">
        <v>0.71</v>
      </c>
      <c r="T3704" s="20">
        <v>0.25</v>
      </c>
    </row>
    <row r="3705" spans="13:20" x14ac:dyDescent="0.2">
      <c r="M3705" s="20">
        <v>1.2116403926824768E-2</v>
      </c>
      <c r="N3705" s="20">
        <v>1.3856250729905174E-3</v>
      </c>
      <c r="O3705" s="20">
        <v>0.11435943216805874</v>
      </c>
      <c r="P3705" s="20">
        <v>0.19</v>
      </c>
      <c r="Q3705" s="20">
        <v>0.34000000000000008</v>
      </c>
      <c r="R3705" s="20"/>
      <c r="S3705" s="20">
        <v>0.26</v>
      </c>
      <c r="T3705" s="20">
        <v>0.21</v>
      </c>
    </row>
    <row r="3706" spans="13:20" x14ac:dyDescent="0.2">
      <c r="M3706" s="20">
        <v>1.052146977832474E-2</v>
      </c>
      <c r="N3706" s="20">
        <v>1.3406503315512705E-3</v>
      </c>
      <c r="O3706" s="20">
        <v>0.12742044218129503</v>
      </c>
      <c r="P3706" s="20">
        <v>0.17999999999999994</v>
      </c>
      <c r="Q3706" s="20"/>
      <c r="R3706" s="20"/>
      <c r="S3706" s="20">
        <v>0.38</v>
      </c>
      <c r="T3706" s="20">
        <v>0.44</v>
      </c>
    </row>
    <row r="3707" spans="13:20" x14ac:dyDescent="0.2">
      <c r="M3707" s="20">
        <v>1.0266632678784601E-2</v>
      </c>
      <c r="N3707" s="20">
        <v>7.8279397833863184E-4</v>
      </c>
      <c r="O3707" s="20">
        <v>7.6246419135675328E-2</v>
      </c>
      <c r="P3707" s="20"/>
      <c r="Q3707" s="20"/>
      <c r="R3707" s="20">
        <v>0.01</v>
      </c>
      <c r="S3707" s="20">
        <v>0.74</v>
      </c>
      <c r="T3707" s="20">
        <v>0.24999999999999989</v>
      </c>
    </row>
    <row r="3708" spans="13:20" x14ac:dyDescent="0.2">
      <c r="M3708" s="20">
        <v>1.6100360939876667E-2</v>
      </c>
      <c r="N3708" s="20">
        <v>1.5542411212842134E-3</v>
      </c>
      <c r="O3708" s="20">
        <v>9.6534551435721996E-2</v>
      </c>
      <c r="P3708" s="20">
        <v>1.9999999999999907E-2</v>
      </c>
      <c r="Q3708" s="20"/>
      <c r="R3708" s="20"/>
      <c r="S3708" s="20"/>
      <c r="T3708" s="20">
        <v>0.98</v>
      </c>
    </row>
    <row r="3709" spans="13:20" x14ac:dyDescent="0.2">
      <c r="M3709" s="20">
        <v>1.6372426133221055E-2</v>
      </c>
      <c r="N3709" s="20">
        <v>1.218782950211996E-3</v>
      </c>
      <c r="O3709" s="20">
        <v>7.4441194010885225E-2</v>
      </c>
      <c r="P3709" s="20"/>
      <c r="Q3709" s="20">
        <v>0.78</v>
      </c>
      <c r="R3709" s="20">
        <v>0.09</v>
      </c>
      <c r="S3709" s="20">
        <v>0.08</v>
      </c>
      <c r="T3709" s="20">
        <v>5.0000000000000044E-2</v>
      </c>
    </row>
    <row r="3710" spans="13:20" x14ac:dyDescent="0.2">
      <c r="M3710" s="20">
        <v>1.3465436143802837E-2</v>
      </c>
      <c r="N3710" s="20">
        <v>1.8753564941572549E-3</v>
      </c>
      <c r="O3710" s="20">
        <v>0.13927187163709848</v>
      </c>
      <c r="P3710" s="20">
        <v>0.33</v>
      </c>
      <c r="Q3710" s="20">
        <v>2.9999999999999916E-2</v>
      </c>
      <c r="R3710" s="20"/>
      <c r="S3710" s="20"/>
      <c r="T3710" s="20">
        <v>0.64</v>
      </c>
    </row>
    <row r="3711" spans="13:20" x14ac:dyDescent="0.2">
      <c r="M3711" s="20">
        <v>1.1892045347443704E-2</v>
      </c>
      <c r="N3711" s="20">
        <v>1.3667563518406016E-3</v>
      </c>
      <c r="O3711" s="20">
        <v>0.11493030104652245</v>
      </c>
      <c r="P3711" s="20">
        <v>9.9999999999999867E-2</v>
      </c>
      <c r="Q3711" s="20"/>
      <c r="R3711" s="20"/>
      <c r="S3711" s="20">
        <v>0.27</v>
      </c>
      <c r="T3711" s="20">
        <v>0.63</v>
      </c>
    </row>
    <row r="3712" spans="13:20" x14ac:dyDescent="0.2">
      <c r="M3712" s="20">
        <v>1.2215802353471944E-2</v>
      </c>
      <c r="N3712" s="20">
        <v>1.6433286538429332E-3</v>
      </c>
      <c r="O3712" s="20">
        <v>0.13452482336339297</v>
      </c>
      <c r="P3712" s="20">
        <v>0.25</v>
      </c>
      <c r="Q3712" s="20">
        <v>0.35</v>
      </c>
      <c r="R3712" s="20">
        <v>0.17000000000000015</v>
      </c>
      <c r="S3712" s="20"/>
      <c r="T3712" s="20">
        <v>0.23</v>
      </c>
    </row>
    <row r="3713" spans="13:20" x14ac:dyDescent="0.2">
      <c r="M3713" s="20">
        <v>9.5273778539889248E-3</v>
      </c>
      <c r="N3713" s="20">
        <v>1.1249102174315682E-3</v>
      </c>
      <c r="O3713" s="20">
        <v>0.11807133449216466</v>
      </c>
      <c r="P3713" s="20">
        <v>0.08</v>
      </c>
      <c r="Q3713" s="20">
        <v>0.16</v>
      </c>
      <c r="R3713" s="20">
        <v>0.12</v>
      </c>
      <c r="S3713" s="20">
        <v>0.22</v>
      </c>
      <c r="T3713" s="20">
        <v>0.3</v>
      </c>
    </row>
    <row r="3714" spans="13:20" x14ac:dyDescent="0.2">
      <c r="M3714" s="20">
        <v>1.3674008432626254E-2</v>
      </c>
      <c r="N3714" s="20">
        <v>1.8830033665818799E-3</v>
      </c>
      <c r="O3714" s="20">
        <v>0.1377067577411335</v>
      </c>
      <c r="P3714" s="20">
        <v>0.33000000000000007</v>
      </c>
      <c r="Q3714" s="20"/>
      <c r="R3714" s="20"/>
      <c r="S3714" s="20"/>
      <c r="T3714" s="20">
        <v>0.67</v>
      </c>
    </row>
    <row r="3715" spans="13:20" x14ac:dyDescent="0.2">
      <c r="M3715" s="20">
        <v>1.055091249018629E-2</v>
      </c>
      <c r="N3715" s="20">
        <v>1.0085497190942434E-3</v>
      </c>
      <c r="O3715" s="20">
        <v>9.5588862103853561E-2</v>
      </c>
      <c r="P3715" s="20"/>
      <c r="Q3715" s="20"/>
      <c r="R3715" s="20"/>
      <c r="S3715" s="20">
        <v>0.52</v>
      </c>
      <c r="T3715" s="20">
        <v>0.48</v>
      </c>
    </row>
    <row r="3716" spans="13:20" x14ac:dyDescent="0.2">
      <c r="M3716" s="20">
        <v>1.0963041045161262E-2</v>
      </c>
      <c r="N3716" s="20">
        <v>1.022257219204014E-3</v>
      </c>
      <c r="O3716" s="20">
        <v>9.3245771405298702E-2</v>
      </c>
      <c r="P3716" s="20">
        <v>0.06</v>
      </c>
      <c r="Q3716" s="20">
        <v>0.19</v>
      </c>
      <c r="R3716" s="20">
        <v>0.03</v>
      </c>
      <c r="S3716" s="20">
        <v>0.51</v>
      </c>
      <c r="T3716" s="20">
        <v>0.20999999999999996</v>
      </c>
    </row>
    <row r="3717" spans="13:20" x14ac:dyDescent="0.2">
      <c r="M3717" s="20">
        <v>1.5140821996223588E-2</v>
      </c>
      <c r="N3717" s="20">
        <v>1.2538515704603502E-3</v>
      </c>
      <c r="O3717" s="20">
        <v>8.2812648532099825E-2</v>
      </c>
      <c r="P3717" s="20"/>
      <c r="Q3717" s="20">
        <v>0.66</v>
      </c>
      <c r="R3717" s="20">
        <v>0</v>
      </c>
      <c r="S3717" s="20">
        <v>0.11</v>
      </c>
      <c r="T3717" s="20">
        <v>0.22999999999999998</v>
      </c>
    </row>
    <row r="3718" spans="13:20" x14ac:dyDescent="0.2">
      <c r="M3718" s="20">
        <v>1.2298655881437654E-2</v>
      </c>
      <c r="N3718" s="20">
        <v>1.3469700044726623E-3</v>
      </c>
      <c r="O3718" s="20">
        <v>0.10952172476877269</v>
      </c>
      <c r="P3718" s="20">
        <v>0.06</v>
      </c>
      <c r="Q3718" s="20">
        <v>0.41</v>
      </c>
      <c r="R3718" s="20">
        <v>0.35</v>
      </c>
      <c r="S3718" s="20">
        <v>0.01</v>
      </c>
      <c r="T3718" s="20">
        <v>0.16999999999999993</v>
      </c>
    </row>
    <row r="3719" spans="13:20" x14ac:dyDescent="0.2">
      <c r="M3719" s="20">
        <v>1.039134687011423E-2</v>
      </c>
      <c r="N3719" s="20">
        <v>7.5639542354068038E-4</v>
      </c>
      <c r="O3719" s="20">
        <v>7.2790893518923164E-2</v>
      </c>
      <c r="P3719" s="20"/>
      <c r="Q3719" s="20"/>
      <c r="R3719" s="20"/>
      <c r="S3719" s="20">
        <v>0.77</v>
      </c>
      <c r="T3719" s="20">
        <v>0.22999999999999998</v>
      </c>
    </row>
    <row r="3720" spans="13:20" x14ac:dyDescent="0.2">
      <c r="M3720" s="20">
        <v>1.0098517294029281E-2</v>
      </c>
      <c r="N3720" s="20">
        <v>1.4185204008661865E-3</v>
      </c>
      <c r="O3720" s="20">
        <v>0.14046818553302695</v>
      </c>
      <c r="P3720" s="20">
        <v>0.31999999999999995</v>
      </c>
      <c r="Q3720" s="20"/>
      <c r="R3720" s="20"/>
      <c r="S3720" s="20">
        <v>0.45</v>
      </c>
      <c r="T3720" s="20">
        <v>0.23</v>
      </c>
    </row>
    <row r="3721" spans="13:20" x14ac:dyDescent="0.2">
      <c r="M3721" s="20">
        <v>1.088936473053431E-2</v>
      </c>
      <c r="N3721" s="20">
        <v>1.7866822078201079E-3</v>
      </c>
      <c r="O3721" s="20">
        <v>0.16407588982763741</v>
      </c>
      <c r="P3721" s="20">
        <v>0.52</v>
      </c>
      <c r="Q3721" s="20">
        <v>0.08</v>
      </c>
      <c r="R3721" s="20">
        <v>0.17000000000000015</v>
      </c>
      <c r="S3721" s="20">
        <v>0.21</v>
      </c>
      <c r="T3721" s="20">
        <v>0.02</v>
      </c>
    </row>
    <row r="3722" spans="13:20" x14ac:dyDescent="0.2">
      <c r="M3722" s="20">
        <v>1.1644937973448349E-2</v>
      </c>
      <c r="N3722" s="20">
        <v>1.2517417535480935E-3</v>
      </c>
      <c r="O3722" s="20">
        <v>0.10749235044464753</v>
      </c>
      <c r="P3722" s="20"/>
      <c r="Q3722" s="20"/>
      <c r="R3722" s="20">
        <v>0.18</v>
      </c>
      <c r="S3722" s="20">
        <v>0.21</v>
      </c>
      <c r="T3722" s="20">
        <v>0.61</v>
      </c>
    </row>
    <row r="3723" spans="13:20" x14ac:dyDescent="0.2">
      <c r="M3723" s="20">
        <v>9.9927369620703664E-3</v>
      </c>
      <c r="N3723" s="20">
        <v>7.3610465085606426E-4</v>
      </c>
      <c r="O3723" s="20">
        <v>7.3663967504609754E-2</v>
      </c>
      <c r="P3723" s="20"/>
      <c r="Q3723" s="20"/>
      <c r="R3723" s="20">
        <v>0.34</v>
      </c>
      <c r="S3723" s="20">
        <v>0.66</v>
      </c>
      <c r="T3723" s="20">
        <v>1.1102230246251565E-16</v>
      </c>
    </row>
    <row r="3724" spans="13:20" x14ac:dyDescent="0.2">
      <c r="M3724" s="20">
        <v>1.3893998017793646E-2</v>
      </c>
      <c r="N3724" s="20">
        <v>2.3436243930846767E-3</v>
      </c>
      <c r="O3724" s="20">
        <v>0.16867890653815149</v>
      </c>
      <c r="P3724" s="20">
        <v>0.81</v>
      </c>
      <c r="Q3724" s="20">
        <v>0.18999999999999995</v>
      </c>
      <c r="R3724" s="20"/>
      <c r="S3724" s="20"/>
      <c r="T3724" s="20"/>
    </row>
    <row r="3725" spans="13:20" x14ac:dyDescent="0.2">
      <c r="M3725" s="20">
        <v>9.5662104058997343E-3</v>
      </c>
      <c r="N3725" s="20">
        <v>8.7930750739039388E-4</v>
      </c>
      <c r="O3725" s="20">
        <v>9.1918060556989395E-2</v>
      </c>
      <c r="P3725" s="20"/>
      <c r="Q3725" s="20"/>
      <c r="R3725" s="20">
        <v>0.56999999999999995</v>
      </c>
      <c r="S3725" s="20">
        <v>0.42999999999999994</v>
      </c>
      <c r="T3725" s="20"/>
    </row>
    <row r="3726" spans="13:20" x14ac:dyDescent="0.2">
      <c r="M3726" s="20">
        <v>1.5933010011191028E-2</v>
      </c>
      <c r="N3726" s="20">
        <v>1.6596064509886506E-3</v>
      </c>
      <c r="O3726" s="20">
        <v>0.10416151435434835</v>
      </c>
      <c r="P3726" s="20">
        <v>0.28999999999999998</v>
      </c>
      <c r="Q3726" s="20">
        <v>0.71</v>
      </c>
      <c r="R3726" s="20"/>
      <c r="S3726" s="20"/>
      <c r="T3726" s="20"/>
    </row>
    <row r="3727" spans="13:20" x14ac:dyDescent="0.2">
      <c r="M3727" s="20">
        <v>1.0069275629952633E-2</v>
      </c>
      <c r="N3727" s="20">
        <v>1.0225103639247238E-3</v>
      </c>
      <c r="O3727" s="20">
        <v>0.10154755927855497</v>
      </c>
      <c r="P3727" s="20"/>
      <c r="Q3727" s="20"/>
      <c r="R3727" s="20">
        <v>0.8</v>
      </c>
      <c r="S3727" s="20">
        <v>0.19999999999999996</v>
      </c>
      <c r="T3727" s="20"/>
    </row>
    <row r="3728" spans="13:20" x14ac:dyDescent="0.2">
      <c r="M3728" s="20">
        <v>1.4229806726489979E-2</v>
      </c>
      <c r="N3728" s="20">
        <v>2.4883204962203747E-3</v>
      </c>
      <c r="O3728" s="20">
        <v>0.17486678097940414</v>
      </c>
      <c r="P3728" s="20">
        <v>0.92</v>
      </c>
      <c r="Q3728" s="20">
        <v>7.999999999999996E-2</v>
      </c>
      <c r="R3728" s="20"/>
      <c r="S3728" s="20"/>
      <c r="T3728" s="20"/>
    </row>
    <row r="3729" spans="13:20" x14ac:dyDescent="0.2">
      <c r="M3729" s="20">
        <v>1.3035174686474771E-2</v>
      </c>
      <c r="N3729" s="20">
        <v>1.1290219952932476E-3</v>
      </c>
      <c r="O3729" s="20">
        <v>8.661349175970115E-2</v>
      </c>
      <c r="P3729" s="20"/>
      <c r="Q3729" s="20">
        <v>0.48</v>
      </c>
      <c r="R3729" s="20">
        <v>0.39</v>
      </c>
      <c r="S3729" s="20">
        <v>0.13</v>
      </c>
      <c r="T3729" s="20"/>
    </row>
    <row r="3730" spans="13:20" x14ac:dyDescent="0.2">
      <c r="M3730" s="20">
        <v>1.2157659086684336E-2</v>
      </c>
      <c r="N3730" s="20">
        <v>1.8517636246428457E-3</v>
      </c>
      <c r="O3730" s="20">
        <v>0.15231251439440247</v>
      </c>
      <c r="P3730" s="20">
        <v>0.46</v>
      </c>
      <c r="Q3730" s="20">
        <v>0.3</v>
      </c>
      <c r="R3730" s="20">
        <v>0.24</v>
      </c>
      <c r="S3730" s="20"/>
      <c r="T3730" s="20"/>
    </row>
    <row r="3731" spans="13:20" x14ac:dyDescent="0.2">
      <c r="M3731" s="20">
        <v>1.6728668547775244E-2</v>
      </c>
      <c r="N3731" s="20">
        <v>1.2545368488733534E-3</v>
      </c>
      <c r="O3731" s="20">
        <v>7.4993227661277029E-2</v>
      </c>
      <c r="P3731" s="20"/>
      <c r="Q3731" s="20">
        <v>0.82</v>
      </c>
      <c r="R3731" s="20">
        <v>0.18000000000000016</v>
      </c>
      <c r="S3731" s="20"/>
      <c r="T3731" s="20"/>
    </row>
    <row r="3732" spans="13:20" x14ac:dyDescent="0.2">
      <c r="M3732" s="20">
        <v>9.608987485392512E-3</v>
      </c>
      <c r="N3732" s="20">
        <v>9.1666477431239304E-4</v>
      </c>
      <c r="O3732" s="20">
        <v>9.5396604034077237E-2</v>
      </c>
      <c r="P3732" s="20"/>
      <c r="Q3732" s="20"/>
      <c r="R3732" s="20">
        <v>0.63</v>
      </c>
      <c r="S3732" s="20">
        <v>0.36999999999999988</v>
      </c>
      <c r="T3732" s="20"/>
    </row>
    <row r="3733" spans="13:20" x14ac:dyDescent="0.2">
      <c r="M3733" s="20">
        <v>1.2807017532517239E-2</v>
      </c>
      <c r="N3733" s="20">
        <v>1.8489555772127539E-3</v>
      </c>
      <c r="O3733" s="20">
        <v>0.14437050410200686</v>
      </c>
      <c r="P3733" s="20">
        <v>0.37</v>
      </c>
      <c r="Q3733" s="20">
        <v>0.30000000000000004</v>
      </c>
      <c r="R3733" s="20"/>
      <c r="S3733" s="20"/>
      <c r="T3733" s="20">
        <v>0.33</v>
      </c>
    </row>
    <row r="3734" spans="13:20" x14ac:dyDescent="0.2">
      <c r="M3734" s="20">
        <v>1.0666632172008018E-2</v>
      </c>
      <c r="N3734" s="20">
        <v>1.0972248977687219E-3</v>
      </c>
      <c r="O3734" s="20">
        <v>0.1028651668188317</v>
      </c>
      <c r="P3734" s="20"/>
      <c r="Q3734" s="20"/>
      <c r="R3734" s="20">
        <v>0.92</v>
      </c>
      <c r="S3734" s="20">
        <v>7.999999999999996E-2</v>
      </c>
      <c r="T3734" s="20"/>
    </row>
    <row r="3735" spans="13:20" x14ac:dyDescent="0.2">
      <c r="M3735" s="20">
        <v>9.8839769893505954E-3</v>
      </c>
      <c r="N3735" s="20">
        <v>9.9137930815639138E-4</v>
      </c>
      <c r="O3735" s="20">
        <v>0.10030166088251159</v>
      </c>
      <c r="P3735" s="20"/>
      <c r="Q3735" s="20"/>
      <c r="R3735" s="20">
        <v>0.75</v>
      </c>
      <c r="S3735" s="20">
        <v>0.25000000000000011</v>
      </c>
      <c r="T3735" s="20"/>
    </row>
    <row r="3736" spans="13:20" x14ac:dyDescent="0.2">
      <c r="M3736" s="20">
        <v>1.3902640725373946E-2</v>
      </c>
      <c r="N3736" s="20">
        <v>1.8405824317047612E-3</v>
      </c>
      <c r="O3736" s="20">
        <v>0.13239085063497921</v>
      </c>
      <c r="P3736" s="20">
        <v>0.28999999999999992</v>
      </c>
      <c r="Q3736" s="20"/>
      <c r="R3736" s="20"/>
      <c r="S3736" s="20"/>
      <c r="T3736" s="20">
        <v>0.71</v>
      </c>
    </row>
    <row r="3737" spans="13:20" x14ac:dyDescent="0.2">
      <c r="M3737" s="20">
        <v>1.3949776187175841E-2</v>
      </c>
      <c r="N3737" s="20">
        <v>1.1594996574966581E-3</v>
      </c>
      <c r="O3737" s="20">
        <v>8.3119588582546353E-2</v>
      </c>
      <c r="P3737" s="20"/>
      <c r="Q3737" s="20">
        <v>0.56999999999999995</v>
      </c>
      <c r="R3737" s="20">
        <v>0.33</v>
      </c>
      <c r="S3737" s="20">
        <v>0.1000000000000002</v>
      </c>
      <c r="T3737" s="20"/>
    </row>
    <row r="3738" spans="13:20" x14ac:dyDescent="0.2">
      <c r="M3738" s="20">
        <v>1.0123195596898563E-2</v>
      </c>
      <c r="N3738" s="20">
        <v>1.0502199219162764E-3</v>
      </c>
      <c r="O3738" s="20">
        <v>0.10374391286463255</v>
      </c>
      <c r="P3738" s="20"/>
      <c r="Q3738" s="20">
        <v>0.01</v>
      </c>
      <c r="R3738" s="20">
        <v>0.8</v>
      </c>
      <c r="S3738" s="20">
        <v>0.17</v>
      </c>
      <c r="T3738" s="20">
        <v>1.9999999999999796E-2</v>
      </c>
    </row>
    <row r="3739" spans="13:20" x14ac:dyDescent="0.2">
      <c r="M3739" s="20">
        <v>1.0448206544426551E-2</v>
      </c>
      <c r="N3739" s="20">
        <v>6.7384253931939873E-4</v>
      </c>
      <c r="O3739" s="20">
        <v>6.449360820483116E-2</v>
      </c>
      <c r="P3739" s="20"/>
      <c r="Q3739" s="20"/>
      <c r="R3739" s="20">
        <v>0.24</v>
      </c>
      <c r="S3739" s="20">
        <v>0.7599999999999999</v>
      </c>
      <c r="T3739" s="20"/>
    </row>
    <row r="3740" spans="13:20" x14ac:dyDescent="0.2">
      <c r="M3740" s="20">
        <v>1.0190149252564945E-2</v>
      </c>
      <c r="N3740" s="20">
        <v>8.7742948540639053E-4</v>
      </c>
      <c r="O3740" s="20">
        <v>8.6105655928987904E-2</v>
      </c>
      <c r="P3740" s="20"/>
      <c r="Q3740" s="20"/>
      <c r="R3740" s="20"/>
      <c r="S3740" s="20">
        <v>0.65</v>
      </c>
      <c r="T3740" s="20">
        <v>0.34999999999999987</v>
      </c>
    </row>
    <row r="3741" spans="13:20" x14ac:dyDescent="0.2">
      <c r="M3741" s="20">
        <v>1.0737484730818526E-2</v>
      </c>
      <c r="N3741" s="20">
        <v>6.8579222078568266E-4</v>
      </c>
      <c r="O3741" s="20">
        <v>6.3868982166497043E-2</v>
      </c>
      <c r="P3741" s="20"/>
      <c r="Q3741" s="20"/>
      <c r="R3741" s="20"/>
      <c r="S3741" s="20">
        <v>0.84</v>
      </c>
      <c r="T3741" s="20">
        <v>0.15999999999999992</v>
      </c>
    </row>
    <row r="3742" spans="13:20" x14ac:dyDescent="0.2">
      <c r="M3742" s="20">
        <v>1.4188266558946014E-2</v>
      </c>
      <c r="N3742" s="20">
        <v>2.4751663050262196E-3</v>
      </c>
      <c r="O3742" s="20">
        <v>0.17445163542304418</v>
      </c>
      <c r="P3742" s="20">
        <v>0.91</v>
      </c>
      <c r="Q3742" s="20">
        <v>8.9999999999999858E-2</v>
      </c>
      <c r="R3742" s="20"/>
      <c r="S3742" s="20"/>
      <c r="T3742" s="20"/>
    </row>
    <row r="3743" spans="13:20" x14ac:dyDescent="0.2">
      <c r="M3743" s="20">
        <v>1.0604137528227199E-2</v>
      </c>
      <c r="N3743" s="20">
        <v>1.0733064675970746E-3</v>
      </c>
      <c r="O3743" s="20">
        <v>0.10121581927243356</v>
      </c>
      <c r="P3743" s="20"/>
      <c r="Q3743" s="20">
        <v>0.15</v>
      </c>
      <c r="R3743" s="20">
        <v>0.7</v>
      </c>
      <c r="S3743" s="20">
        <v>0.15000000000000013</v>
      </c>
      <c r="T3743" s="20"/>
    </row>
    <row r="3744" spans="13:20" x14ac:dyDescent="0.2">
      <c r="M3744" s="20">
        <v>1.1740736142857745E-2</v>
      </c>
      <c r="N3744" s="20">
        <v>1.3796562226213176E-3</v>
      </c>
      <c r="O3744" s="20">
        <v>0.11751019747263509</v>
      </c>
      <c r="P3744" s="20">
        <v>0.13</v>
      </c>
      <c r="Q3744" s="20">
        <v>0.34</v>
      </c>
      <c r="R3744" s="20">
        <v>0.53</v>
      </c>
      <c r="S3744" s="20"/>
      <c r="T3744" s="20"/>
    </row>
    <row r="3745" spans="13:20" x14ac:dyDescent="0.2">
      <c r="M3745" s="20">
        <v>1.2880842710784358E-2</v>
      </c>
      <c r="N3745" s="20">
        <v>1.9030252269677198E-3</v>
      </c>
      <c r="O3745" s="20">
        <v>0.14774073946065894</v>
      </c>
      <c r="P3745" s="20">
        <v>0.49</v>
      </c>
      <c r="Q3745" s="20">
        <v>0.36</v>
      </c>
      <c r="R3745" s="20">
        <v>0.15000000000000013</v>
      </c>
      <c r="S3745" s="20"/>
      <c r="T3745" s="20"/>
    </row>
    <row r="3746" spans="13:20" x14ac:dyDescent="0.2">
      <c r="M3746" s="20">
        <v>9.7878279201964753E-3</v>
      </c>
      <c r="N3746" s="20">
        <v>8.4505608987529715E-4</v>
      </c>
      <c r="O3746" s="20">
        <v>8.633744859077315E-2</v>
      </c>
      <c r="P3746" s="20"/>
      <c r="Q3746" s="20"/>
      <c r="R3746" s="20">
        <v>0.11</v>
      </c>
      <c r="S3746" s="20">
        <v>0.64</v>
      </c>
      <c r="T3746" s="20">
        <v>0.25</v>
      </c>
    </row>
    <row r="3747" spans="13:20" x14ac:dyDescent="0.2">
      <c r="M3747" s="20">
        <v>1.4338129106280977E-2</v>
      </c>
      <c r="N3747" s="20">
        <v>2.5511330908964906E-3</v>
      </c>
      <c r="O3747" s="20">
        <v>0.17792649738234945</v>
      </c>
      <c r="P3747" s="20">
        <v>0.96</v>
      </c>
      <c r="Q3747" s="20"/>
      <c r="R3747" s="20"/>
      <c r="S3747" s="20"/>
      <c r="T3747" s="20">
        <v>0.04</v>
      </c>
    </row>
    <row r="3748" spans="13:20" x14ac:dyDescent="0.2">
      <c r="M3748" s="20">
        <v>1.4273481573858953E-2</v>
      </c>
      <c r="N3748" s="20">
        <v>2.501474687414529E-3</v>
      </c>
      <c r="O3748" s="20">
        <v>0.17525329573380566</v>
      </c>
      <c r="P3748" s="20">
        <v>0.93</v>
      </c>
      <c r="Q3748" s="20">
        <v>7.0000000000000062E-2</v>
      </c>
      <c r="R3748" s="20"/>
      <c r="S3748" s="20"/>
      <c r="T3748" s="20"/>
    </row>
    <row r="3749" spans="13:20" x14ac:dyDescent="0.2">
      <c r="M3749" s="20">
        <v>1.0218164276949883E-2</v>
      </c>
      <c r="N3749" s="20">
        <v>9.3846557823638313E-4</v>
      </c>
      <c r="O3749" s="20">
        <v>9.1842874395097779E-2</v>
      </c>
      <c r="P3749" s="20">
        <v>1.000000000000012E-2</v>
      </c>
      <c r="Q3749" s="20"/>
      <c r="R3749" s="20"/>
      <c r="S3749" s="20">
        <v>0.6</v>
      </c>
      <c r="T3749" s="20">
        <v>0.39</v>
      </c>
    </row>
    <row r="3750" spans="13:20" x14ac:dyDescent="0.2">
      <c r="M3750" s="20">
        <v>1.2579097331771561E-2</v>
      </c>
      <c r="N3750" s="20">
        <v>1.3929071644115723E-3</v>
      </c>
      <c r="O3750" s="20">
        <v>0.11073188541863394</v>
      </c>
      <c r="P3750" s="20">
        <v>0</v>
      </c>
      <c r="Q3750" s="20">
        <v>0.05</v>
      </c>
      <c r="R3750" s="20">
        <v>0.32999999999999996</v>
      </c>
      <c r="S3750" s="20"/>
      <c r="T3750" s="20">
        <v>0.62</v>
      </c>
    </row>
    <row r="3751" spans="13:20" x14ac:dyDescent="0.2">
      <c r="M3751" s="20">
        <v>1.2673957749534788E-2</v>
      </c>
      <c r="N3751" s="20">
        <v>2.0696184662187225E-3</v>
      </c>
      <c r="O3751" s="20">
        <v>0.16329693589949756</v>
      </c>
      <c r="P3751" s="20">
        <v>0.53</v>
      </c>
      <c r="Q3751" s="20">
        <v>9.9999999999999867E-2</v>
      </c>
      <c r="R3751" s="20"/>
      <c r="S3751" s="20"/>
      <c r="T3751" s="20">
        <v>0.37</v>
      </c>
    </row>
    <row r="3752" spans="13:20" x14ac:dyDescent="0.2">
      <c r="M3752" s="20">
        <v>1.0494725317841942E-2</v>
      </c>
      <c r="N3752" s="20">
        <v>1.6613671400318786E-3</v>
      </c>
      <c r="O3752" s="20">
        <v>0.15830496651564674</v>
      </c>
      <c r="P3752" s="20">
        <v>0.31</v>
      </c>
      <c r="Q3752" s="20">
        <v>0.12</v>
      </c>
      <c r="R3752" s="20">
        <v>0.43999999999999995</v>
      </c>
      <c r="S3752" s="20"/>
      <c r="T3752" s="20">
        <v>0.13</v>
      </c>
    </row>
    <row r="3753" spans="13:20" x14ac:dyDescent="0.2">
      <c r="M3753" s="20">
        <v>1.1062772858263783E-2</v>
      </c>
      <c r="N3753" s="20">
        <v>1.9757804272294522E-3</v>
      </c>
      <c r="O3753" s="20">
        <v>0.17859721541273113</v>
      </c>
      <c r="P3753" s="20">
        <v>0.56999999999999995</v>
      </c>
      <c r="Q3753" s="20"/>
      <c r="R3753" s="20">
        <v>0.21</v>
      </c>
      <c r="S3753" s="20">
        <v>0.08</v>
      </c>
      <c r="T3753" s="20">
        <v>0.14000000000000001</v>
      </c>
    </row>
    <row r="3754" spans="13:20" x14ac:dyDescent="0.2">
      <c r="M3754" s="20">
        <v>1.3942508844043463E-2</v>
      </c>
      <c r="N3754" s="20">
        <v>2.1068489515898982E-3</v>
      </c>
      <c r="O3754" s="20">
        <v>0.151109744677694</v>
      </c>
      <c r="P3754" s="20">
        <v>0.63</v>
      </c>
      <c r="Q3754" s="20">
        <v>0.37</v>
      </c>
      <c r="R3754" s="20"/>
      <c r="S3754" s="20"/>
      <c r="T3754" s="20"/>
    </row>
    <row r="3755" spans="13:20" x14ac:dyDescent="0.2">
      <c r="M3755" s="20">
        <v>1.3934878700601628E-2</v>
      </c>
      <c r="N3755" s="20">
        <v>2.3699327754729848E-3</v>
      </c>
      <c r="O3755" s="20">
        <v>0.17007200610728423</v>
      </c>
      <c r="P3755" s="20">
        <v>0.83</v>
      </c>
      <c r="Q3755" s="20">
        <v>0.16999999999999993</v>
      </c>
      <c r="R3755" s="20"/>
      <c r="S3755" s="20"/>
      <c r="T3755" s="20"/>
    </row>
    <row r="3756" spans="13:20" x14ac:dyDescent="0.2">
      <c r="M3756" s="20">
        <v>1.3919925430335361E-2</v>
      </c>
      <c r="N3756" s="20">
        <v>2.4667006249620349E-3</v>
      </c>
      <c r="O3756" s="20">
        <v>0.17720645396464646</v>
      </c>
      <c r="P3756" s="20">
        <v>0.89</v>
      </c>
      <c r="Q3756" s="20">
        <v>4.0000000000000147E-2</v>
      </c>
      <c r="R3756" s="20"/>
      <c r="S3756" s="20"/>
      <c r="T3756" s="20">
        <v>7.0000000000000007E-2</v>
      </c>
    </row>
    <row r="3757" spans="13:20" x14ac:dyDescent="0.2">
      <c r="M3757" s="20">
        <v>1.7319952818756659E-2</v>
      </c>
      <c r="N3757" s="20">
        <v>1.4754477742704901E-3</v>
      </c>
      <c r="O3757" s="20">
        <v>8.5187747894593144E-2</v>
      </c>
      <c r="P3757" s="20">
        <v>0.15</v>
      </c>
      <c r="Q3757" s="20">
        <v>0.85000000000000009</v>
      </c>
      <c r="R3757" s="20"/>
      <c r="S3757" s="20"/>
      <c r="T3757" s="20"/>
    </row>
    <row r="3758" spans="13:20" x14ac:dyDescent="0.2">
      <c r="M3758" s="20">
        <v>1.2493173930780671E-2</v>
      </c>
      <c r="N3758" s="20">
        <v>1.2007857179357037E-3</v>
      </c>
      <c r="O3758" s="20">
        <v>9.6115344634497474E-2</v>
      </c>
      <c r="P3758" s="20"/>
      <c r="Q3758" s="20">
        <v>0.41</v>
      </c>
      <c r="R3758" s="20">
        <v>0.59000000000000008</v>
      </c>
      <c r="S3758" s="20"/>
      <c r="T3758" s="20"/>
    </row>
    <row r="3759" spans="13:20" x14ac:dyDescent="0.2">
      <c r="M3759" s="20">
        <v>1.339389290226113E-2</v>
      </c>
      <c r="N3759" s="20">
        <v>1.3212210455806617E-3</v>
      </c>
      <c r="O3759" s="20">
        <v>9.864354263707871E-2</v>
      </c>
      <c r="P3759" s="20"/>
      <c r="Q3759" s="20"/>
      <c r="R3759" s="20"/>
      <c r="S3759" s="20">
        <v>0.21</v>
      </c>
      <c r="T3759" s="20">
        <v>0.79</v>
      </c>
    </row>
    <row r="3760" spans="13:20" x14ac:dyDescent="0.2">
      <c r="M3760" s="20">
        <v>1.4397902778821964E-2</v>
      </c>
      <c r="N3760" s="20">
        <v>1.4616598445491603E-3</v>
      </c>
      <c r="O3760" s="20">
        <v>0.1015189411265599</v>
      </c>
      <c r="P3760" s="20">
        <v>0</v>
      </c>
      <c r="Q3760" s="20">
        <v>0.28000000000000003</v>
      </c>
      <c r="R3760" s="20"/>
      <c r="S3760" s="20"/>
      <c r="T3760" s="20">
        <v>0.72</v>
      </c>
    </row>
    <row r="3761" spans="13:20" x14ac:dyDescent="0.2">
      <c r="M3761" s="20">
        <v>1.0211542800587916E-2</v>
      </c>
      <c r="N3761" s="20">
        <v>8.2699862629567788E-4</v>
      </c>
      <c r="O3761" s="20">
        <v>8.0986648388533866E-2</v>
      </c>
      <c r="P3761" s="20"/>
      <c r="Q3761" s="20"/>
      <c r="R3761" s="20"/>
      <c r="S3761" s="20">
        <v>0.7</v>
      </c>
      <c r="T3761" s="20">
        <v>0.29999999999999993</v>
      </c>
    </row>
    <row r="3762" spans="13:20" x14ac:dyDescent="0.2">
      <c r="M3762" s="20">
        <v>1.3857643765036313E-2</v>
      </c>
      <c r="N3762" s="20">
        <v>1.3664137129108783E-3</v>
      </c>
      <c r="O3762" s="20">
        <v>9.8603610835950622E-2</v>
      </c>
      <c r="P3762" s="20">
        <v>0.1</v>
      </c>
      <c r="Q3762" s="20">
        <v>0.56999999999999995</v>
      </c>
      <c r="R3762" s="20">
        <v>0.32999999999999996</v>
      </c>
      <c r="S3762" s="20"/>
      <c r="T3762" s="20"/>
    </row>
    <row r="3763" spans="13:20" x14ac:dyDescent="0.2">
      <c r="M3763" s="20">
        <v>1.174928831061248E-2</v>
      </c>
      <c r="N3763" s="20">
        <v>1.9510823301952507E-3</v>
      </c>
      <c r="O3763" s="20">
        <v>0.16605961813303585</v>
      </c>
      <c r="P3763" s="20">
        <v>0.66999999999999993</v>
      </c>
      <c r="Q3763" s="20"/>
      <c r="R3763" s="20"/>
      <c r="S3763" s="20">
        <v>0.28999999999999998</v>
      </c>
      <c r="T3763" s="20">
        <v>0.04</v>
      </c>
    </row>
    <row r="3764" spans="13:20" x14ac:dyDescent="0.2">
      <c r="M3764" s="20">
        <v>1.5761864063279733E-2</v>
      </c>
      <c r="N3764" s="20">
        <v>1.2440488233245435E-3</v>
      </c>
      <c r="O3764" s="20">
        <v>7.8927772649860145E-2</v>
      </c>
      <c r="P3764" s="20"/>
      <c r="Q3764" s="20">
        <v>0.74</v>
      </c>
      <c r="R3764" s="20">
        <v>0.26</v>
      </c>
      <c r="S3764" s="20"/>
      <c r="T3764" s="20"/>
    </row>
    <row r="3765" spans="13:20" x14ac:dyDescent="0.2">
      <c r="M3765" s="20">
        <v>9.5736305537674725E-3</v>
      </c>
      <c r="N3765" s="20">
        <v>8.5440266277572784E-4</v>
      </c>
      <c r="O3765" s="20">
        <v>8.924541823263675E-2</v>
      </c>
      <c r="P3765" s="20"/>
      <c r="Q3765" s="20"/>
      <c r="R3765" s="20">
        <v>0.53</v>
      </c>
      <c r="S3765" s="20">
        <v>0.46999999999999986</v>
      </c>
      <c r="T3765" s="20"/>
    </row>
    <row r="3766" spans="13:20" x14ac:dyDescent="0.2">
      <c r="M3766" s="20">
        <v>1.1635866564866017E-2</v>
      </c>
      <c r="N3766" s="20">
        <v>1.6216315176323581E-3</v>
      </c>
      <c r="O3766" s="20">
        <v>0.13936491180887225</v>
      </c>
      <c r="P3766" s="20">
        <v>0.3</v>
      </c>
      <c r="Q3766" s="20">
        <v>0.31</v>
      </c>
      <c r="R3766" s="20">
        <v>0.39</v>
      </c>
      <c r="S3766" s="20"/>
      <c r="T3766" s="20"/>
    </row>
    <row r="3767" spans="13:20" x14ac:dyDescent="0.2">
      <c r="M3767" s="20">
        <v>1.2572386246549098E-2</v>
      </c>
      <c r="N3767" s="20">
        <v>1.407231448945085E-3</v>
      </c>
      <c r="O3767" s="20">
        <v>0.11193033854900422</v>
      </c>
      <c r="P3767" s="20">
        <v>0.14000000000000001</v>
      </c>
      <c r="Q3767" s="20">
        <v>0.44</v>
      </c>
      <c r="R3767" s="20">
        <v>0.41999999999999993</v>
      </c>
      <c r="S3767" s="20"/>
      <c r="T3767" s="20"/>
    </row>
    <row r="3768" spans="13:20" x14ac:dyDescent="0.2">
      <c r="M3768" s="20">
        <v>9.608987485392512E-3</v>
      </c>
      <c r="N3768" s="20">
        <v>9.1666477431239304E-4</v>
      </c>
      <c r="O3768" s="20">
        <v>9.5396604034077237E-2</v>
      </c>
      <c r="P3768" s="20"/>
      <c r="Q3768" s="20"/>
      <c r="R3768" s="20">
        <v>0.63</v>
      </c>
      <c r="S3768" s="20">
        <v>0.36999999999999988</v>
      </c>
      <c r="T3768" s="20"/>
    </row>
    <row r="3769" spans="13:20" x14ac:dyDescent="0.2">
      <c r="M3769" s="20">
        <v>1.6494885824739906E-2</v>
      </c>
      <c r="N3769" s="20">
        <v>1.5806813038237249E-3</v>
      </c>
      <c r="O3769" s="20">
        <v>9.5828568964868799E-2</v>
      </c>
      <c r="P3769" s="20">
        <v>0.23</v>
      </c>
      <c r="Q3769" s="20">
        <v>0.77</v>
      </c>
      <c r="R3769" s="20"/>
      <c r="S3769" s="20"/>
      <c r="T3769" s="20"/>
    </row>
    <row r="3770" spans="13:20" x14ac:dyDescent="0.2">
      <c r="M3770" s="20">
        <v>9.6947853400666199E-3</v>
      </c>
      <c r="N3770" s="20">
        <v>7.9836676239272925E-4</v>
      </c>
      <c r="O3770" s="20">
        <v>8.2350122709085483E-2</v>
      </c>
      <c r="P3770" s="20"/>
      <c r="Q3770" s="20"/>
      <c r="R3770" s="20">
        <v>0.44</v>
      </c>
      <c r="S3770" s="20">
        <v>0.55999999999999994</v>
      </c>
      <c r="T3770" s="20"/>
    </row>
    <row r="3771" spans="13:20" x14ac:dyDescent="0.2">
      <c r="M3771" s="20">
        <v>9.717019206749786E-3</v>
      </c>
      <c r="N3771" s="20">
        <v>7.9214055123906274E-4</v>
      </c>
      <c r="O3771" s="20">
        <v>8.152094118418679E-2</v>
      </c>
      <c r="P3771" s="20"/>
      <c r="Q3771" s="20"/>
      <c r="R3771" s="20">
        <v>0.43</v>
      </c>
      <c r="S3771" s="20">
        <v>0.57000000000000006</v>
      </c>
      <c r="T3771" s="20"/>
    </row>
    <row r="3772" spans="13:20" x14ac:dyDescent="0.2">
      <c r="M3772" s="20">
        <v>1.8928536094734424E-2</v>
      </c>
      <c r="N3772" s="20">
        <v>1.2768239031645736E-3</v>
      </c>
      <c r="O3772" s="20">
        <v>6.7454973632100512E-2</v>
      </c>
      <c r="P3772" s="20"/>
      <c r="Q3772" s="20">
        <v>0.99</v>
      </c>
      <c r="R3772" s="20">
        <v>9.9999999999998979E-3</v>
      </c>
      <c r="S3772" s="20"/>
      <c r="T3772" s="20"/>
    </row>
    <row r="3773" spans="13:20" x14ac:dyDescent="0.2">
      <c r="M3773" s="20">
        <v>1.4656858912891799E-2</v>
      </c>
      <c r="N3773" s="20">
        <v>1.8832277012892748E-3</v>
      </c>
      <c r="O3773" s="20">
        <v>0.12848780986987846</v>
      </c>
      <c r="P3773" s="20">
        <v>0.46</v>
      </c>
      <c r="Q3773" s="20">
        <v>0.54</v>
      </c>
      <c r="R3773" s="20"/>
      <c r="S3773" s="20"/>
      <c r="T3773" s="20"/>
    </row>
    <row r="3774" spans="13:20" x14ac:dyDescent="0.2">
      <c r="M3774" s="20">
        <v>1.5043829103151952E-2</v>
      </c>
      <c r="N3774" s="20">
        <v>1.4518497167856684E-3</v>
      </c>
      <c r="O3774" s="20">
        <v>9.6507990540884284E-2</v>
      </c>
      <c r="P3774" s="20">
        <v>0.15</v>
      </c>
      <c r="Q3774" s="20">
        <v>0.67</v>
      </c>
      <c r="R3774" s="20">
        <v>0.17999999999999994</v>
      </c>
      <c r="S3774" s="20"/>
      <c r="T3774" s="20"/>
    </row>
    <row r="3775" spans="13:20" x14ac:dyDescent="0.2">
      <c r="M3775" s="20">
        <v>1.474131942893179E-2</v>
      </c>
      <c r="N3775" s="20">
        <v>1.2322497945821324E-3</v>
      </c>
      <c r="O3775" s="20">
        <v>8.3591553695232954E-2</v>
      </c>
      <c r="P3775" s="20"/>
      <c r="Q3775" s="20">
        <v>0.65</v>
      </c>
      <c r="R3775" s="20">
        <v>0.34999999999999987</v>
      </c>
      <c r="S3775" s="20"/>
      <c r="T3775" s="20"/>
    </row>
    <row r="3776" spans="13:20" x14ac:dyDescent="0.2">
      <c r="M3776" s="20">
        <v>1.0909084634781437E-2</v>
      </c>
      <c r="N3776" s="20">
        <v>1.122129742383388E-3</v>
      </c>
      <c r="O3776" s="20">
        <v>0.10286195221235167</v>
      </c>
      <c r="P3776" s="20"/>
      <c r="Q3776" s="20"/>
      <c r="R3776" s="20">
        <v>0.96</v>
      </c>
      <c r="S3776" s="20">
        <v>3.9999999999999925E-2</v>
      </c>
      <c r="T3776" s="20"/>
    </row>
    <row r="3777" spans="13:20" x14ac:dyDescent="0.2">
      <c r="M3777" s="20">
        <v>1.320033963082907E-2</v>
      </c>
      <c r="N3777" s="20">
        <v>1.9996609374939548E-3</v>
      </c>
      <c r="O3777" s="20">
        <v>0.15148556729735921</v>
      </c>
      <c r="P3777" s="20">
        <v>0.44000000000000006</v>
      </c>
      <c r="Q3777" s="20"/>
      <c r="R3777" s="20"/>
      <c r="S3777" s="20"/>
      <c r="T3777" s="20">
        <v>0.56000000000000005</v>
      </c>
    </row>
    <row r="3778" spans="13:20" x14ac:dyDescent="0.2">
      <c r="M3778" s="20">
        <v>8.700221559889745E-3</v>
      </c>
      <c r="N3778" s="20">
        <v>1.0729615842566876E-3</v>
      </c>
      <c r="O3778" s="20">
        <v>0.12332577703576147</v>
      </c>
      <c r="P3778" s="20">
        <v>0.09</v>
      </c>
      <c r="Q3778" s="20">
        <v>0.01</v>
      </c>
      <c r="R3778" s="20">
        <v>0.24</v>
      </c>
      <c r="S3778" s="20">
        <v>0.35</v>
      </c>
      <c r="T3778" s="20">
        <v>0.24</v>
      </c>
    </row>
    <row r="3779" spans="13:20" x14ac:dyDescent="0.2">
      <c r="M3779" s="20">
        <v>1.2528129604761169E-2</v>
      </c>
      <c r="N3779" s="20">
        <v>1.7615456031513897E-3</v>
      </c>
      <c r="O3779" s="20">
        <v>0.14060723018717297</v>
      </c>
      <c r="P3779" s="20">
        <v>0.27</v>
      </c>
      <c r="Q3779" s="20">
        <v>0.03</v>
      </c>
      <c r="R3779" s="20">
        <v>0.12999999999999989</v>
      </c>
      <c r="S3779" s="20"/>
      <c r="T3779" s="20">
        <v>0.56999999999999995</v>
      </c>
    </row>
    <row r="3780" spans="13:20" x14ac:dyDescent="0.2">
      <c r="M3780" s="20">
        <v>9.858841158288013E-3</v>
      </c>
      <c r="N3780" s="20">
        <v>1.1751087565277484E-3</v>
      </c>
      <c r="O3780" s="20">
        <v>0.11919339582217248</v>
      </c>
      <c r="P3780" s="20">
        <v>3.0000000000000027E-2</v>
      </c>
      <c r="Q3780" s="20"/>
      <c r="R3780" s="20">
        <v>0.67</v>
      </c>
      <c r="S3780" s="20">
        <v>0.13</v>
      </c>
      <c r="T3780" s="20">
        <v>0.17</v>
      </c>
    </row>
    <row r="3781" spans="13:20" x14ac:dyDescent="0.2">
      <c r="M3781" s="20">
        <v>1.0508433944948254E-2</v>
      </c>
      <c r="N3781" s="20">
        <v>9.8770627054135612E-4</v>
      </c>
      <c r="O3781" s="20">
        <v>9.3991766586321718E-2</v>
      </c>
      <c r="P3781" s="20"/>
      <c r="Q3781" s="20">
        <v>0.18</v>
      </c>
      <c r="R3781" s="20">
        <v>0.51</v>
      </c>
      <c r="S3781" s="20">
        <v>0.3</v>
      </c>
      <c r="T3781" s="20">
        <v>9.9999999999998979E-3</v>
      </c>
    </row>
    <row r="3782" spans="13:20" x14ac:dyDescent="0.2">
      <c r="M3782" s="20">
        <v>1.0054144903339482E-2</v>
      </c>
      <c r="N3782" s="20">
        <v>9.2556292690433237E-4</v>
      </c>
      <c r="O3782" s="20">
        <v>9.2057846371092864E-2</v>
      </c>
      <c r="P3782" s="20">
        <v>0.08</v>
      </c>
      <c r="Q3782" s="20">
        <v>0.06</v>
      </c>
      <c r="R3782" s="20">
        <v>0.16</v>
      </c>
      <c r="S3782" s="20">
        <v>0.61</v>
      </c>
      <c r="T3782" s="20">
        <v>9.000000000000008E-2</v>
      </c>
    </row>
    <row r="3783" spans="13:20" x14ac:dyDescent="0.2">
      <c r="M3783" s="20">
        <v>1.0444953040813672E-2</v>
      </c>
      <c r="N3783" s="20">
        <v>1.0723200531540561E-3</v>
      </c>
      <c r="O3783" s="20">
        <v>0.10266394199801222</v>
      </c>
      <c r="P3783" s="20"/>
      <c r="Q3783" s="20"/>
      <c r="R3783" s="20">
        <v>0.88</v>
      </c>
      <c r="S3783" s="20">
        <v>0.12000000000000011</v>
      </c>
      <c r="T3783" s="20"/>
    </row>
    <row r="3784" spans="13:20" x14ac:dyDescent="0.2">
      <c r="M3784" s="20">
        <v>1.2112927556256948E-2</v>
      </c>
      <c r="N3784" s="20">
        <v>2.1002868938058195E-3</v>
      </c>
      <c r="O3784" s="20">
        <v>0.17339217823695424</v>
      </c>
      <c r="P3784" s="20">
        <v>0.7</v>
      </c>
      <c r="Q3784" s="20">
        <v>7.0000000000000007E-2</v>
      </c>
      <c r="R3784" s="20">
        <v>0.12</v>
      </c>
      <c r="S3784" s="20">
        <v>0.1100000000000001</v>
      </c>
      <c r="T3784" s="20"/>
    </row>
    <row r="3785" spans="13:20" x14ac:dyDescent="0.2">
      <c r="M3785" s="20">
        <v>1.0977548684537796E-2</v>
      </c>
      <c r="N3785" s="20">
        <v>1.0791529218492409E-3</v>
      </c>
      <c r="O3785" s="20">
        <v>9.830545533077524E-2</v>
      </c>
      <c r="P3785" s="20"/>
      <c r="Q3785" s="20"/>
      <c r="R3785" s="20"/>
      <c r="S3785" s="20">
        <v>0.45</v>
      </c>
      <c r="T3785" s="20">
        <v>0.54999999999999993</v>
      </c>
    </row>
    <row r="3786" spans="13:20" x14ac:dyDescent="0.2">
      <c r="M3786" s="20">
        <v>9.8654870078664029E-3</v>
      </c>
      <c r="N3786" s="20">
        <v>1.5664782392325067E-3</v>
      </c>
      <c r="O3786" s="20">
        <v>0.15878367058650528</v>
      </c>
      <c r="P3786" s="20">
        <v>0.35</v>
      </c>
      <c r="Q3786" s="20">
        <v>0.05</v>
      </c>
      <c r="R3786" s="20">
        <v>0.45</v>
      </c>
      <c r="S3786" s="20">
        <v>0.14999999999999991</v>
      </c>
      <c r="T3786" s="20"/>
    </row>
    <row r="3787" spans="13:20" x14ac:dyDescent="0.2">
      <c r="M3787" s="20">
        <v>1.0507202556790394E-2</v>
      </c>
      <c r="N3787" s="20">
        <v>7.5904509871220667E-4</v>
      </c>
      <c r="O3787" s="20">
        <v>7.224045549799224E-2</v>
      </c>
      <c r="P3787" s="20"/>
      <c r="Q3787" s="20">
        <v>0.08</v>
      </c>
      <c r="R3787" s="20">
        <v>0.28000000000000003</v>
      </c>
      <c r="S3787" s="20">
        <v>0.6399999999999999</v>
      </c>
      <c r="T3787" s="20"/>
    </row>
    <row r="3788" spans="13:20" x14ac:dyDescent="0.2">
      <c r="M3788" s="20">
        <v>1.263306500277556E-2</v>
      </c>
      <c r="N3788" s="20">
        <v>1.4166681490541777E-3</v>
      </c>
      <c r="O3788" s="20">
        <v>0.11213970234008351</v>
      </c>
      <c r="P3788" s="20">
        <v>9.000000000000008E-2</v>
      </c>
      <c r="Q3788" s="20"/>
      <c r="R3788" s="20"/>
      <c r="S3788" s="20">
        <v>0.21</v>
      </c>
      <c r="T3788" s="20">
        <v>0.7</v>
      </c>
    </row>
    <row r="3789" spans="13:20" x14ac:dyDescent="0.2">
      <c r="M3789" s="20">
        <v>1.0476620356201099E-2</v>
      </c>
      <c r="N3789" s="20">
        <v>1.6063002364303958E-3</v>
      </c>
      <c r="O3789" s="20">
        <v>0.15332236750180878</v>
      </c>
      <c r="P3789" s="20">
        <v>0.43999999999999995</v>
      </c>
      <c r="Q3789" s="20"/>
      <c r="R3789" s="20"/>
      <c r="S3789" s="20">
        <v>0.39</v>
      </c>
      <c r="T3789" s="20">
        <v>0.17</v>
      </c>
    </row>
    <row r="3790" spans="13:20" x14ac:dyDescent="0.2">
      <c r="M3790" s="20">
        <v>1.0489852780820355E-2</v>
      </c>
      <c r="N3790" s="20">
        <v>1.7788161886585004E-3</v>
      </c>
      <c r="O3790" s="20">
        <v>0.16957494312130744</v>
      </c>
      <c r="P3790" s="20">
        <v>0.52</v>
      </c>
      <c r="Q3790" s="20">
        <v>0.02</v>
      </c>
      <c r="R3790" s="20">
        <v>0.22999999999999998</v>
      </c>
      <c r="S3790" s="20">
        <v>0.21</v>
      </c>
      <c r="T3790" s="20">
        <v>0.02</v>
      </c>
    </row>
    <row r="3791" spans="13:20" x14ac:dyDescent="0.2">
      <c r="M3791" s="20">
        <v>1.180030746568604E-2</v>
      </c>
      <c r="N3791" s="20">
        <v>1.4838918205617182E-3</v>
      </c>
      <c r="O3791" s="20">
        <v>0.12575026751435994</v>
      </c>
      <c r="P3791" s="20">
        <v>0.1399999999999999</v>
      </c>
      <c r="Q3791" s="20"/>
      <c r="R3791" s="20">
        <v>0.12</v>
      </c>
      <c r="S3791" s="20">
        <v>0.15</v>
      </c>
      <c r="T3791" s="20">
        <v>0.59</v>
      </c>
    </row>
    <row r="3792" spans="13:20" x14ac:dyDescent="0.2">
      <c r="M3792" s="20">
        <v>9.6232476208579359E-3</v>
      </c>
      <c r="N3792" s="20">
        <v>8.2327160700739529E-4</v>
      </c>
      <c r="O3792" s="20">
        <v>8.5550288160827617E-2</v>
      </c>
      <c r="P3792" s="20"/>
      <c r="Q3792" s="20"/>
      <c r="R3792" s="20">
        <v>0.48</v>
      </c>
      <c r="S3792" s="20">
        <v>0.52</v>
      </c>
      <c r="T3792" s="20">
        <v>0</v>
      </c>
    </row>
    <row r="3793" spans="13:20" x14ac:dyDescent="0.2">
      <c r="M3793" s="20">
        <v>9.8949680664130839E-3</v>
      </c>
      <c r="N3793" s="20">
        <v>8.9471074089926886E-4</v>
      </c>
      <c r="O3793" s="20">
        <v>9.0420781036800332E-2</v>
      </c>
      <c r="P3793" s="20"/>
      <c r="Q3793" s="20">
        <v>7.0000000000000007E-2</v>
      </c>
      <c r="R3793" s="20">
        <v>0.51</v>
      </c>
      <c r="S3793" s="20">
        <v>0.41999999999999993</v>
      </c>
      <c r="T3793" s="20"/>
    </row>
    <row r="3794" spans="13:20" x14ac:dyDescent="0.2">
      <c r="M3794" s="20">
        <v>1.6416453566787025E-2</v>
      </c>
      <c r="N3794" s="20">
        <v>1.1932569357159498E-3</v>
      </c>
      <c r="O3794" s="20">
        <v>7.2686645191753815E-2</v>
      </c>
      <c r="P3794" s="20"/>
      <c r="Q3794" s="20">
        <v>0.78</v>
      </c>
      <c r="R3794" s="20">
        <v>0.13</v>
      </c>
      <c r="S3794" s="20">
        <v>9.000000000000008E-2</v>
      </c>
      <c r="T3794" s="20"/>
    </row>
    <row r="3795" spans="13:20" x14ac:dyDescent="0.2">
      <c r="M3795" s="20">
        <v>1.5644725188612919E-2</v>
      </c>
      <c r="N3795" s="20">
        <v>1.2427378201309424E-3</v>
      </c>
      <c r="O3795" s="20">
        <v>7.9434940860161257E-2</v>
      </c>
      <c r="P3795" s="20"/>
      <c r="Q3795" s="20">
        <v>0.73</v>
      </c>
      <c r="R3795" s="20">
        <v>0.27</v>
      </c>
      <c r="S3795" s="20"/>
      <c r="T3795" s="20"/>
    </row>
    <row r="3796" spans="13:20" x14ac:dyDescent="0.2">
      <c r="M3796" s="20">
        <v>1.3984850690816109E-2</v>
      </c>
      <c r="N3796" s="20">
        <v>2.3962411578612938E-3</v>
      </c>
      <c r="O3796" s="20">
        <v>0.17134549455253834</v>
      </c>
      <c r="P3796" s="20">
        <v>0.85</v>
      </c>
      <c r="Q3796" s="20">
        <v>0.14999999999999991</v>
      </c>
      <c r="R3796" s="20"/>
      <c r="S3796" s="20"/>
      <c r="T3796" s="20"/>
    </row>
    <row r="3797" spans="13:20" x14ac:dyDescent="0.2">
      <c r="M3797" s="20">
        <v>1.2479136611515082E-2</v>
      </c>
      <c r="N3797" s="20">
        <v>1.0389042279403743E-3</v>
      </c>
      <c r="O3797" s="20">
        <v>8.3251290556570129E-2</v>
      </c>
      <c r="P3797" s="20"/>
      <c r="Q3797" s="20">
        <v>0.41</v>
      </c>
      <c r="R3797" s="20">
        <v>0.33</v>
      </c>
      <c r="S3797" s="20">
        <v>0.26</v>
      </c>
      <c r="T3797" s="20"/>
    </row>
    <row r="3798" spans="13:20" x14ac:dyDescent="0.2">
      <c r="M3798" s="20">
        <v>1.1288547723773364E-2</v>
      </c>
      <c r="N3798" s="20">
        <v>1.7413302415733483E-3</v>
      </c>
      <c r="O3798" s="20">
        <v>0.15425635645816121</v>
      </c>
      <c r="P3798" s="20">
        <v>0.39</v>
      </c>
      <c r="Q3798" s="20">
        <v>0.23</v>
      </c>
      <c r="R3798" s="20">
        <v>0.37999999999999989</v>
      </c>
      <c r="S3798" s="20"/>
      <c r="T3798" s="20"/>
    </row>
    <row r="3799" spans="13:20" x14ac:dyDescent="0.2">
      <c r="M3799" s="20">
        <v>1.5998727079513643E-2</v>
      </c>
      <c r="N3799" s="20">
        <v>1.246670829711746E-3</v>
      </c>
      <c r="O3799" s="20">
        <v>7.7923126228467712E-2</v>
      </c>
      <c r="P3799" s="20"/>
      <c r="Q3799" s="20">
        <v>0.76</v>
      </c>
      <c r="R3799" s="20">
        <v>0.24</v>
      </c>
      <c r="S3799" s="20"/>
      <c r="T3799" s="20"/>
    </row>
    <row r="3800" spans="13:20" x14ac:dyDescent="0.2">
      <c r="M3800" s="20">
        <v>1.3904801248335475E-2</v>
      </c>
      <c r="N3800" s="20">
        <v>1.2155355578796565E-3</v>
      </c>
      <c r="O3800" s="20">
        <v>8.7418405784488756E-2</v>
      </c>
      <c r="P3800" s="20"/>
      <c r="Q3800" s="20">
        <v>0.56999999999999995</v>
      </c>
      <c r="R3800" s="20">
        <v>0.42</v>
      </c>
      <c r="S3800" s="20">
        <v>1.0000000000000009E-2</v>
      </c>
      <c r="T3800" s="20"/>
    </row>
    <row r="3801" spans="13:20" x14ac:dyDescent="0.2">
      <c r="M3801" s="20">
        <v>1.5879871097141299E-2</v>
      </c>
      <c r="N3801" s="20">
        <v>1.2453598265181449E-3</v>
      </c>
      <c r="O3801" s="20">
        <v>7.8423799469149041E-2</v>
      </c>
      <c r="P3801" s="20"/>
      <c r="Q3801" s="20">
        <v>0.75</v>
      </c>
      <c r="R3801" s="20">
        <v>0.25000000000000011</v>
      </c>
      <c r="S3801" s="20"/>
      <c r="T3801" s="20"/>
    </row>
    <row r="3802" spans="13:20" x14ac:dyDescent="0.2">
      <c r="M3802" s="20">
        <v>1.0342325803158046E-2</v>
      </c>
      <c r="N3802" s="20">
        <v>1.0598676308467231E-3</v>
      </c>
      <c r="O3802" s="20">
        <v>0.10247865432000708</v>
      </c>
      <c r="P3802" s="20"/>
      <c r="Q3802" s="20"/>
      <c r="R3802" s="20">
        <v>0.86</v>
      </c>
      <c r="S3802" s="20">
        <v>0.1399999999999999</v>
      </c>
      <c r="T3802" s="20"/>
    </row>
    <row r="3803" spans="13:20" x14ac:dyDescent="0.2">
      <c r="M3803" s="20">
        <v>9.8839769893505954E-3</v>
      </c>
      <c r="N3803" s="20">
        <v>9.9137930815639138E-4</v>
      </c>
      <c r="O3803" s="20">
        <v>0.10030166088251159</v>
      </c>
      <c r="P3803" s="20"/>
      <c r="Q3803" s="20"/>
      <c r="R3803" s="20">
        <v>0.75</v>
      </c>
      <c r="S3803" s="20">
        <v>0.25000000000000011</v>
      </c>
      <c r="T3803" s="20"/>
    </row>
    <row r="3804" spans="13:20" x14ac:dyDescent="0.2">
      <c r="M3804" s="20">
        <v>1.3570602348951239E-2</v>
      </c>
      <c r="N3804" s="20">
        <v>1.9042138340204383E-3</v>
      </c>
      <c r="O3804" s="20">
        <v>0.14031903559296316</v>
      </c>
      <c r="P3804" s="20">
        <v>0.34999999999999987</v>
      </c>
      <c r="Q3804" s="20"/>
      <c r="R3804" s="20"/>
      <c r="S3804" s="20"/>
      <c r="T3804" s="20">
        <v>0.65</v>
      </c>
    </row>
    <row r="3805" spans="13:20" x14ac:dyDescent="0.2">
      <c r="M3805" s="20">
        <v>1.3496273586812321E-2</v>
      </c>
      <c r="N3805" s="20">
        <v>1.0706928933373859E-3</v>
      </c>
      <c r="O3805" s="20">
        <v>7.9332482885023703E-2</v>
      </c>
      <c r="P3805" s="20"/>
      <c r="Q3805" s="20">
        <v>0.51</v>
      </c>
      <c r="R3805" s="20">
        <v>0.26</v>
      </c>
      <c r="S3805" s="20">
        <v>0.22999999999999998</v>
      </c>
      <c r="T3805" s="20"/>
    </row>
    <row r="3806" spans="13:20" x14ac:dyDescent="0.2">
      <c r="M3806" s="20">
        <v>1.441711545283081E-2</v>
      </c>
      <c r="N3806" s="20">
        <v>2.5409372609969914E-3</v>
      </c>
      <c r="O3806" s="20">
        <v>0.17624449698764649</v>
      </c>
      <c r="P3806" s="20">
        <v>0.96</v>
      </c>
      <c r="Q3806" s="20">
        <v>4.0000000000000036E-2</v>
      </c>
      <c r="R3806" s="20"/>
      <c r="S3806" s="20"/>
      <c r="T3806" s="20"/>
    </row>
    <row r="3807" spans="13:20" x14ac:dyDescent="0.2">
      <c r="M3807" s="20">
        <v>1.2159172390502064E-2</v>
      </c>
      <c r="N3807" s="20">
        <v>1.9225757677071272E-3</v>
      </c>
      <c r="O3807" s="20">
        <v>0.15811732130789719</v>
      </c>
      <c r="P3807" s="20">
        <v>0.52</v>
      </c>
      <c r="Q3807" s="20">
        <v>0.19999999999999996</v>
      </c>
      <c r="R3807" s="20"/>
      <c r="S3807" s="20">
        <v>0.11</v>
      </c>
      <c r="T3807" s="20">
        <v>0.17</v>
      </c>
    </row>
    <row r="3808" spans="13:20" x14ac:dyDescent="0.2">
      <c r="M3808" s="20">
        <v>9.573297719846819E-3</v>
      </c>
      <c r="N3808" s="20">
        <v>8.9175992969772679E-4</v>
      </c>
      <c r="O3808" s="20">
        <v>9.3150757011241855E-2</v>
      </c>
      <c r="P3808" s="20"/>
      <c r="Q3808" s="20"/>
      <c r="R3808" s="20">
        <v>0.59</v>
      </c>
      <c r="S3808" s="20">
        <v>0.40999999999999992</v>
      </c>
      <c r="T3808" s="20"/>
    </row>
    <row r="3809" spans="13:20" x14ac:dyDescent="0.2">
      <c r="M3809" s="20">
        <v>1.0453897956759366E-2</v>
      </c>
      <c r="N3809" s="20">
        <v>8.2054588775349463E-4</v>
      </c>
      <c r="O3809" s="20">
        <v>7.8491859318651519E-2</v>
      </c>
      <c r="P3809" s="20">
        <v>6.9999999999999951E-2</v>
      </c>
      <c r="Q3809" s="20"/>
      <c r="R3809" s="20"/>
      <c r="S3809" s="20">
        <v>0.78</v>
      </c>
      <c r="T3809" s="20">
        <v>0.15</v>
      </c>
    </row>
    <row r="3810" spans="13:20" x14ac:dyDescent="0.2">
      <c r="M3810" s="20">
        <v>1.0198198992587155E-2</v>
      </c>
      <c r="N3810" s="20">
        <v>8.6048935433889447E-4</v>
      </c>
      <c r="O3810" s="20">
        <v>8.4376599727497476E-2</v>
      </c>
      <c r="P3810" s="20">
        <v>0.04</v>
      </c>
      <c r="Q3810" s="20">
        <v>0.08</v>
      </c>
      <c r="R3810" s="20">
        <v>0.31</v>
      </c>
      <c r="S3810" s="20">
        <v>0.56999999999999995</v>
      </c>
      <c r="T3810" s="20"/>
    </row>
    <row r="3811" spans="13:20" x14ac:dyDescent="0.2">
      <c r="M3811" s="20">
        <v>1.1912542431305035E-2</v>
      </c>
      <c r="N3811" s="20">
        <v>2.113536445332331E-3</v>
      </c>
      <c r="O3811" s="20">
        <v>0.17742110531989855</v>
      </c>
      <c r="P3811" s="20">
        <v>0.66</v>
      </c>
      <c r="Q3811" s="20">
        <v>0.09</v>
      </c>
      <c r="R3811" s="20">
        <v>0.25</v>
      </c>
      <c r="S3811" s="20"/>
      <c r="T3811" s="20"/>
    </row>
    <row r="3812" spans="13:20" x14ac:dyDescent="0.2">
      <c r="M3812" s="20">
        <v>1.0069275629952633E-2</v>
      </c>
      <c r="N3812" s="20">
        <v>1.0225103639247238E-3</v>
      </c>
      <c r="O3812" s="20">
        <v>0.10154755927855497</v>
      </c>
      <c r="P3812" s="20"/>
      <c r="Q3812" s="20"/>
      <c r="R3812" s="20">
        <v>0.8</v>
      </c>
      <c r="S3812" s="20">
        <v>0.19999999999999996</v>
      </c>
      <c r="T3812" s="20"/>
    </row>
    <row r="3813" spans="13:20" x14ac:dyDescent="0.2">
      <c r="M3813" s="20">
        <v>1.2623977087661423E-2</v>
      </c>
      <c r="N3813" s="20">
        <v>1.374445315541006E-3</v>
      </c>
      <c r="O3813" s="20">
        <v>0.10887577710231892</v>
      </c>
      <c r="P3813" s="20">
        <v>0.04</v>
      </c>
      <c r="Q3813" s="20">
        <v>0.41</v>
      </c>
      <c r="R3813" s="20">
        <v>0.25000000000000011</v>
      </c>
      <c r="S3813" s="20"/>
      <c r="T3813" s="20">
        <v>0.3</v>
      </c>
    </row>
    <row r="3814" spans="13:20" x14ac:dyDescent="0.2">
      <c r="M3814" s="20">
        <v>1.2968557061063663E-2</v>
      </c>
      <c r="N3814" s="20">
        <v>2.2011603781602659E-3</v>
      </c>
      <c r="O3814" s="20">
        <v>0.1697305542780046</v>
      </c>
      <c r="P3814" s="20">
        <v>0.63</v>
      </c>
      <c r="Q3814" s="20"/>
      <c r="R3814" s="20"/>
      <c r="S3814" s="20"/>
      <c r="T3814" s="20">
        <v>0.37</v>
      </c>
    </row>
    <row r="3815" spans="13:20" x14ac:dyDescent="0.2">
      <c r="M3815" s="20">
        <v>1.5344006605141125E-2</v>
      </c>
      <c r="N3815" s="20">
        <v>1.6390829910384503E-3</v>
      </c>
      <c r="O3815" s="20">
        <v>0.10682235958431244</v>
      </c>
      <c r="P3815" s="20">
        <v>0.10000000000000009</v>
      </c>
      <c r="Q3815" s="20"/>
      <c r="R3815" s="20"/>
      <c r="S3815" s="20"/>
      <c r="T3815" s="20">
        <v>0.9</v>
      </c>
    </row>
    <row r="3816" spans="13:20" x14ac:dyDescent="0.2">
      <c r="M3816" s="20">
        <v>9.6730729121530835E-3</v>
      </c>
      <c r="N3816" s="20">
        <v>9.4156961892705919E-4</v>
      </c>
      <c r="O3816" s="20">
        <v>9.7339245499130603E-2</v>
      </c>
      <c r="P3816" s="20"/>
      <c r="Q3816" s="20"/>
      <c r="R3816" s="20">
        <v>0.67</v>
      </c>
      <c r="S3816" s="20">
        <v>0.32999999999999996</v>
      </c>
      <c r="T3816" s="20"/>
    </row>
    <row r="3817" spans="13:20" x14ac:dyDescent="0.2">
      <c r="M3817" s="20">
        <v>1.2672491680431075E-2</v>
      </c>
      <c r="N3817" s="20">
        <v>2.0963362524268115E-3</v>
      </c>
      <c r="O3817" s="20">
        <v>0.16542415692913684</v>
      </c>
      <c r="P3817" s="20">
        <v>0.56000000000000005</v>
      </c>
      <c r="Q3817" s="20">
        <v>0.12</v>
      </c>
      <c r="R3817" s="20"/>
      <c r="S3817" s="20"/>
      <c r="T3817" s="20">
        <v>0.32</v>
      </c>
    </row>
    <row r="3818" spans="13:20" x14ac:dyDescent="0.2">
      <c r="M3818" s="20">
        <v>1.5712515718385011E-2</v>
      </c>
      <c r="N3818" s="20">
        <v>1.5966620561613317E-3</v>
      </c>
      <c r="O3818" s="20">
        <v>0.10161721297711086</v>
      </c>
      <c r="P3818" s="20">
        <v>5.9999999999999942E-2</v>
      </c>
      <c r="Q3818" s="20"/>
      <c r="R3818" s="20"/>
      <c r="S3818" s="20"/>
      <c r="T3818" s="20">
        <v>0.94</v>
      </c>
    </row>
    <row r="3819" spans="13:20" x14ac:dyDescent="0.2">
      <c r="M3819" s="20">
        <v>1.2071580208830595E-2</v>
      </c>
      <c r="N3819" s="20">
        <v>1.9455311463079171E-3</v>
      </c>
      <c r="O3819" s="20">
        <v>0.16116623612248571</v>
      </c>
      <c r="P3819" s="20">
        <v>0.46</v>
      </c>
      <c r="Q3819" s="20">
        <v>0.15</v>
      </c>
      <c r="R3819" s="20">
        <v>7.0000000000000007E-2</v>
      </c>
      <c r="S3819" s="20">
        <v>1.000000000000012E-2</v>
      </c>
      <c r="T3819" s="20">
        <v>0.31</v>
      </c>
    </row>
    <row r="3820" spans="13:20" x14ac:dyDescent="0.2">
      <c r="M3820" s="20">
        <v>1.6397669149737778E-2</v>
      </c>
      <c r="N3820" s="20">
        <v>1.5938354950178792E-3</v>
      </c>
      <c r="O3820" s="20">
        <v>9.7198905555633E-2</v>
      </c>
      <c r="P3820" s="20">
        <v>0.24</v>
      </c>
      <c r="Q3820" s="20">
        <v>0.76000000000000012</v>
      </c>
      <c r="R3820" s="20"/>
      <c r="S3820" s="20"/>
      <c r="T3820" s="20"/>
    </row>
    <row r="3821" spans="13:20" x14ac:dyDescent="0.2">
      <c r="M3821" s="20">
        <v>1.3361539935962594E-2</v>
      </c>
      <c r="N3821" s="20">
        <v>1.3933134036197272E-3</v>
      </c>
      <c r="O3821" s="20">
        <v>0.104277905862454</v>
      </c>
      <c r="P3821" s="20"/>
      <c r="Q3821" s="20">
        <v>0.15</v>
      </c>
      <c r="R3821" s="20">
        <v>0.08</v>
      </c>
      <c r="S3821" s="20">
        <v>7.0000000000000007E-2</v>
      </c>
      <c r="T3821" s="20">
        <v>0.70000000000000007</v>
      </c>
    </row>
    <row r="3822" spans="13:20" x14ac:dyDescent="0.2">
      <c r="M3822" s="20">
        <v>1.4123718142303428E-2</v>
      </c>
      <c r="N3822" s="20">
        <v>2.0279238044249724E-3</v>
      </c>
      <c r="O3822" s="20">
        <v>0.14358285714800026</v>
      </c>
      <c r="P3822" s="20">
        <v>0.56999999999999995</v>
      </c>
      <c r="Q3822" s="20">
        <v>0.43000000000000016</v>
      </c>
      <c r="R3822" s="20"/>
      <c r="S3822" s="20"/>
      <c r="T3822" s="20"/>
    </row>
    <row r="3823" spans="13:20" x14ac:dyDescent="0.2">
      <c r="M3823" s="20">
        <v>1.383205566507556E-2</v>
      </c>
      <c r="N3823" s="20">
        <v>2.2778534371139052E-3</v>
      </c>
      <c r="O3823" s="20">
        <v>0.16467931392621837</v>
      </c>
      <c r="P3823" s="20">
        <v>0.76</v>
      </c>
      <c r="Q3823" s="20">
        <v>0.2400000000000001</v>
      </c>
      <c r="R3823" s="20"/>
      <c r="S3823" s="20"/>
      <c r="T3823" s="20"/>
    </row>
    <row r="3824" spans="13:20" x14ac:dyDescent="0.2">
      <c r="M3824" s="20">
        <v>1.4608462456178039E-2</v>
      </c>
      <c r="N3824" s="20">
        <v>1.7032334552512646E-3</v>
      </c>
      <c r="O3824" s="20">
        <v>0.11659224647087711</v>
      </c>
      <c r="P3824" s="20">
        <v>0.17000000000000015</v>
      </c>
      <c r="Q3824" s="20"/>
      <c r="R3824" s="20"/>
      <c r="S3824" s="20">
        <v>0.01</v>
      </c>
      <c r="T3824" s="20">
        <v>0.82</v>
      </c>
    </row>
    <row r="3825" spans="13:20" x14ac:dyDescent="0.2">
      <c r="M3825" s="20">
        <v>1.798915162531552E-2</v>
      </c>
      <c r="N3825" s="20">
        <v>1.3965226271055642E-3</v>
      </c>
      <c r="O3825" s="20">
        <v>7.7631377854433414E-2</v>
      </c>
      <c r="P3825" s="20">
        <v>0.09</v>
      </c>
      <c r="Q3825" s="20">
        <v>0.91</v>
      </c>
      <c r="R3825" s="20"/>
      <c r="S3825" s="20"/>
      <c r="T3825" s="20"/>
    </row>
    <row r="3826" spans="13:20" x14ac:dyDescent="0.2">
      <c r="M3826" s="20">
        <v>1.2007938807189322E-2</v>
      </c>
      <c r="N3826" s="20">
        <v>1.1916086955804951E-3</v>
      </c>
      <c r="O3826" s="20">
        <v>9.9235073955162248E-2</v>
      </c>
      <c r="P3826" s="20"/>
      <c r="Q3826" s="20">
        <v>0.34</v>
      </c>
      <c r="R3826" s="20">
        <v>0.65999999999999992</v>
      </c>
      <c r="S3826" s="20"/>
      <c r="T3826" s="20"/>
    </row>
    <row r="3827" spans="13:20" x14ac:dyDescent="0.2">
      <c r="M3827" s="20">
        <v>1.3179612552701543E-2</v>
      </c>
      <c r="N3827" s="20">
        <v>1.5296922866862932E-3</v>
      </c>
      <c r="O3827" s="20">
        <v>0.11606504216793068</v>
      </c>
      <c r="P3827" s="20">
        <v>0.13</v>
      </c>
      <c r="Q3827" s="20"/>
      <c r="R3827" s="20"/>
      <c r="S3827" s="20">
        <v>0.14000000000000001</v>
      </c>
      <c r="T3827" s="20">
        <v>0.73</v>
      </c>
    </row>
    <row r="3828" spans="13:20" x14ac:dyDescent="0.2">
      <c r="M3828" s="20">
        <v>1.5167446413524818E-2</v>
      </c>
      <c r="N3828" s="20">
        <v>1.6602934584770089E-3</v>
      </c>
      <c r="O3828" s="20">
        <v>0.10946427059709435</v>
      </c>
      <c r="P3828" s="20">
        <v>0.11999999999999988</v>
      </c>
      <c r="Q3828" s="20"/>
      <c r="R3828" s="20"/>
      <c r="S3828" s="20"/>
      <c r="T3828" s="20">
        <v>0.88</v>
      </c>
    </row>
    <row r="3829" spans="13:20" x14ac:dyDescent="0.2">
      <c r="M3829" s="20">
        <v>1.0196705760860779E-2</v>
      </c>
      <c r="N3829" s="20">
        <v>8.8751565722853306E-4</v>
      </c>
      <c r="O3829" s="20">
        <v>8.7039449606871017E-2</v>
      </c>
      <c r="P3829" s="20"/>
      <c r="Q3829" s="20"/>
      <c r="R3829" s="20"/>
      <c r="S3829" s="20">
        <v>0.64</v>
      </c>
      <c r="T3829" s="20">
        <v>0.36</v>
      </c>
    </row>
    <row r="3830" spans="13:20" x14ac:dyDescent="0.2">
      <c r="M3830" s="20">
        <v>1.4143975913106054E-2</v>
      </c>
      <c r="N3830" s="20">
        <v>1.9434913384905163E-3</v>
      </c>
      <c r="O3830" s="20">
        <v>0.13740770985686163</v>
      </c>
      <c r="P3830" s="20">
        <v>0.5</v>
      </c>
      <c r="Q3830" s="20">
        <v>0.47</v>
      </c>
      <c r="R3830" s="20"/>
      <c r="S3830" s="20"/>
      <c r="T3830" s="20">
        <v>0.03</v>
      </c>
    </row>
    <row r="3831" spans="13:20" x14ac:dyDescent="0.2">
      <c r="M3831" s="20">
        <v>1.3270102272778602E-2</v>
      </c>
      <c r="N3831" s="20">
        <v>1.3111348737585191E-3</v>
      </c>
      <c r="O3831" s="20">
        <v>9.8803675119225956E-2</v>
      </c>
      <c r="P3831" s="20"/>
      <c r="Q3831" s="20"/>
      <c r="R3831" s="20"/>
      <c r="S3831" s="20">
        <v>0.22</v>
      </c>
      <c r="T3831" s="20">
        <v>0.78</v>
      </c>
    </row>
    <row r="3832" spans="13:20" x14ac:dyDescent="0.2">
      <c r="M3832" s="20">
        <v>1.1004230292705927E-2</v>
      </c>
      <c r="N3832" s="20">
        <v>6.4544753349711243E-4</v>
      </c>
      <c r="O3832" s="20">
        <v>5.865449162082173E-2</v>
      </c>
      <c r="P3832" s="20"/>
      <c r="Q3832" s="20"/>
      <c r="R3832" s="20"/>
      <c r="S3832" s="20">
        <v>0.88</v>
      </c>
      <c r="T3832" s="20">
        <v>0.11999999999999988</v>
      </c>
    </row>
    <row r="3833" spans="13:20" x14ac:dyDescent="0.2">
      <c r="M3833" s="20">
        <v>9.2521977680099388E-3</v>
      </c>
      <c r="N3833" s="20">
        <v>9.256270354121058E-4</v>
      </c>
      <c r="O3833" s="20">
        <v>0.10004401749955238</v>
      </c>
      <c r="P3833" s="20"/>
      <c r="Q3833" s="20"/>
      <c r="R3833" s="20">
        <v>0.45</v>
      </c>
      <c r="S3833" s="20">
        <v>0.43</v>
      </c>
      <c r="T3833" s="20">
        <v>0.11999999999999988</v>
      </c>
    </row>
    <row r="3834" spans="13:20" x14ac:dyDescent="0.2">
      <c r="M3834" s="20">
        <v>1.1038394458592121E-2</v>
      </c>
      <c r="N3834" s="20">
        <v>1.5256633289506161E-3</v>
      </c>
      <c r="O3834" s="20">
        <v>0.13821424253987069</v>
      </c>
      <c r="P3834" s="20">
        <v>0.24</v>
      </c>
      <c r="Q3834" s="20">
        <v>0.24</v>
      </c>
      <c r="R3834" s="20">
        <v>0.51999999999999991</v>
      </c>
      <c r="S3834" s="20"/>
      <c r="T3834" s="20"/>
    </row>
    <row r="3835" spans="13:20" x14ac:dyDescent="0.2">
      <c r="M3835" s="20">
        <v>1.2519744047863164E-2</v>
      </c>
      <c r="N3835" s="20">
        <v>1.304664085037195E-3</v>
      </c>
      <c r="O3835" s="20">
        <v>0.10420852695146525</v>
      </c>
      <c r="P3835" s="20">
        <v>7.0000000000000007E-2</v>
      </c>
      <c r="Q3835" s="20">
        <v>0.43</v>
      </c>
      <c r="R3835" s="20">
        <v>0.5</v>
      </c>
      <c r="S3835" s="20"/>
      <c r="T3835" s="20"/>
    </row>
    <row r="3836" spans="13:20" x14ac:dyDescent="0.2">
      <c r="M3836" s="20">
        <v>1.3806985054193307E-2</v>
      </c>
      <c r="N3836" s="20">
        <v>1.220450765839722E-3</v>
      </c>
      <c r="O3836" s="20">
        <v>8.8393719631720769E-2</v>
      </c>
      <c r="P3836" s="20"/>
      <c r="Q3836" s="20">
        <v>0.56000000000000005</v>
      </c>
      <c r="R3836" s="20">
        <v>0.44000000000000006</v>
      </c>
      <c r="S3836" s="20"/>
      <c r="T3836" s="20"/>
    </row>
    <row r="3837" spans="13:20" x14ac:dyDescent="0.2">
      <c r="M3837" s="20">
        <v>1.5818561516210153E-2</v>
      </c>
      <c r="N3837" s="20">
        <v>1.4886461247227867E-3</v>
      </c>
      <c r="O3837" s="20">
        <v>9.4107553534326663E-2</v>
      </c>
      <c r="P3837" s="20">
        <v>0.17</v>
      </c>
      <c r="Q3837" s="20">
        <v>0.73</v>
      </c>
      <c r="R3837" s="20">
        <v>9.9999999999999978E-2</v>
      </c>
      <c r="S3837" s="20"/>
      <c r="T3837" s="20"/>
    </row>
    <row r="3838" spans="13:20" x14ac:dyDescent="0.2">
      <c r="M3838" s="20">
        <v>1.2713672138090631E-2</v>
      </c>
      <c r="N3838" s="20">
        <v>1.8587420032924727E-3</v>
      </c>
      <c r="O3838" s="20">
        <v>0.14620024671893284</v>
      </c>
      <c r="P3838" s="20">
        <v>0.36</v>
      </c>
      <c r="Q3838" s="20">
        <v>0.21999999999999997</v>
      </c>
      <c r="R3838" s="20"/>
      <c r="S3838" s="20"/>
      <c r="T3838" s="20">
        <v>0.42</v>
      </c>
    </row>
    <row r="3839" spans="13:20" x14ac:dyDescent="0.2">
      <c r="M3839" s="20">
        <v>1.3964215445300288E-2</v>
      </c>
      <c r="N3839" s="20">
        <v>1.8299771979854817E-3</v>
      </c>
      <c r="O3839" s="20">
        <v>0.13104761990773839</v>
      </c>
      <c r="P3839" s="20">
        <v>0.28000000000000003</v>
      </c>
      <c r="Q3839" s="20"/>
      <c r="R3839" s="20"/>
      <c r="S3839" s="20"/>
      <c r="T3839" s="20">
        <v>0.72</v>
      </c>
    </row>
    <row r="3840" spans="13:20" x14ac:dyDescent="0.2">
      <c r="M3840" s="20">
        <v>1.5040379432549673E-2</v>
      </c>
      <c r="N3840" s="20">
        <v>1.0877359348542015E-3</v>
      </c>
      <c r="O3840" s="20">
        <v>7.2321043477146268E-2</v>
      </c>
      <c r="P3840" s="20"/>
      <c r="Q3840" s="20">
        <v>0.64</v>
      </c>
      <c r="R3840" s="20">
        <v>0.13</v>
      </c>
      <c r="S3840" s="20">
        <v>0.22999999999999987</v>
      </c>
      <c r="T3840" s="20"/>
    </row>
    <row r="3841" spans="13:20" x14ac:dyDescent="0.2">
      <c r="M3841" s="20">
        <v>1.4258256935414139E-2</v>
      </c>
      <c r="N3841" s="20">
        <v>1.2916066444868387E-3</v>
      </c>
      <c r="O3841" s="20">
        <v>9.0586573824377736E-2</v>
      </c>
      <c r="P3841" s="20">
        <v>0.08</v>
      </c>
      <c r="Q3841" s="20">
        <v>0.6</v>
      </c>
      <c r="R3841" s="20">
        <v>0.24</v>
      </c>
      <c r="S3841" s="20">
        <v>7.999999999999996E-2</v>
      </c>
      <c r="T3841" s="20"/>
    </row>
    <row r="3842" spans="13:20" x14ac:dyDescent="0.2">
      <c r="M3842" s="20">
        <v>1.1828804506508932E-2</v>
      </c>
      <c r="N3842" s="20">
        <v>1.1876756859996917E-3</v>
      </c>
      <c r="O3842" s="20">
        <v>0.10040538630477493</v>
      </c>
      <c r="P3842" s="20"/>
      <c r="Q3842" s="20">
        <v>0.31</v>
      </c>
      <c r="R3842" s="20">
        <v>0.69000000000000006</v>
      </c>
      <c r="S3842" s="20"/>
      <c r="T3842" s="20"/>
    </row>
    <row r="3843" spans="13:20" x14ac:dyDescent="0.2">
      <c r="M3843" s="20">
        <v>1.070812405201544E-2</v>
      </c>
      <c r="N3843" s="20">
        <v>1.2669327574134507E-3</v>
      </c>
      <c r="O3843" s="20">
        <v>0.11831509900886827</v>
      </c>
      <c r="P3843" s="20">
        <v>0.12</v>
      </c>
      <c r="Q3843" s="20"/>
      <c r="R3843" s="20"/>
      <c r="S3843" s="20">
        <v>0.39</v>
      </c>
      <c r="T3843" s="20">
        <v>0.49</v>
      </c>
    </row>
    <row r="3844" spans="13:20" x14ac:dyDescent="0.2">
      <c r="M3844" s="20">
        <v>1.6360203031018032E-2</v>
      </c>
      <c r="N3844" s="20">
        <v>1.2506038392925494E-3</v>
      </c>
      <c r="O3844" s="20">
        <v>7.6441828803803624E-2</v>
      </c>
      <c r="P3844" s="20"/>
      <c r="Q3844" s="20">
        <v>0.79</v>
      </c>
      <c r="R3844" s="20">
        <v>0.20999999999999996</v>
      </c>
      <c r="S3844" s="20"/>
      <c r="T3844" s="20"/>
    </row>
    <row r="3845" spans="13:20" x14ac:dyDescent="0.2">
      <c r="M3845" s="20">
        <v>1.7001045882918227E-2</v>
      </c>
      <c r="N3845" s="20">
        <v>1.514910347852953E-3</v>
      </c>
      <c r="O3845" s="20">
        <v>8.9106891322201329E-2</v>
      </c>
      <c r="P3845" s="20">
        <v>0.18</v>
      </c>
      <c r="Q3845" s="20">
        <v>0.82000000000000006</v>
      </c>
      <c r="R3845" s="20"/>
      <c r="S3845" s="20"/>
      <c r="T3845" s="20"/>
    </row>
    <row r="3846" spans="13:20" x14ac:dyDescent="0.2">
      <c r="M3846" s="20">
        <v>1.0532846951302608E-2</v>
      </c>
      <c r="N3846" s="20">
        <v>6.6674378786382737E-4</v>
      </c>
      <c r="O3846" s="20">
        <v>6.3301383846783271E-2</v>
      </c>
      <c r="P3846" s="20"/>
      <c r="Q3846" s="20"/>
      <c r="R3846" s="20">
        <v>0.18</v>
      </c>
      <c r="S3846" s="20">
        <v>0.79</v>
      </c>
      <c r="T3846" s="20">
        <v>3.0000000000000027E-2</v>
      </c>
    </row>
    <row r="3847" spans="13:20" x14ac:dyDescent="0.2">
      <c r="M3847" s="20">
        <v>1.4469126985004872E-2</v>
      </c>
      <c r="N3847" s="20">
        <v>2.5540914521911462E-3</v>
      </c>
      <c r="O3847" s="20">
        <v>0.17652007994940452</v>
      </c>
      <c r="P3847" s="20">
        <v>0.97</v>
      </c>
      <c r="Q3847" s="20">
        <v>3.0000000000000138E-2</v>
      </c>
      <c r="R3847" s="20"/>
      <c r="S3847" s="20"/>
      <c r="T3847" s="20"/>
    </row>
    <row r="3848" spans="13:20" x14ac:dyDescent="0.2">
      <c r="M3848" s="20">
        <v>1.0959673036861295E-2</v>
      </c>
      <c r="N3848" s="20">
        <v>1.8834043383218436E-3</v>
      </c>
      <c r="O3848" s="20">
        <v>0.1718485881820819</v>
      </c>
      <c r="P3848" s="20">
        <v>0.5</v>
      </c>
      <c r="Q3848" s="20">
        <v>0.1</v>
      </c>
      <c r="R3848" s="20">
        <v>0.39999999999999991</v>
      </c>
      <c r="S3848" s="20"/>
      <c r="T3848" s="20"/>
    </row>
    <row r="3849" spans="13:20" x14ac:dyDescent="0.2">
      <c r="M3849" s="20">
        <v>1.0336298516812312E-2</v>
      </c>
      <c r="N3849" s="20">
        <v>1.0853291979756861E-3</v>
      </c>
      <c r="O3849" s="20">
        <v>0.10500172728277576</v>
      </c>
      <c r="P3849" s="20"/>
      <c r="Q3849" s="20">
        <v>0.18</v>
      </c>
      <c r="R3849" s="20">
        <v>0.44</v>
      </c>
      <c r="S3849" s="20">
        <v>0.23</v>
      </c>
      <c r="T3849" s="20">
        <v>0.15000000000000002</v>
      </c>
    </row>
    <row r="3850" spans="13:20" x14ac:dyDescent="0.2">
      <c r="M3850" s="20">
        <v>1.8939911045326156E-2</v>
      </c>
      <c r="N3850" s="20">
        <v>1.2912890975523292E-3</v>
      </c>
      <c r="O3850" s="20">
        <v>6.8178202868116614E-2</v>
      </c>
      <c r="P3850" s="20">
        <v>0.01</v>
      </c>
      <c r="Q3850" s="20">
        <v>0.99</v>
      </c>
      <c r="R3850" s="20"/>
      <c r="S3850" s="20"/>
      <c r="T3850" s="20"/>
    </row>
    <row r="3851" spans="13:20" x14ac:dyDescent="0.2">
      <c r="M3851" s="20">
        <v>9.8918302647395054E-3</v>
      </c>
      <c r="N3851" s="20">
        <v>8.225174957458216E-4</v>
      </c>
      <c r="O3851" s="20">
        <v>8.3151193836976139E-2</v>
      </c>
      <c r="P3851" s="20"/>
      <c r="Q3851" s="20"/>
      <c r="R3851" s="20">
        <v>0.09</v>
      </c>
      <c r="S3851" s="20">
        <v>0.67</v>
      </c>
      <c r="T3851" s="20">
        <v>0.24</v>
      </c>
    </row>
    <row r="3852" spans="13:20" x14ac:dyDescent="0.2">
      <c r="M3852" s="20">
        <v>1.1456515705688709E-2</v>
      </c>
      <c r="N3852" s="20">
        <v>1.1396699527820961E-3</v>
      </c>
      <c r="O3852" s="20">
        <v>9.9477885079509401E-2</v>
      </c>
      <c r="P3852" s="20"/>
      <c r="Q3852" s="20"/>
      <c r="R3852" s="20"/>
      <c r="S3852" s="20">
        <v>0.39</v>
      </c>
      <c r="T3852" s="20">
        <v>0.61</v>
      </c>
    </row>
    <row r="3853" spans="13:20" x14ac:dyDescent="0.2">
      <c r="M3853" s="20">
        <v>1.4319271568267724E-2</v>
      </c>
      <c r="N3853" s="20">
        <v>2.5146288786086829E-3</v>
      </c>
      <c r="O3853" s="20">
        <v>0.17561150835222902</v>
      </c>
      <c r="P3853" s="20">
        <v>0.94</v>
      </c>
      <c r="Q3853" s="20">
        <v>0.06</v>
      </c>
      <c r="R3853" s="20">
        <v>0</v>
      </c>
      <c r="S3853" s="20"/>
      <c r="T3853" s="20"/>
    </row>
    <row r="3854" spans="13:20" x14ac:dyDescent="0.2">
      <c r="M3854" s="20">
        <v>1.1050488904892273E-2</v>
      </c>
      <c r="N3854" s="20">
        <v>1.0892390936713835E-3</v>
      </c>
      <c r="O3854" s="20">
        <v>9.8569312457221281E-2</v>
      </c>
      <c r="P3854" s="20"/>
      <c r="Q3854" s="20"/>
      <c r="R3854" s="20"/>
      <c r="S3854" s="20">
        <v>0.44</v>
      </c>
      <c r="T3854" s="20">
        <v>0.55999999999999994</v>
      </c>
    </row>
    <row r="3855" spans="13:20" x14ac:dyDescent="0.2">
      <c r="M3855" s="20">
        <v>1.3102028074088135E-2</v>
      </c>
      <c r="N3855" s="20">
        <v>2.2860022479145019E-3</v>
      </c>
      <c r="O3855" s="20">
        <v>0.17447697676938473</v>
      </c>
      <c r="P3855" s="20">
        <v>0.71</v>
      </c>
      <c r="Q3855" s="20"/>
      <c r="R3855" s="20"/>
      <c r="S3855" s="20"/>
      <c r="T3855" s="20">
        <v>0.28999999999999998</v>
      </c>
    </row>
    <row r="3856" spans="13:20" x14ac:dyDescent="0.2">
      <c r="M3856" s="20">
        <v>1.1759729412393642E-2</v>
      </c>
      <c r="N3856" s="20">
        <v>1.2763980535184E-3</v>
      </c>
      <c r="O3856" s="20">
        <v>0.10853974685618169</v>
      </c>
      <c r="P3856" s="20">
        <v>0.01</v>
      </c>
      <c r="Q3856" s="20">
        <v>0.28000000000000003</v>
      </c>
      <c r="R3856" s="20">
        <v>0.22</v>
      </c>
      <c r="S3856" s="20">
        <v>0.10999999999999999</v>
      </c>
      <c r="T3856" s="20">
        <v>0.38</v>
      </c>
    </row>
    <row r="3857" spans="13:20" x14ac:dyDescent="0.2">
      <c r="M3857" s="20">
        <v>1.2590805776722457E-2</v>
      </c>
      <c r="N3857" s="20">
        <v>1.5462142429948833E-3</v>
      </c>
      <c r="O3857" s="20">
        <v>0.12280502697082997</v>
      </c>
      <c r="P3857" s="20">
        <v>0.16</v>
      </c>
      <c r="Q3857" s="20">
        <v>6.0000000000000053E-2</v>
      </c>
      <c r="R3857" s="20"/>
      <c r="S3857" s="20">
        <v>0.14000000000000001</v>
      </c>
      <c r="T3857" s="20">
        <v>0.64</v>
      </c>
    </row>
    <row r="3858" spans="13:20" x14ac:dyDescent="0.2">
      <c r="M3858" s="20">
        <v>1.3942508844043461E-2</v>
      </c>
      <c r="N3858" s="20">
        <v>2.1068489515898982E-3</v>
      </c>
      <c r="O3858" s="20">
        <v>0.15110974467769403</v>
      </c>
      <c r="P3858" s="20">
        <v>0.63</v>
      </c>
      <c r="Q3858" s="20">
        <v>0.36999999999999988</v>
      </c>
      <c r="R3858" s="20"/>
      <c r="S3858" s="20"/>
      <c r="T3858" s="20"/>
    </row>
    <row r="3859" spans="13:20" x14ac:dyDescent="0.2">
      <c r="M3859" s="20">
        <v>1.4302584555678084E-2</v>
      </c>
      <c r="N3859" s="20">
        <v>1.3918242483356592E-3</v>
      </c>
      <c r="O3859" s="20">
        <v>9.7312778883947168E-2</v>
      </c>
      <c r="P3859" s="20"/>
      <c r="Q3859" s="20"/>
      <c r="R3859" s="20"/>
      <c r="S3859" s="20">
        <v>0.14000000000000001</v>
      </c>
      <c r="T3859" s="20">
        <v>0.85999999999999988</v>
      </c>
    </row>
    <row r="3860" spans="13:20" x14ac:dyDescent="0.2">
      <c r="M3860" s="20">
        <v>1.1368529097034546E-2</v>
      </c>
      <c r="N3860" s="20">
        <v>1.5731961376393246E-3</v>
      </c>
      <c r="O3860" s="20">
        <v>0.13838167842220586</v>
      </c>
      <c r="P3860" s="20">
        <v>0.17</v>
      </c>
      <c r="Q3860" s="20">
        <v>0.05</v>
      </c>
      <c r="R3860" s="20">
        <v>0.32999999999999985</v>
      </c>
      <c r="S3860" s="20"/>
      <c r="T3860" s="20">
        <v>0.45</v>
      </c>
    </row>
    <row r="3861" spans="13:20" x14ac:dyDescent="0.2">
      <c r="M3861" s="20">
        <v>1.081801496566873E-2</v>
      </c>
      <c r="N3861" s="20">
        <v>1.5978931380919606E-3</v>
      </c>
      <c r="O3861" s="20">
        <v>0.14770668585345081</v>
      </c>
      <c r="P3861" s="20">
        <v>0.29000000000000004</v>
      </c>
      <c r="Q3861" s="20"/>
      <c r="R3861" s="20">
        <v>0.08</v>
      </c>
      <c r="S3861" s="20">
        <v>0.21</v>
      </c>
      <c r="T3861" s="20">
        <v>0.42</v>
      </c>
    </row>
    <row r="3862" spans="13:20" x14ac:dyDescent="0.2">
      <c r="M3862" s="20">
        <v>1.0616555562408911E-2</v>
      </c>
      <c r="N3862" s="20">
        <v>1.3644391544197787E-3</v>
      </c>
      <c r="O3862" s="20">
        <v>0.12851994664361607</v>
      </c>
      <c r="P3862" s="20">
        <v>0.35</v>
      </c>
      <c r="Q3862" s="20">
        <v>6.0000000000000053E-2</v>
      </c>
      <c r="R3862" s="20"/>
      <c r="S3862" s="20">
        <v>0.52</v>
      </c>
      <c r="T3862" s="20">
        <v>7.0000000000000007E-2</v>
      </c>
    </row>
    <row r="3863" spans="13:20" x14ac:dyDescent="0.2">
      <c r="M3863" s="20">
        <v>1.160846352978793E-2</v>
      </c>
      <c r="N3863" s="20">
        <v>9.9837101271590847E-4</v>
      </c>
      <c r="O3863" s="20">
        <v>8.6003717042659078E-2</v>
      </c>
      <c r="P3863" s="20">
        <v>0.06</v>
      </c>
      <c r="Q3863" s="20">
        <v>0.25000000000000011</v>
      </c>
      <c r="R3863" s="20"/>
      <c r="S3863" s="20">
        <v>0.53</v>
      </c>
      <c r="T3863" s="20">
        <v>0.16</v>
      </c>
    </row>
    <row r="3864" spans="13:20" x14ac:dyDescent="0.2">
      <c r="M3864" s="20">
        <v>1.4961254683134249E-2</v>
      </c>
      <c r="N3864" s="20">
        <v>1.2348718009693349E-3</v>
      </c>
      <c r="O3864" s="20">
        <v>8.2537984087751676E-2</v>
      </c>
      <c r="P3864" s="20"/>
      <c r="Q3864" s="20">
        <v>0.67</v>
      </c>
      <c r="R3864" s="20">
        <v>0.32999999999999985</v>
      </c>
      <c r="S3864" s="20"/>
      <c r="T3864" s="20"/>
    </row>
    <row r="3865" spans="13:20" x14ac:dyDescent="0.2">
      <c r="M3865" s="20">
        <v>1.4442119867290834E-2</v>
      </c>
      <c r="N3865" s="20">
        <v>1.7557405619505252E-3</v>
      </c>
      <c r="O3865" s="20">
        <v>0.12157083434316354</v>
      </c>
      <c r="P3865" s="20">
        <v>0.20999999999999996</v>
      </c>
      <c r="Q3865" s="20"/>
      <c r="R3865" s="20"/>
      <c r="S3865" s="20"/>
      <c r="T3865" s="20">
        <v>0.79</v>
      </c>
    </row>
    <row r="3866" spans="13:20" x14ac:dyDescent="0.2">
      <c r="M3866" s="20">
        <v>1.173168909334195E-2</v>
      </c>
      <c r="N3866" s="20">
        <v>1.1076162522669067E-3</v>
      </c>
      <c r="O3866" s="20">
        <v>9.4412342796870455E-2</v>
      </c>
      <c r="P3866" s="20"/>
      <c r="Q3866" s="20">
        <v>0.35</v>
      </c>
      <c r="R3866" s="20">
        <v>0.27</v>
      </c>
      <c r="S3866" s="20">
        <v>0.23</v>
      </c>
      <c r="T3866" s="20">
        <v>0.15000000000000002</v>
      </c>
    </row>
    <row r="3867" spans="13:20" x14ac:dyDescent="0.2">
      <c r="M3867" s="20">
        <v>1.0277124983559493E-2</v>
      </c>
      <c r="N3867" s="20">
        <v>8.3015542778974087E-4</v>
      </c>
      <c r="O3867" s="20">
        <v>8.0777010021553283E-2</v>
      </c>
      <c r="P3867" s="20"/>
      <c r="Q3867" s="20">
        <v>0.1</v>
      </c>
      <c r="R3867" s="20">
        <v>0.37</v>
      </c>
      <c r="S3867" s="20">
        <v>0.53</v>
      </c>
      <c r="T3867" s="20"/>
    </row>
    <row r="3868" spans="13:20" x14ac:dyDescent="0.2">
      <c r="M3868" s="20">
        <v>1.3216752458181697E-2</v>
      </c>
      <c r="N3868" s="20">
        <v>1.5018886344332254E-3</v>
      </c>
      <c r="O3868" s="20">
        <v>0.11363522462762751</v>
      </c>
      <c r="P3868" s="20">
        <v>0.2</v>
      </c>
      <c r="Q3868" s="20">
        <v>0.5</v>
      </c>
      <c r="R3868" s="20">
        <v>0.3</v>
      </c>
      <c r="S3868" s="20">
        <v>1.1102230246251565E-16</v>
      </c>
      <c r="T3868" s="20"/>
    </row>
    <row r="3869" spans="13:20" x14ac:dyDescent="0.2">
      <c r="M3869" s="20">
        <v>1.1465526401222935E-2</v>
      </c>
      <c r="N3869" s="20">
        <v>1.9358055394017382E-3</v>
      </c>
      <c r="O3869" s="20">
        <v>0.16883703998058575</v>
      </c>
      <c r="P3869" s="20">
        <v>0.56999999999999995</v>
      </c>
      <c r="Q3869" s="20"/>
      <c r="R3869" s="20"/>
      <c r="S3869" s="20">
        <v>0.2</v>
      </c>
      <c r="T3869" s="20">
        <v>0.23</v>
      </c>
    </row>
    <row r="3870" spans="13:20" x14ac:dyDescent="0.2">
      <c r="M3870" s="20">
        <v>1.0029055968474527E-2</v>
      </c>
      <c r="N3870" s="20">
        <v>1.0162841527710574E-3</v>
      </c>
      <c r="O3870" s="20">
        <v>0.10133397958548233</v>
      </c>
      <c r="P3870" s="20"/>
      <c r="Q3870" s="20"/>
      <c r="R3870" s="20">
        <v>0.79</v>
      </c>
      <c r="S3870" s="20">
        <v>0.20999999999999996</v>
      </c>
      <c r="T3870" s="20"/>
    </row>
    <row r="3871" spans="13:20" x14ac:dyDescent="0.2">
      <c r="M3871" s="20">
        <v>9.6744262022383284E-3</v>
      </c>
      <c r="N3871" s="20">
        <v>9.5788200190286845E-4</v>
      </c>
      <c r="O3871" s="20">
        <v>9.901176378618172E-2</v>
      </c>
      <c r="P3871" s="20"/>
      <c r="Q3871" s="20"/>
      <c r="R3871" s="20">
        <v>0.68</v>
      </c>
      <c r="S3871" s="20">
        <v>0.31</v>
      </c>
      <c r="T3871" s="20">
        <v>1.000000000000012E-2</v>
      </c>
    </row>
    <row r="3872" spans="13:20" x14ac:dyDescent="0.2">
      <c r="M3872" s="20">
        <v>9.9903983160641897E-3</v>
      </c>
      <c r="N3872" s="20">
        <v>1.0100579416173908E-3</v>
      </c>
      <c r="O3872" s="20">
        <v>0.10110286994195768</v>
      </c>
      <c r="P3872" s="20"/>
      <c r="Q3872" s="20"/>
      <c r="R3872" s="20">
        <v>0.78</v>
      </c>
      <c r="S3872" s="20">
        <v>0.21999999999999997</v>
      </c>
      <c r="T3872" s="20"/>
    </row>
    <row r="3873" spans="13:20" x14ac:dyDescent="0.2">
      <c r="M3873" s="20">
        <v>1.5866553679481782E-2</v>
      </c>
      <c r="N3873" s="20">
        <v>1.5175765134982978E-3</v>
      </c>
      <c r="O3873" s="20">
        <v>9.5646259682768325E-2</v>
      </c>
      <c r="P3873" s="20">
        <v>0.19</v>
      </c>
      <c r="Q3873" s="20">
        <v>0.73</v>
      </c>
      <c r="R3873" s="20">
        <v>7.999999999999996E-2</v>
      </c>
      <c r="S3873" s="20"/>
      <c r="T3873" s="20"/>
    </row>
    <row r="3874" spans="13:20" x14ac:dyDescent="0.2">
      <c r="M3874" s="20">
        <v>1.2067572614904586E-2</v>
      </c>
      <c r="N3874" s="20">
        <v>2.0361923550080169E-3</v>
      </c>
      <c r="O3874" s="20">
        <v>0.16873255458957237</v>
      </c>
      <c r="P3874" s="20">
        <v>0.65</v>
      </c>
      <c r="Q3874" s="20">
        <v>0.11</v>
      </c>
      <c r="R3874" s="20">
        <v>6.999999999999984E-2</v>
      </c>
      <c r="S3874" s="20">
        <v>0.13</v>
      </c>
      <c r="T3874" s="20">
        <v>0.04</v>
      </c>
    </row>
    <row r="3875" spans="13:20" x14ac:dyDescent="0.2">
      <c r="M3875" s="20">
        <v>9.8839769893505937E-3</v>
      </c>
      <c r="N3875" s="20">
        <v>9.9137930815639116E-4</v>
      </c>
      <c r="O3875" s="20">
        <v>0.10030166088251159</v>
      </c>
      <c r="P3875" s="20"/>
      <c r="Q3875" s="20"/>
      <c r="R3875" s="20">
        <v>0.75</v>
      </c>
      <c r="S3875" s="20">
        <v>0.25</v>
      </c>
      <c r="T3875" s="20"/>
    </row>
    <row r="3876" spans="13:20" x14ac:dyDescent="0.2">
      <c r="M3876" s="20">
        <v>1.1827437033241114E-2</v>
      </c>
      <c r="N3876" s="20">
        <v>1.1800146400706662E-3</v>
      </c>
      <c r="O3876" s="20">
        <v>9.976925996344134E-2</v>
      </c>
      <c r="P3876" s="20">
        <v>0</v>
      </c>
      <c r="Q3876" s="20"/>
      <c r="R3876" s="20"/>
      <c r="S3876" s="20">
        <v>0.35</v>
      </c>
      <c r="T3876" s="20">
        <v>0.65</v>
      </c>
    </row>
    <row r="3877" spans="13:20" x14ac:dyDescent="0.2">
      <c r="M3877" s="20">
        <v>1.4058452305471729E-2</v>
      </c>
      <c r="N3877" s="20">
        <v>1.5809202750161852E-3</v>
      </c>
      <c r="O3877" s="20">
        <v>0.1124533654676106</v>
      </c>
      <c r="P3877" s="20">
        <v>0.09</v>
      </c>
      <c r="Q3877" s="20">
        <v>0.02</v>
      </c>
      <c r="R3877" s="20">
        <v>0.1100000000000001</v>
      </c>
      <c r="S3877" s="20"/>
      <c r="T3877" s="20">
        <v>0.78</v>
      </c>
    </row>
    <row r="3878" spans="13:20" x14ac:dyDescent="0.2">
      <c r="M3878" s="20">
        <v>1.0708211544466823E-2</v>
      </c>
      <c r="N3878" s="20">
        <v>1.4872926118247717E-3</v>
      </c>
      <c r="O3878" s="20">
        <v>0.13889271851313861</v>
      </c>
      <c r="P3878" s="20">
        <v>0.21</v>
      </c>
      <c r="Q3878" s="20">
        <v>0.19000000000000006</v>
      </c>
      <c r="R3878" s="20">
        <v>0.56999999999999995</v>
      </c>
      <c r="S3878" s="20">
        <v>0</v>
      </c>
      <c r="T3878" s="20">
        <v>0.03</v>
      </c>
    </row>
    <row r="3879" spans="13:20" x14ac:dyDescent="0.2">
      <c r="M3879" s="20">
        <v>1.3328409332368821E-2</v>
      </c>
      <c r="N3879" s="20">
        <v>1.6724437729192174E-3</v>
      </c>
      <c r="O3879" s="20">
        <v>0.12547962260264547</v>
      </c>
      <c r="P3879" s="20">
        <v>0.23</v>
      </c>
      <c r="Q3879" s="20">
        <v>0.41000000000000003</v>
      </c>
      <c r="R3879" s="20"/>
      <c r="S3879" s="20"/>
      <c r="T3879" s="20">
        <v>0.36</v>
      </c>
    </row>
    <row r="3880" spans="13:20" x14ac:dyDescent="0.2">
      <c r="M3880" s="20">
        <v>1.8794551774568874E-2</v>
      </c>
      <c r="N3880" s="20">
        <v>1.2755128999709724E-3</v>
      </c>
      <c r="O3880" s="20">
        <v>6.7866098392241725E-2</v>
      </c>
      <c r="P3880" s="20"/>
      <c r="Q3880" s="20">
        <v>0.98</v>
      </c>
      <c r="R3880" s="20">
        <v>2.0000000000000018E-2</v>
      </c>
      <c r="S3880" s="20"/>
      <c r="T3880" s="20"/>
    </row>
    <row r="3881" spans="13:20" x14ac:dyDescent="0.2">
      <c r="M3881" s="20">
        <v>1.3077945144471977E-2</v>
      </c>
      <c r="N3881" s="20">
        <v>2.2753970141952229E-3</v>
      </c>
      <c r="O3881" s="20">
        <v>0.1739873496225077</v>
      </c>
      <c r="P3881" s="20">
        <v>0.70000000000000007</v>
      </c>
      <c r="Q3881" s="20"/>
      <c r="R3881" s="20"/>
      <c r="S3881" s="20"/>
      <c r="T3881" s="20">
        <v>0.3</v>
      </c>
    </row>
    <row r="3882" spans="13:20" x14ac:dyDescent="0.2">
      <c r="M3882" s="20">
        <v>1.0678381654700331E-2</v>
      </c>
      <c r="N3882" s="20">
        <v>6.958783926078253E-4</v>
      </c>
      <c r="O3882" s="20">
        <v>6.5167027655498602E-2</v>
      </c>
      <c r="P3882" s="20"/>
      <c r="Q3882" s="20"/>
      <c r="R3882" s="20"/>
      <c r="S3882" s="20">
        <v>0.83</v>
      </c>
      <c r="T3882" s="20">
        <v>0.17000000000000004</v>
      </c>
    </row>
    <row r="3883" spans="13:20" x14ac:dyDescent="0.2">
      <c r="M3883" s="20">
        <v>9.5875674124176486E-3</v>
      </c>
      <c r="N3883" s="20">
        <v>9.0421235200506002E-4</v>
      </c>
      <c r="O3883" s="20">
        <v>9.4310925087623385E-2</v>
      </c>
      <c r="P3883" s="20"/>
      <c r="Q3883" s="20"/>
      <c r="R3883" s="20">
        <v>0.61</v>
      </c>
      <c r="S3883" s="20">
        <v>0.39</v>
      </c>
      <c r="T3883" s="20"/>
    </row>
    <row r="3884" spans="13:20" x14ac:dyDescent="0.2">
      <c r="M3884" s="20">
        <v>1.1225745175983059E-2</v>
      </c>
      <c r="N3884" s="20">
        <v>1.5566124349933597E-3</v>
      </c>
      <c r="O3884" s="20">
        <v>0.13866450828793592</v>
      </c>
      <c r="P3884" s="20">
        <v>0.26</v>
      </c>
      <c r="Q3884" s="20"/>
      <c r="R3884" s="20"/>
      <c r="S3884" s="20">
        <v>0.25</v>
      </c>
      <c r="T3884" s="20">
        <v>0.49</v>
      </c>
    </row>
    <row r="3885" spans="13:20" x14ac:dyDescent="0.2">
      <c r="M3885" s="20">
        <v>1.516744641352482E-2</v>
      </c>
      <c r="N3885" s="20">
        <v>1.6602934584770096E-3</v>
      </c>
      <c r="O3885" s="20">
        <v>0.10946427059709438</v>
      </c>
      <c r="P3885" s="20">
        <v>0.12000000000000011</v>
      </c>
      <c r="Q3885" s="20"/>
      <c r="R3885" s="20"/>
      <c r="S3885" s="20"/>
      <c r="T3885" s="20">
        <v>0.88</v>
      </c>
    </row>
    <row r="3886" spans="13:20" x14ac:dyDescent="0.2">
      <c r="M3886" s="20">
        <v>1.0820911438911117E-2</v>
      </c>
      <c r="N3886" s="20">
        <v>1.6337441262564254E-3</v>
      </c>
      <c r="O3886" s="20">
        <v>0.15098026959001018</v>
      </c>
      <c r="P3886" s="20">
        <v>0.39</v>
      </c>
      <c r="Q3886" s="20">
        <v>0.08</v>
      </c>
      <c r="R3886" s="20">
        <v>0</v>
      </c>
      <c r="S3886" s="20">
        <v>0.29000000000000004</v>
      </c>
      <c r="T3886" s="20">
        <v>0.24</v>
      </c>
    </row>
    <row r="3887" spans="13:20" x14ac:dyDescent="0.2">
      <c r="M3887" s="20">
        <v>1.3501322527238957E-2</v>
      </c>
      <c r="N3887" s="20">
        <v>2.402659818826577E-3</v>
      </c>
      <c r="O3887" s="20">
        <v>0.17795736780446536</v>
      </c>
      <c r="P3887" s="20">
        <v>0.82</v>
      </c>
      <c r="Q3887" s="20">
        <v>0</v>
      </c>
      <c r="R3887" s="20"/>
      <c r="S3887" s="20"/>
      <c r="T3887" s="20">
        <v>0.18</v>
      </c>
    </row>
    <row r="3888" spans="13:20" x14ac:dyDescent="0.2">
      <c r="M3888" s="20">
        <v>1.5820101447643793E-2</v>
      </c>
      <c r="N3888" s="20">
        <v>1.3495057156546692E-3</v>
      </c>
      <c r="O3888" s="20">
        <v>8.5303227676562163E-2</v>
      </c>
      <c r="P3888" s="20">
        <v>0</v>
      </c>
      <c r="Q3888" s="20">
        <v>0.72</v>
      </c>
      <c r="R3888" s="20"/>
      <c r="S3888" s="20"/>
      <c r="T3888" s="20">
        <v>0.28000000000000003</v>
      </c>
    </row>
    <row r="3889" spans="13:20" x14ac:dyDescent="0.2">
      <c r="M3889" s="20">
        <v>1.3874442384911178E-2</v>
      </c>
      <c r="N3889" s="20">
        <v>1.9292894500978859E-3</v>
      </c>
      <c r="O3889" s="20">
        <v>0.13905347664249476</v>
      </c>
      <c r="P3889" s="20">
        <v>0.5</v>
      </c>
      <c r="Q3889" s="20">
        <v>0.45</v>
      </c>
      <c r="R3889" s="20">
        <v>5.0000000000000044E-2</v>
      </c>
      <c r="S3889" s="20"/>
      <c r="T3889" s="20"/>
    </row>
    <row r="3890" spans="13:20" x14ac:dyDescent="0.2">
      <c r="M3890" s="20">
        <v>1.1766506833316757E-2</v>
      </c>
      <c r="N3890" s="20">
        <v>5.5467198709782998E-4</v>
      </c>
      <c r="O3890" s="20">
        <v>4.713990268779527E-2</v>
      </c>
      <c r="P3890" s="20"/>
      <c r="Q3890" s="20"/>
      <c r="R3890" s="20"/>
      <c r="S3890" s="20">
        <v>0.97</v>
      </c>
      <c r="T3890" s="20">
        <v>3.0000000000000027E-2</v>
      </c>
    </row>
    <row r="3891" spans="13:20" x14ac:dyDescent="0.2">
      <c r="M3891" s="20">
        <v>1.0415942127796311E-2</v>
      </c>
      <c r="N3891" s="20">
        <v>8.5563665000414806E-4</v>
      </c>
      <c r="O3891" s="20">
        <v>8.2146832183405585E-2</v>
      </c>
      <c r="P3891" s="20">
        <v>0.02</v>
      </c>
      <c r="Q3891" s="20">
        <v>4.9999999999999822E-2</v>
      </c>
      <c r="R3891" s="20"/>
      <c r="S3891" s="20">
        <v>0.68</v>
      </c>
      <c r="T3891" s="20">
        <v>0.25</v>
      </c>
    </row>
    <row r="3892" spans="13:20" x14ac:dyDescent="0.2">
      <c r="M3892" s="20">
        <v>1.7230052311804852E-2</v>
      </c>
      <c r="N3892" s="20">
        <v>1.259780861647758E-3</v>
      </c>
      <c r="O3892" s="20">
        <v>7.3115324251490657E-2</v>
      </c>
      <c r="P3892" s="20"/>
      <c r="Q3892" s="20">
        <v>0.86</v>
      </c>
      <c r="R3892" s="20">
        <v>0.1399999999999999</v>
      </c>
      <c r="S3892" s="20"/>
      <c r="T3892" s="20"/>
    </row>
    <row r="3893" spans="13:20" x14ac:dyDescent="0.2">
      <c r="M3893" s="20">
        <v>1.3882356534975663E-2</v>
      </c>
      <c r="N3893" s="20">
        <v>2.1463115251723615E-3</v>
      </c>
      <c r="O3893" s="20">
        <v>0.15460714611131574</v>
      </c>
      <c r="P3893" s="20">
        <v>0.66</v>
      </c>
      <c r="Q3893" s="20">
        <v>0.34000000000000008</v>
      </c>
      <c r="R3893" s="20"/>
      <c r="S3893" s="20"/>
      <c r="T3893" s="20"/>
    </row>
    <row r="3894" spans="13:20" x14ac:dyDescent="0.2">
      <c r="M3894" s="20">
        <v>9.6544161042757554E-3</v>
      </c>
      <c r="N3894" s="20">
        <v>9.3534340777339268E-4</v>
      </c>
      <c r="O3894" s="20">
        <v>9.6882441948938483E-2</v>
      </c>
      <c r="P3894" s="20"/>
      <c r="Q3894" s="20"/>
      <c r="R3894" s="20">
        <v>0.66</v>
      </c>
      <c r="S3894" s="20">
        <v>0.33999999999999986</v>
      </c>
      <c r="T3894" s="20"/>
    </row>
    <row r="3895" spans="13:20" x14ac:dyDescent="0.2">
      <c r="M3895" s="20">
        <v>1.4076638263943286E-2</v>
      </c>
      <c r="N3895" s="20">
        <v>2.4357037314437571E-3</v>
      </c>
      <c r="O3895" s="20">
        <v>0.17303163481033032</v>
      </c>
      <c r="P3895" s="20">
        <v>0.88</v>
      </c>
      <c r="Q3895" s="20">
        <v>0.12</v>
      </c>
      <c r="R3895" s="20"/>
      <c r="S3895" s="20"/>
      <c r="T3895" s="20"/>
    </row>
    <row r="3896" spans="13:20" x14ac:dyDescent="0.2">
      <c r="M3896" s="20">
        <v>1.0258850148799395E-2</v>
      </c>
      <c r="N3896" s="20">
        <v>9.278603445171034E-4</v>
      </c>
      <c r="O3896" s="20">
        <v>9.0444867705343365E-2</v>
      </c>
      <c r="P3896" s="20"/>
      <c r="Q3896" s="20"/>
      <c r="R3896" s="20"/>
      <c r="S3896" s="20">
        <v>0.6</v>
      </c>
      <c r="T3896" s="20">
        <v>0.40000000000000013</v>
      </c>
    </row>
    <row r="3897" spans="13:20" x14ac:dyDescent="0.2">
      <c r="M3897" s="20">
        <v>1.0392937603379624E-2</v>
      </c>
      <c r="N3897" s="20">
        <v>1.0660938420003895E-3</v>
      </c>
      <c r="O3897" s="20">
        <v>0.10257868205171483</v>
      </c>
      <c r="P3897" s="20"/>
      <c r="Q3897" s="20"/>
      <c r="R3897" s="20">
        <v>0.87</v>
      </c>
      <c r="S3897" s="20">
        <v>0.13000000000000012</v>
      </c>
      <c r="T3897" s="20"/>
    </row>
    <row r="3898" spans="13:20" x14ac:dyDescent="0.2">
      <c r="M3898" s="20">
        <v>1.0912978398749273E-2</v>
      </c>
      <c r="N3898" s="20">
        <v>6.2403285009006665E-4</v>
      </c>
      <c r="O3898" s="20">
        <v>5.7182634042562255E-2</v>
      </c>
      <c r="P3898" s="20"/>
      <c r="Q3898" s="20"/>
      <c r="R3898" s="20">
        <v>0.16</v>
      </c>
      <c r="S3898" s="20">
        <v>0.84</v>
      </c>
      <c r="T3898" s="20"/>
    </row>
    <row r="3899" spans="13:20" x14ac:dyDescent="0.2">
      <c r="M3899" s="20">
        <v>1.0569640821757332E-2</v>
      </c>
      <c r="N3899" s="20">
        <v>7.1605073625211025E-4</v>
      </c>
      <c r="O3899" s="20">
        <v>6.7745985727172331E-2</v>
      </c>
      <c r="P3899" s="20"/>
      <c r="Q3899" s="20"/>
      <c r="R3899" s="20"/>
      <c r="S3899" s="20">
        <v>0.81</v>
      </c>
      <c r="T3899" s="20">
        <v>0.18999999999999995</v>
      </c>
    </row>
    <row r="3900" spans="13:20" x14ac:dyDescent="0.2">
      <c r="M3900" s="20">
        <v>1.2177846099263992E-2</v>
      </c>
      <c r="N3900" s="20">
        <v>1.0349712183595706E-3</v>
      </c>
      <c r="O3900" s="20">
        <v>8.4988035644671389E-2</v>
      </c>
      <c r="P3900" s="20"/>
      <c r="Q3900" s="20">
        <v>0.38</v>
      </c>
      <c r="R3900" s="20">
        <v>0.36</v>
      </c>
      <c r="S3900" s="20">
        <v>0.26</v>
      </c>
      <c r="T3900" s="20"/>
    </row>
    <row r="3901" spans="13:20" x14ac:dyDescent="0.2">
      <c r="M3901" s="20">
        <v>1.0700241262659532E-2</v>
      </c>
      <c r="N3901" s="20">
        <v>1.4152299458811189E-3</v>
      </c>
      <c r="O3901" s="20">
        <v>0.13226149870282131</v>
      </c>
      <c r="P3901" s="20">
        <v>0.17</v>
      </c>
      <c r="Q3901" s="20">
        <v>0.17</v>
      </c>
      <c r="R3901" s="20">
        <v>0.65999999999999992</v>
      </c>
      <c r="S3901" s="20"/>
      <c r="T3901" s="20"/>
    </row>
    <row r="3902" spans="13:20" x14ac:dyDescent="0.2">
      <c r="M3902" s="20">
        <v>1.1918023109414609E-2</v>
      </c>
      <c r="N3902" s="20">
        <v>1.2220835320315895E-3</v>
      </c>
      <c r="O3902" s="20">
        <v>0.10254079227839455</v>
      </c>
      <c r="P3902" s="20">
        <v>7.0000000000000007E-2</v>
      </c>
      <c r="Q3902" s="20">
        <v>0.37</v>
      </c>
      <c r="R3902" s="20">
        <v>0.44</v>
      </c>
      <c r="S3902" s="20">
        <v>0.11999999999999988</v>
      </c>
      <c r="T3902" s="20"/>
    </row>
    <row r="3903" spans="13:20" x14ac:dyDescent="0.2">
      <c r="M3903" s="20">
        <v>1.4444830592726981E-2</v>
      </c>
      <c r="N3903" s="20">
        <v>1.4937924149705868E-3</v>
      </c>
      <c r="O3903" s="20">
        <v>0.103413633367408</v>
      </c>
      <c r="P3903" s="20">
        <v>0.1</v>
      </c>
      <c r="Q3903" s="20">
        <v>0.57000000000000006</v>
      </c>
      <c r="R3903" s="20"/>
      <c r="S3903" s="20"/>
      <c r="T3903" s="20">
        <v>0.33</v>
      </c>
    </row>
    <row r="3904" spans="13:20" x14ac:dyDescent="0.2">
      <c r="M3904" s="20">
        <v>1.4850768084664567E-2</v>
      </c>
      <c r="N3904" s="20">
        <v>1.2335607977757338E-3</v>
      </c>
      <c r="O3904" s="20">
        <v>8.3063770893409397E-2</v>
      </c>
      <c r="P3904" s="20"/>
      <c r="Q3904" s="20">
        <v>0.66</v>
      </c>
      <c r="R3904" s="20">
        <v>0.33999999999999997</v>
      </c>
      <c r="S3904" s="20"/>
      <c r="T3904" s="20"/>
    </row>
    <row r="3905" spans="13:20" x14ac:dyDescent="0.2">
      <c r="M3905" s="20">
        <v>1.5879871097141299E-2</v>
      </c>
      <c r="N3905" s="20">
        <v>1.2453598265181446E-3</v>
      </c>
      <c r="O3905" s="20">
        <v>7.8423799469149028E-2</v>
      </c>
      <c r="P3905" s="20"/>
      <c r="Q3905" s="20">
        <v>0.75</v>
      </c>
      <c r="R3905" s="20">
        <v>0.24999999999999989</v>
      </c>
      <c r="S3905" s="20"/>
      <c r="T3905" s="20"/>
    </row>
    <row r="3906" spans="13:20" x14ac:dyDescent="0.2">
      <c r="M3906" s="20">
        <v>1.3529280085766303E-2</v>
      </c>
      <c r="N3906" s="20">
        <v>1.7752208795537702E-3</v>
      </c>
      <c r="O3906" s="20">
        <v>0.13121325512518731</v>
      </c>
      <c r="P3906" s="20">
        <v>0.25</v>
      </c>
      <c r="Q3906" s="20">
        <v>9.000000000000008E-2</v>
      </c>
      <c r="R3906" s="20"/>
      <c r="S3906" s="20"/>
      <c r="T3906" s="20">
        <v>0.66</v>
      </c>
    </row>
    <row r="3907" spans="13:20" x14ac:dyDescent="0.2">
      <c r="M3907" s="20">
        <v>1.473750686480667E-2</v>
      </c>
      <c r="N3907" s="20">
        <v>1.6643779232944594E-3</v>
      </c>
      <c r="O3907" s="20">
        <v>0.11293483616750757</v>
      </c>
      <c r="P3907" s="20">
        <v>0.33</v>
      </c>
      <c r="Q3907" s="20">
        <v>0.59</v>
      </c>
      <c r="R3907" s="20">
        <v>0.02</v>
      </c>
      <c r="S3907" s="20">
        <v>6.0000000000000053E-2</v>
      </c>
      <c r="T3907" s="20"/>
    </row>
    <row r="3908" spans="13:20" x14ac:dyDescent="0.2">
      <c r="M3908" s="20">
        <v>1.4244000335516106E-2</v>
      </c>
      <c r="N3908" s="20">
        <v>1.9884612308425096E-3</v>
      </c>
      <c r="O3908" s="20">
        <v>0.13959991463103691</v>
      </c>
      <c r="P3908" s="20">
        <v>0.54</v>
      </c>
      <c r="Q3908" s="20">
        <v>0.45999999999999996</v>
      </c>
      <c r="R3908" s="20"/>
      <c r="S3908" s="20"/>
      <c r="T3908" s="20"/>
    </row>
    <row r="3909" spans="13:20" x14ac:dyDescent="0.2">
      <c r="M3909" s="20">
        <v>1.148402590189606E-2</v>
      </c>
      <c r="N3909" s="20">
        <v>1.1784986636444832E-3</v>
      </c>
      <c r="O3909" s="20">
        <v>0.10262069014054628</v>
      </c>
      <c r="P3909" s="20"/>
      <c r="Q3909" s="20">
        <v>0.24</v>
      </c>
      <c r="R3909" s="20">
        <v>0.76000000000000012</v>
      </c>
      <c r="S3909" s="20"/>
      <c r="T3909" s="20"/>
    </row>
    <row r="3910" spans="13:20" x14ac:dyDescent="0.2">
      <c r="M3910" s="20">
        <v>9.2989298434311488E-3</v>
      </c>
      <c r="N3910" s="20">
        <v>9.7194656343381806E-4</v>
      </c>
      <c r="O3910" s="20">
        <v>0.104522410621305</v>
      </c>
      <c r="P3910" s="20"/>
      <c r="Q3910" s="20"/>
      <c r="R3910" s="20">
        <v>0.33</v>
      </c>
      <c r="S3910" s="20">
        <v>0.43</v>
      </c>
      <c r="T3910" s="20">
        <v>0.24</v>
      </c>
    </row>
    <row r="3911" spans="13:20" x14ac:dyDescent="0.2">
      <c r="M3911" s="20">
        <v>1.6360203031018029E-2</v>
      </c>
      <c r="N3911" s="20">
        <v>1.2506038392925494E-3</v>
      </c>
      <c r="O3911" s="20">
        <v>7.6441828803803624E-2</v>
      </c>
      <c r="P3911" s="20"/>
      <c r="Q3911" s="20">
        <v>0.79</v>
      </c>
      <c r="R3911" s="20">
        <v>0.20999999999999985</v>
      </c>
      <c r="S3911" s="20"/>
      <c r="T3911" s="20"/>
    </row>
    <row r="3912" spans="13:20" x14ac:dyDescent="0.2">
      <c r="M3912" s="20">
        <v>1.3876782910384538E-2</v>
      </c>
      <c r="N3912" s="20">
        <v>2.476896454861534E-3</v>
      </c>
      <c r="O3912" s="20">
        <v>0.17849212392073785</v>
      </c>
      <c r="P3912" s="20">
        <v>0.89</v>
      </c>
      <c r="Q3912" s="20">
        <v>0</v>
      </c>
      <c r="R3912" s="20"/>
      <c r="S3912" s="20"/>
      <c r="T3912" s="20">
        <v>0.11</v>
      </c>
    </row>
    <row r="3913" spans="13:20" x14ac:dyDescent="0.2">
      <c r="M3913" s="20">
        <v>1.0424824514258444E-2</v>
      </c>
      <c r="N3913" s="20">
        <v>1.5452641436004037E-3</v>
      </c>
      <c r="O3913" s="20">
        <v>0.14822927153228188</v>
      </c>
      <c r="P3913" s="20">
        <v>0.42999999999999983</v>
      </c>
      <c r="Q3913" s="20"/>
      <c r="R3913" s="20"/>
      <c r="S3913" s="20">
        <v>0.44</v>
      </c>
      <c r="T3913" s="20">
        <v>0.13</v>
      </c>
    </row>
    <row r="3914" spans="13:20" x14ac:dyDescent="0.2">
      <c r="M3914" s="20">
        <v>1.3500229022541547E-2</v>
      </c>
      <c r="N3914" s="20">
        <v>9.7547202311204821E-4</v>
      </c>
      <c r="O3914" s="20">
        <v>7.2255961101347757E-2</v>
      </c>
      <c r="P3914" s="20">
        <v>0.03</v>
      </c>
      <c r="Q3914" s="20">
        <v>0.44999999999999984</v>
      </c>
      <c r="R3914" s="20">
        <v>0.08</v>
      </c>
      <c r="S3914" s="20">
        <v>0.44</v>
      </c>
      <c r="T3914" s="20">
        <v>0</v>
      </c>
    </row>
    <row r="3915" spans="13:20" x14ac:dyDescent="0.2">
      <c r="M3915" s="20">
        <v>1.2017019621364759E-2</v>
      </c>
      <c r="N3915" s="20">
        <v>9.6736973371614301E-4</v>
      </c>
      <c r="O3915" s="20">
        <v>8.0499971223836606E-2</v>
      </c>
      <c r="P3915" s="20">
        <v>0.05</v>
      </c>
      <c r="Q3915" s="20">
        <v>0.31</v>
      </c>
      <c r="R3915" s="20">
        <v>0.17</v>
      </c>
      <c r="S3915" s="20">
        <v>0.47</v>
      </c>
      <c r="T3915" s="20"/>
    </row>
    <row r="3916" spans="13:20" x14ac:dyDescent="0.2">
      <c r="M3916" s="20">
        <v>1.5904108076560286E-2</v>
      </c>
      <c r="N3916" s="20">
        <v>1.5754515887227729E-3</v>
      </c>
      <c r="O3916" s="20">
        <v>9.905941163998358E-2</v>
      </c>
      <c r="P3916" s="20">
        <v>4.0000000000000036E-2</v>
      </c>
      <c r="Q3916" s="20"/>
      <c r="R3916" s="20"/>
      <c r="S3916" s="20"/>
      <c r="T3916" s="20">
        <v>0.96</v>
      </c>
    </row>
    <row r="3917" spans="13:20" x14ac:dyDescent="0.2">
      <c r="M3917" s="20">
        <v>1.0131522029892313E-2</v>
      </c>
      <c r="N3917" s="20">
        <v>9.1005425135800894E-4</v>
      </c>
      <c r="O3917" s="20">
        <v>8.9824041113759662E-2</v>
      </c>
      <c r="P3917" s="20"/>
      <c r="Q3917" s="20"/>
      <c r="R3917" s="20">
        <v>0.02</v>
      </c>
      <c r="S3917" s="20">
        <v>0.61</v>
      </c>
      <c r="T3917" s="20">
        <v>0.37000000000000011</v>
      </c>
    </row>
    <row r="3918" spans="13:20" x14ac:dyDescent="0.2">
      <c r="M3918" s="20">
        <v>9.4273160333353274E-3</v>
      </c>
      <c r="N3918" s="20">
        <v>8.4082632974596526E-4</v>
      </c>
      <c r="O3918" s="20">
        <v>8.9190425649545768E-2</v>
      </c>
      <c r="P3918" s="20"/>
      <c r="Q3918" s="20"/>
      <c r="R3918" s="20">
        <v>0.33</v>
      </c>
      <c r="S3918" s="20">
        <v>0.56000000000000005</v>
      </c>
      <c r="T3918" s="20">
        <v>0.10999999999999999</v>
      </c>
    </row>
    <row r="3919" spans="13:20" x14ac:dyDescent="0.2">
      <c r="M3919" s="20">
        <v>1.5807718646568842E-2</v>
      </c>
      <c r="N3919" s="20">
        <v>1.5860568224420521E-3</v>
      </c>
      <c r="O3919" s="20">
        <v>0.10033432767265978</v>
      </c>
      <c r="P3919" s="20">
        <v>4.9999999999999933E-2</v>
      </c>
      <c r="Q3919" s="20"/>
      <c r="R3919" s="20"/>
      <c r="S3919" s="20"/>
      <c r="T3919" s="20">
        <v>0.95</v>
      </c>
    </row>
    <row r="3920" spans="13:20" x14ac:dyDescent="0.2">
      <c r="M3920" s="20">
        <v>1.0942498745105542E-2</v>
      </c>
      <c r="N3920" s="20">
        <v>1.2452032280777542E-3</v>
      </c>
      <c r="O3920" s="20">
        <v>0.11379514469989954</v>
      </c>
      <c r="P3920" s="20">
        <v>8.9999999999999858E-2</v>
      </c>
      <c r="Q3920" s="20"/>
      <c r="R3920" s="20"/>
      <c r="S3920" s="20">
        <v>0.38</v>
      </c>
      <c r="T3920" s="20">
        <v>0.53</v>
      </c>
    </row>
    <row r="3921" spans="13:20" x14ac:dyDescent="0.2">
      <c r="M3921" s="20">
        <v>1.516744641352482E-2</v>
      </c>
      <c r="N3921" s="20">
        <v>1.6602934584770096E-3</v>
      </c>
      <c r="O3921" s="20">
        <v>0.10946427059709438</v>
      </c>
      <c r="P3921" s="20">
        <v>0.12000000000000011</v>
      </c>
      <c r="Q3921" s="20"/>
      <c r="R3921" s="20"/>
      <c r="S3921" s="20"/>
      <c r="T3921" s="20">
        <v>0.88</v>
      </c>
    </row>
    <row r="3922" spans="13:20" x14ac:dyDescent="0.2">
      <c r="M3922" s="20">
        <v>1.5081169588307179E-2</v>
      </c>
      <c r="N3922" s="20">
        <v>1.6708986921962884E-3</v>
      </c>
      <c r="O3922" s="20">
        <v>0.11079370750474017</v>
      </c>
      <c r="P3922" s="20">
        <v>0.12999999999999989</v>
      </c>
      <c r="Q3922" s="20"/>
      <c r="R3922" s="20"/>
      <c r="S3922" s="20"/>
      <c r="T3922" s="20">
        <v>0.87</v>
      </c>
    </row>
    <row r="3923" spans="13:20" x14ac:dyDescent="0.2">
      <c r="M3923" s="20">
        <v>1.3877118566837349E-2</v>
      </c>
      <c r="N3923" s="20">
        <v>1.3953827341625074E-3</v>
      </c>
      <c r="O3923" s="20">
        <v>0.10055277163208103</v>
      </c>
      <c r="P3923" s="20">
        <v>0.08</v>
      </c>
      <c r="Q3923" s="20">
        <v>0.56999999999999995</v>
      </c>
      <c r="R3923" s="20">
        <v>0.20000000000000007</v>
      </c>
      <c r="S3923" s="20"/>
      <c r="T3923" s="20">
        <v>0.15</v>
      </c>
    </row>
    <row r="3924" spans="13:20" x14ac:dyDescent="0.2">
      <c r="M3924" s="20">
        <v>1.0467751520130861E-2</v>
      </c>
      <c r="N3924" s="20">
        <v>1.2162302849265561E-3</v>
      </c>
      <c r="O3924" s="20">
        <v>0.11618830295957881</v>
      </c>
      <c r="P3924" s="20"/>
      <c r="Q3924" s="20">
        <v>0.09</v>
      </c>
      <c r="R3924" s="20">
        <v>0.5</v>
      </c>
      <c r="S3924" s="20">
        <v>0.1</v>
      </c>
      <c r="T3924" s="20">
        <v>0.31000000000000005</v>
      </c>
    </row>
    <row r="3925" spans="13:20" x14ac:dyDescent="0.2">
      <c r="M3925" s="20">
        <v>1.1173467576835456E-2</v>
      </c>
      <c r="N3925" s="20">
        <v>6.0448167632716227E-4</v>
      </c>
      <c r="O3925" s="20">
        <v>5.4099738704245941E-2</v>
      </c>
      <c r="P3925" s="20"/>
      <c r="Q3925" s="20"/>
      <c r="R3925" s="20">
        <v>0.08</v>
      </c>
      <c r="S3925" s="20">
        <v>0.89</v>
      </c>
      <c r="T3925" s="20">
        <v>3.0000000000000138E-2</v>
      </c>
    </row>
    <row r="3926" spans="13:20" x14ac:dyDescent="0.2">
      <c r="M3926" s="20">
        <v>1.4148879873072288E-2</v>
      </c>
      <c r="N3926" s="20">
        <v>2.4620121138320657E-3</v>
      </c>
      <c r="O3926" s="20">
        <v>0.17400756356110503</v>
      </c>
      <c r="P3926" s="20">
        <v>0.9</v>
      </c>
      <c r="Q3926" s="20">
        <v>0.10000000000000009</v>
      </c>
      <c r="R3926" s="20"/>
      <c r="S3926" s="20"/>
      <c r="T3926" s="20"/>
    </row>
    <row r="3927" spans="13:20" x14ac:dyDescent="0.2">
      <c r="M3927" s="20">
        <v>1.3250195717815967E-2</v>
      </c>
      <c r="N3927" s="20">
        <v>1.6618000761653992E-3</v>
      </c>
      <c r="O3927" s="20">
        <v>0.1254170211184861</v>
      </c>
      <c r="P3927" s="20">
        <v>0.34</v>
      </c>
      <c r="Q3927" s="20">
        <v>0.46</v>
      </c>
      <c r="R3927" s="20">
        <v>0.14000000000000001</v>
      </c>
      <c r="S3927" s="20">
        <v>5.9999999999999942E-2</v>
      </c>
      <c r="T3927" s="20"/>
    </row>
    <row r="3928" spans="13:20" x14ac:dyDescent="0.2">
      <c r="M3928" s="20">
        <v>1.2977494831131907E-2</v>
      </c>
      <c r="N3928" s="20">
        <v>1.208651737097311E-3</v>
      </c>
      <c r="O3928" s="20">
        <v>9.31344418028862E-2</v>
      </c>
      <c r="P3928" s="20"/>
      <c r="Q3928" s="20">
        <v>0.47</v>
      </c>
      <c r="R3928" s="20">
        <v>0.53000000000000014</v>
      </c>
      <c r="S3928" s="20"/>
      <c r="T3928" s="20"/>
    </row>
    <row r="3929" spans="13:20" x14ac:dyDescent="0.2">
      <c r="M3929" s="20">
        <v>9.3128116044783518E-3</v>
      </c>
      <c r="N3929" s="20">
        <v>8.8914230879201181E-4</v>
      </c>
      <c r="O3929" s="20">
        <v>9.5475174045659902E-2</v>
      </c>
      <c r="P3929" s="20"/>
      <c r="Q3929" s="20">
        <v>0</v>
      </c>
      <c r="R3929" s="20">
        <v>0.44</v>
      </c>
      <c r="S3929" s="20">
        <v>0.47</v>
      </c>
      <c r="T3929" s="20">
        <v>8.9999999999999969E-2</v>
      </c>
    </row>
    <row r="3930" spans="13:20" x14ac:dyDescent="0.2">
      <c r="M3930" s="20">
        <v>1.3857643765036315E-2</v>
      </c>
      <c r="N3930" s="20">
        <v>1.3664137129108787E-3</v>
      </c>
      <c r="O3930" s="20">
        <v>9.8603610835950636E-2</v>
      </c>
      <c r="P3930" s="20">
        <v>0.1</v>
      </c>
      <c r="Q3930" s="20">
        <v>0.56999999999999995</v>
      </c>
      <c r="R3930" s="20">
        <v>0.33000000000000018</v>
      </c>
      <c r="S3930" s="20"/>
      <c r="T3930" s="20"/>
    </row>
    <row r="3931" spans="13:20" x14ac:dyDescent="0.2">
      <c r="M3931" s="20">
        <v>1.1259090217105489E-2</v>
      </c>
      <c r="N3931" s="20">
        <v>1.1460566046825494E-3</v>
      </c>
      <c r="O3931" s="20">
        <v>0.10178945035375869</v>
      </c>
      <c r="P3931" s="20"/>
      <c r="Q3931" s="20">
        <v>0.23</v>
      </c>
      <c r="R3931" s="20">
        <v>0.72</v>
      </c>
      <c r="S3931" s="20">
        <v>4.9999999999999933E-2</v>
      </c>
      <c r="T3931" s="20"/>
    </row>
    <row r="3932" spans="13:20" x14ac:dyDescent="0.2">
      <c r="M3932" s="20">
        <v>1.526822183094287E-2</v>
      </c>
      <c r="N3932" s="20">
        <v>1.1552420591652715E-3</v>
      </c>
      <c r="O3932" s="20">
        <v>7.5663169683848577E-2</v>
      </c>
      <c r="P3932" s="20"/>
      <c r="Q3932" s="20">
        <v>0.68</v>
      </c>
      <c r="R3932" s="20">
        <v>0.19</v>
      </c>
      <c r="S3932" s="20">
        <v>0.12999999999999989</v>
      </c>
      <c r="T3932" s="20"/>
    </row>
    <row r="3933" spans="13:20" x14ac:dyDescent="0.2">
      <c r="M3933" s="20">
        <v>1.1523504187223399E-2</v>
      </c>
      <c r="N3933" s="20">
        <v>1.5526307112551964E-3</v>
      </c>
      <c r="O3933" s="20">
        <v>0.13473598707732187</v>
      </c>
      <c r="P3933" s="20">
        <v>0.25000000000000011</v>
      </c>
      <c r="Q3933" s="20">
        <v>0.23</v>
      </c>
      <c r="R3933" s="20">
        <v>0.04</v>
      </c>
      <c r="S3933" s="20">
        <v>0.17</v>
      </c>
      <c r="T3933" s="20">
        <v>0.31</v>
      </c>
    </row>
    <row r="3934" spans="13:20" x14ac:dyDescent="0.2">
      <c r="M3934" s="20">
        <v>1.268244220677823E-2</v>
      </c>
      <c r="N3934" s="20">
        <v>1.2951596481790876E-3</v>
      </c>
      <c r="O3934" s="20">
        <v>0.10212225903043182</v>
      </c>
      <c r="P3934" s="20">
        <v>0.14000000000000001</v>
      </c>
      <c r="Q3934" s="20">
        <v>0.44</v>
      </c>
      <c r="R3934" s="20">
        <v>0.24</v>
      </c>
      <c r="S3934" s="20">
        <v>0.17999999999999994</v>
      </c>
      <c r="T3934" s="20"/>
    </row>
    <row r="3935" spans="13:20" x14ac:dyDescent="0.2">
      <c r="M3935" s="20">
        <v>1.2283065856512924E-2</v>
      </c>
      <c r="N3935" s="20">
        <v>2.1442767805073698E-3</v>
      </c>
      <c r="O3935" s="20">
        <v>0.17457178896182479</v>
      </c>
      <c r="P3935" s="20">
        <v>0.7</v>
      </c>
      <c r="Q3935" s="20"/>
      <c r="R3935" s="20"/>
      <c r="S3935" s="20">
        <v>0.13</v>
      </c>
      <c r="T3935" s="20">
        <v>0.17</v>
      </c>
    </row>
    <row r="3936" spans="13:20" x14ac:dyDescent="0.2">
      <c r="M3936" s="20">
        <v>1.5860845832633599E-2</v>
      </c>
      <c r="N3936" s="20">
        <v>1.168023286286944E-3</v>
      </c>
      <c r="O3936" s="20">
        <v>7.3641929226986286E-2</v>
      </c>
      <c r="P3936" s="20"/>
      <c r="Q3936" s="20">
        <v>0.73</v>
      </c>
      <c r="R3936" s="20">
        <v>0.15</v>
      </c>
      <c r="S3936" s="20">
        <v>0.11999999999999988</v>
      </c>
      <c r="T3936" s="20"/>
    </row>
    <row r="3937" spans="13:20" x14ac:dyDescent="0.2">
      <c r="M3937" s="20">
        <v>1.2796173285408949E-2</v>
      </c>
      <c r="N3937" s="20">
        <v>1.1998035195564421E-3</v>
      </c>
      <c r="O3937" s="20">
        <v>9.3762681451378754E-2</v>
      </c>
      <c r="P3937" s="20"/>
      <c r="Q3937" s="20">
        <v>0.45</v>
      </c>
      <c r="R3937" s="20">
        <v>0.54</v>
      </c>
      <c r="S3937" s="20">
        <v>1.0000000000000009E-2</v>
      </c>
      <c r="T3937" s="20"/>
    </row>
    <row r="3938" spans="13:20" x14ac:dyDescent="0.2">
      <c r="M3938" s="20">
        <v>9.5716115949022965E-3</v>
      </c>
      <c r="N3938" s="20">
        <v>1.5310314669651072E-3</v>
      </c>
      <c r="O3938" s="20">
        <v>0.15995545282891679</v>
      </c>
      <c r="P3938" s="20">
        <v>0.28999999999999992</v>
      </c>
      <c r="Q3938" s="20"/>
      <c r="R3938" s="20">
        <v>0.41</v>
      </c>
      <c r="S3938" s="20">
        <v>0.15</v>
      </c>
      <c r="T3938" s="20">
        <v>0.15</v>
      </c>
    </row>
    <row r="3939" spans="13:20" x14ac:dyDescent="0.2">
      <c r="M3939" s="20">
        <v>1.3984850690816109E-2</v>
      </c>
      <c r="N3939" s="20">
        <v>2.3962411578612943E-3</v>
      </c>
      <c r="O3939" s="20">
        <v>0.17134549455253836</v>
      </c>
      <c r="P3939" s="20">
        <v>0.85</v>
      </c>
      <c r="Q3939" s="20">
        <v>0.15000000000000002</v>
      </c>
      <c r="R3939" s="20"/>
      <c r="S3939" s="20"/>
      <c r="T3939" s="20"/>
    </row>
    <row r="3940" spans="13:20" x14ac:dyDescent="0.2">
      <c r="M3940" s="20">
        <v>1.4257340928965667E-2</v>
      </c>
      <c r="N3940" s="20">
        <v>1.8352994476426264E-3</v>
      </c>
      <c r="O3940" s="20">
        <v>0.12872662979630189</v>
      </c>
      <c r="P3940" s="20">
        <v>0.41</v>
      </c>
      <c r="Q3940" s="20">
        <v>0.52000000000000013</v>
      </c>
      <c r="R3940" s="20"/>
      <c r="S3940" s="20">
        <v>0</v>
      </c>
      <c r="T3940" s="20">
        <v>7.0000000000000007E-2</v>
      </c>
    </row>
    <row r="3941" spans="13:20" x14ac:dyDescent="0.2">
      <c r="M3941" s="20">
        <v>1.2601284478630606E-2</v>
      </c>
      <c r="N3941" s="20">
        <v>1.033989019980309E-3</v>
      </c>
      <c r="O3941" s="20">
        <v>8.2054255796999001E-2</v>
      </c>
      <c r="P3941" s="20"/>
      <c r="Q3941" s="20">
        <v>0.42</v>
      </c>
      <c r="R3941" s="20">
        <v>0.31</v>
      </c>
      <c r="S3941" s="20">
        <v>0.27000000000000013</v>
      </c>
      <c r="T3941" s="20"/>
    </row>
    <row r="3942" spans="13:20" x14ac:dyDescent="0.2">
      <c r="M3942" s="20">
        <v>1.3993973667379783E-2</v>
      </c>
      <c r="N3942" s="20">
        <v>2.0805405692015896E-3</v>
      </c>
      <c r="O3942" s="20">
        <v>0.14867403774321578</v>
      </c>
      <c r="P3942" s="20">
        <v>0.61</v>
      </c>
      <c r="Q3942" s="20">
        <v>0.3899999999999999</v>
      </c>
      <c r="R3942" s="20"/>
      <c r="S3942" s="20"/>
      <c r="T3942" s="20"/>
    </row>
    <row r="3943" spans="13:20" x14ac:dyDescent="0.2">
      <c r="M3943" s="20">
        <v>1.4319271568267724E-2</v>
      </c>
      <c r="N3943" s="20">
        <v>2.5146288786086829E-3</v>
      </c>
      <c r="O3943" s="20">
        <v>0.17561150835222902</v>
      </c>
      <c r="P3943" s="20">
        <v>0.94</v>
      </c>
      <c r="Q3943" s="20">
        <v>6.0000000000000053E-2</v>
      </c>
      <c r="R3943" s="20"/>
      <c r="S3943" s="20"/>
      <c r="T3943" s="20"/>
    </row>
    <row r="3944" spans="13:20" x14ac:dyDescent="0.2">
      <c r="M3944" s="20">
        <v>9.492338848731581E-3</v>
      </c>
      <c r="N3944" s="20">
        <v>9.0109199025829585E-4</v>
      </c>
      <c r="O3944" s="20">
        <v>9.49283421734049E-2</v>
      </c>
      <c r="P3944" s="20"/>
      <c r="Q3944" s="20"/>
      <c r="R3944" s="20">
        <v>0.2</v>
      </c>
      <c r="S3944" s="20">
        <v>0.55000000000000004</v>
      </c>
      <c r="T3944" s="20">
        <v>0.25</v>
      </c>
    </row>
    <row r="3945" spans="13:20" x14ac:dyDescent="0.2">
      <c r="M3945" s="20">
        <v>1.457921900807845E-2</v>
      </c>
      <c r="N3945" s="20">
        <v>2.5803998345794547E-3</v>
      </c>
      <c r="O3945" s="20">
        <v>0.17699163673648338</v>
      </c>
      <c r="P3945" s="20">
        <v>0.99</v>
      </c>
      <c r="Q3945" s="20">
        <v>9.9999999999998979E-3</v>
      </c>
      <c r="R3945" s="20"/>
      <c r="S3945" s="20"/>
      <c r="T3945" s="20"/>
    </row>
    <row r="3946" spans="13:20" x14ac:dyDescent="0.2">
      <c r="M3946" s="20">
        <v>1.3789005235198493E-2</v>
      </c>
      <c r="N3946" s="20">
        <v>1.6096311782431007E-3</v>
      </c>
      <c r="O3946" s="20">
        <v>0.1167329441673049</v>
      </c>
      <c r="P3946" s="20">
        <v>0.19</v>
      </c>
      <c r="Q3946" s="20">
        <v>0.48999999999999988</v>
      </c>
      <c r="R3946" s="20"/>
      <c r="S3946" s="20"/>
      <c r="T3946" s="20">
        <v>0.32</v>
      </c>
    </row>
    <row r="3947" spans="13:20" x14ac:dyDescent="0.2">
      <c r="M3947" s="20">
        <v>1.8263847217394928E-2</v>
      </c>
      <c r="N3947" s="20">
        <v>1.2702688871965677E-3</v>
      </c>
      <c r="O3947" s="20">
        <v>6.9551002703676423E-2</v>
      </c>
      <c r="P3947" s="20"/>
      <c r="Q3947" s="20">
        <v>0.94</v>
      </c>
      <c r="R3947" s="20">
        <v>6.0000000000000053E-2</v>
      </c>
      <c r="S3947" s="20"/>
      <c r="T3947" s="20"/>
    </row>
    <row r="3948" spans="13:20" x14ac:dyDescent="0.2">
      <c r="M3948" s="20">
        <v>1.3186728509027308E-2</v>
      </c>
      <c r="N3948" s="20">
        <v>2.3178179490723409E-3</v>
      </c>
      <c r="O3948" s="20">
        <v>0.17576898982075956</v>
      </c>
      <c r="P3948" s="20">
        <v>0.74</v>
      </c>
      <c r="Q3948" s="20"/>
      <c r="R3948" s="20"/>
      <c r="S3948" s="20"/>
      <c r="T3948" s="20">
        <v>0.26</v>
      </c>
    </row>
    <row r="3949" spans="13:20" x14ac:dyDescent="0.2">
      <c r="M3949" s="20">
        <v>1.0473843234688168E-2</v>
      </c>
      <c r="N3949" s="20">
        <v>7.3622307989639553E-4</v>
      </c>
      <c r="O3949" s="20">
        <v>7.0291588617453146E-2</v>
      </c>
      <c r="P3949" s="20"/>
      <c r="Q3949" s="20"/>
      <c r="R3949" s="20"/>
      <c r="S3949" s="20">
        <v>0.79</v>
      </c>
      <c r="T3949" s="20">
        <v>0.21000000000000008</v>
      </c>
    </row>
    <row r="3950" spans="13:20" x14ac:dyDescent="0.2">
      <c r="M3950" s="20">
        <v>9.565365761981354E-3</v>
      </c>
      <c r="N3950" s="20">
        <v>8.7308129623672758E-4</v>
      </c>
      <c r="O3950" s="20">
        <v>9.1275265155765367E-2</v>
      </c>
      <c r="P3950" s="20"/>
      <c r="Q3950" s="20"/>
      <c r="R3950" s="20">
        <v>0.56000000000000005</v>
      </c>
      <c r="S3950" s="20">
        <v>0.44000000000000006</v>
      </c>
      <c r="T3950" s="20"/>
    </row>
    <row r="3951" spans="13:20" x14ac:dyDescent="0.2">
      <c r="M3951" s="20">
        <v>1.1328364896827875E-2</v>
      </c>
      <c r="N3951" s="20">
        <v>1.6817989920361663E-3</v>
      </c>
      <c r="O3951" s="20">
        <v>0.1484591119153566</v>
      </c>
      <c r="P3951" s="20">
        <v>0.34000000000000008</v>
      </c>
      <c r="Q3951" s="20"/>
      <c r="R3951" s="20"/>
      <c r="S3951" s="20">
        <v>0.21</v>
      </c>
      <c r="T3951" s="20">
        <v>0.45</v>
      </c>
    </row>
    <row r="3952" spans="13:20" x14ac:dyDescent="0.2">
      <c r="M3952" s="20">
        <v>1.4749960029107697E-2</v>
      </c>
      <c r="N3952" s="20">
        <v>1.7133196270734071E-3</v>
      </c>
      <c r="O3952" s="20">
        <v>0.11615757762680899</v>
      </c>
      <c r="P3952" s="20">
        <v>0.17000000000000015</v>
      </c>
      <c r="Q3952" s="20"/>
      <c r="R3952" s="20"/>
      <c r="S3952" s="20"/>
      <c r="T3952" s="20">
        <v>0.83</v>
      </c>
    </row>
    <row r="3953" spans="13:20" x14ac:dyDescent="0.2">
      <c r="M3953" s="20">
        <v>1.2888918378840637E-2</v>
      </c>
      <c r="N3953" s="20">
        <v>1.2692208958100556E-3</v>
      </c>
      <c r="O3953" s="20">
        <v>9.8473809710339907E-2</v>
      </c>
      <c r="P3953" s="20">
        <v>0.04</v>
      </c>
      <c r="Q3953" s="20">
        <v>0.40999999999999992</v>
      </c>
      <c r="R3953" s="20"/>
      <c r="S3953" s="20">
        <v>0.2</v>
      </c>
      <c r="T3953" s="20">
        <v>0.35</v>
      </c>
    </row>
    <row r="3954" spans="13:20" x14ac:dyDescent="0.2">
      <c r="M3954" s="20">
        <v>1.3826620564832233E-2</v>
      </c>
      <c r="N3954" s="20">
        <v>2.2646992459197505E-3</v>
      </c>
      <c r="O3954" s="20">
        <v>0.16379268059759833</v>
      </c>
      <c r="P3954" s="20">
        <v>0.75</v>
      </c>
      <c r="Q3954" s="20">
        <v>0.25</v>
      </c>
      <c r="R3954" s="20"/>
      <c r="S3954" s="20"/>
      <c r="T3954" s="20"/>
    </row>
    <row r="3955" spans="13:20" x14ac:dyDescent="0.2">
      <c r="M3955" s="20">
        <v>1.3849894403893379E-2</v>
      </c>
      <c r="N3955" s="20">
        <v>2.3041618195022134E-3</v>
      </c>
      <c r="O3955" s="20">
        <v>0.16636674275686061</v>
      </c>
      <c r="P3955" s="20">
        <v>0.78</v>
      </c>
      <c r="Q3955" s="20">
        <v>0.21999999999999997</v>
      </c>
      <c r="R3955" s="20"/>
      <c r="S3955" s="20"/>
      <c r="T3955" s="20"/>
    </row>
    <row r="3956" spans="13:20" x14ac:dyDescent="0.2">
      <c r="M3956" s="20">
        <v>1.6100360939876667E-2</v>
      </c>
      <c r="N3956" s="20">
        <v>1.5542411212842138E-3</v>
      </c>
      <c r="O3956" s="20">
        <v>9.6534551435722024E-2</v>
      </c>
      <c r="P3956" s="20">
        <v>2.0000000000000018E-2</v>
      </c>
      <c r="Q3956" s="20"/>
      <c r="R3956" s="20"/>
      <c r="S3956" s="20"/>
      <c r="T3956" s="20">
        <v>0.98</v>
      </c>
    </row>
    <row r="3957" spans="13:20" x14ac:dyDescent="0.2">
      <c r="M3957" s="20">
        <v>1.2729269205409699E-2</v>
      </c>
      <c r="N3957" s="20">
        <v>1.9347087891627434E-3</v>
      </c>
      <c r="O3957" s="20">
        <v>0.15198899150789652</v>
      </c>
      <c r="P3957" s="20">
        <v>0.41</v>
      </c>
      <c r="Q3957" s="20">
        <v>0.13</v>
      </c>
      <c r="R3957" s="20"/>
      <c r="S3957" s="20"/>
      <c r="T3957" s="20">
        <v>0.46</v>
      </c>
    </row>
    <row r="3958" spans="13:20" x14ac:dyDescent="0.2">
      <c r="M3958" s="20">
        <v>1.0725350755565655E-2</v>
      </c>
      <c r="N3958" s="20">
        <v>1.1034511089223886E-3</v>
      </c>
      <c r="O3958" s="20">
        <v>0.10288251956233505</v>
      </c>
      <c r="P3958" s="20"/>
      <c r="Q3958" s="20"/>
      <c r="R3958" s="20">
        <v>0.93</v>
      </c>
      <c r="S3958" s="20">
        <v>6.9999999999999951E-2</v>
      </c>
      <c r="T3958" s="20"/>
    </row>
    <row r="3959" spans="13:20" x14ac:dyDescent="0.2">
      <c r="M3959" s="20">
        <v>9.9894402387009865E-3</v>
      </c>
      <c r="N3959" s="20">
        <v>1.0465941630177266E-3</v>
      </c>
      <c r="O3959" s="20">
        <v>0.10477005097473054</v>
      </c>
      <c r="P3959" s="20">
        <v>0.15000000000000013</v>
      </c>
      <c r="Q3959" s="20"/>
      <c r="R3959" s="20"/>
      <c r="S3959" s="20">
        <v>0.64</v>
      </c>
      <c r="T3959" s="20">
        <v>0.21</v>
      </c>
    </row>
    <row r="3960" spans="13:20" x14ac:dyDescent="0.2">
      <c r="M3960" s="20">
        <v>1.5712515718385011E-2</v>
      </c>
      <c r="N3960" s="20">
        <v>1.5966620561613321E-3</v>
      </c>
      <c r="O3960" s="20">
        <v>0.10161721297711089</v>
      </c>
      <c r="P3960" s="20">
        <v>6.0000000000000053E-2</v>
      </c>
      <c r="Q3960" s="20"/>
      <c r="R3960" s="20"/>
      <c r="S3960" s="20"/>
      <c r="T3960" s="20">
        <v>0.94</v>
      </c>
    </row>
    <row r="3961" spans="13:20" x14ac:dyDescent="0.2">
      <c r="M3961" s="20">
        <v>1.2638399329780453E-2</v>
      </c>
      <c r="N3961" s="20">
        <v>1.8285128857811193E-3</v>
      </c>
      <c r="O3961" s="20">
        <v>0.14467915105930451</v>
      </c>
      <c r="P3961" s="20">
        <v>0.51</v>
      </c>
      <c r="Q3961" s="20">
        <v>0.28999999999999992</v>
      </c>
      <c r="R3961" s="20"/>
      <c r="S3961" s="20">
        <v>0.17</v>
      </c>
      <c r="T3961" s="20">
        <v>0.03</v>
      </c>
    </row>
    <row r="3962" spans="13:20" x14ac:dyDescent="0.2">
      <c r="M3962" s="20">
        <v>1.0457552217227443E-2</v>
      </c>
      <c r="N3962" s="20">
        <v>9.8837737544995815E-4</v>
      </c>
      <c r="O3962" s="20">
        <v>9.4513262273913046E-2</v>
      </c>
      <c r="P3962" s="20"/>
      <c r="Q3962" s="20"/>
      <c r="R3962" s="20"/>
      <c r="S3962" s="20">
        <v>0.54</v>
      </c>
      <c r="T3962" s="20">
        <v>0.45999999999999985</v>
      </c>
    </row>
    <row r="3963" spans="13:20" x14ac:dyDescent="0.2">
      <c r="M3963" s="20">
        <v>9.7840014165382714E-3</v>
      </c>
      <c r="N3963" s="20">
        <v>9.2574546445243708E-4</v>
      </c>
      <c r="O3963" s="20">
        <v>9.4618288064391945E-2</v>
      </c>
      <c r="P3963" s="20"/>
      <c r="Q3963" s="20"/>
      <c r="R3963" s="20">
        <v>0.11</v>
      </c>
      <c r="S3963" s="20">
        <v>0.56000000000000005</v>
      </c>
      <c r="T3963" s="20">
        <v>0.32999999999999985</v>
      </c>
    </row>
    <row r="3964" spans="13:20" x14ac:dyDescent="0.2">
      <c r="M3964" s="20">
        <v>1.561852098904238E-2</v>
      </c>
      <c r="N3964" s="20">
        <v>1.6072672898806114E-3</v>
      </c>
      <c r="O3964" s="20">
        <v>0.1029077779521016</v>
      </c>
      <c r="P3964" s="20">
        <v>6.9999999999999951E-2</v>
      </c>
      <c r="Q3964" s="20"/>
      <c r="R3964" s="20"/>
      <c r="S3964" s="20"/>
      <c r="T3964" s="20">
        <v>0.93</v>
      </c>
    </row>
    <row r="3965" spans="13:20" x14ac:dyDescent="0.2">
      <c r="M3965" s="20">
        <v>1.3832055665075558E-2</v>
      </c>
      <c r="N3965" s="20">
        <v>2.2778534371139048E-3</v>
      </c>
      <c r="O3965" s="20">
        <v>0.16467931392621835</v>
      </c>
      <c r="P3965" s="20">
        <v>0.76</v>
      </c>
      <c r="Q3965" s="20">
        <v>0.24</v>
      </c>
      <c r="R3965" s="20"/>
      <c r="S3965" s="20"/>
      <c r="T3965" s="20"/>
    </row>
    <row r="3966" spans="13:20" x14ac:dyDescent="0.2">
      <c r="M3966" s="20">
        <v>1.1004230292705927E-2</v>
      </c>
      <c r="N3966" s="20">
        <v>6.4544753349711275E-4</v>
      </c>
      <c r="O3966" s="20">
        <v>5.8654491620821758E-2</v>
      </c>
      <c r="P3966" s="20"/>
      <c r="Q3966" s="20"/>
      <c r="R3966" s="20"/>
      <c r="S3966" s="20">
        <v>0.88</v>
      </c>
      <c r="T3966" s="20">
        <v>0.12000000000000011</v>
      </c>
    </row>
    <row r="3967" spans="13:20" x14ac:dyDescent="0.2">
      <c r="M3967" s="20">
        <v>1.024368943879359E-2</v>
      </c>
      <c r="N3967" s="20">
        <v>1.0318422550675622E-3</v>
      </c>
      <c r="O3967" s="20">
        <v>0.10072955269025446</v>
      </c>
      <c r="P3967" s="20"/>
      <c r="Q3967" s="20">
        <v>0.17</v>
      </c>
      <c r="R3967" s="20">
        <v>0.35</v>
      </c>
      <c r="S3967" s="20">
        <v>0.32</v>
      </c>
      <c r="T3967" s="20">
        <v>0.15999999999999992</v>
      </c>
    </row>
    <row r="3968" spans="13:20" x14ac:dyDescent="0.2">
      <c r="M3968" s="20">
        <v>1.5706359684136827E-2</v>
      </c>
      <c r="N3968" s="20">
        <v>1.4796538326683512E-3</v>
      </c>
      <c r="O3968" s="20">
        <v>9.4207305984643788E-2</v>
      </c>
      <c r="P3968" s="20">
        <v>0.13</v>
      </c>
      <c r="Q3968" s="20">
        <v>0.72</v>
      </c>
      <c r="R3968" s="20">
        <v>2.0000000000000018E-2</v>
      </c>
      <c r="S3968" s="20"/>
      <c r="T3968" s="20">
        <v>0.13</v>
      </c>
    </row>
    <row r="3969" spans="13:20" x14ac:dyDescent="0.2">
      <c r="M3969" s="20">
        <v>1.8528130402520309E-2</v>
      </c>
      <c r="N3969" s="20">
        <v>1.27289089358377E-3</v>
      </c>
      <c r="O3969" s="20">
        <v>6.8700449852761386E-2</v>
      </c>
      <c r="P3969" s="20"/>
      <c r="Q3969" s="20">
        <v>0.96</v>
      </c>
      <c r="R3969" s="20">
        <v>3.9999999999999925E-2</v>
      </c>
      <c r="S3969" s="20"/>
      <c r="T3969" s="20"/>
    </row>
    <row r="3970" spans="13:20" x14ac:dyDescent="0.2">
      <c r="M3970" s="20">
        <v>1.280950118159367E-2</v>
      </c>
      <c r="N3970" s="20">
        <v>1.2060297307101087E-3</v>
      </c>
      <c r="O3970" s="20">
        <v>9.4151186186944305E-2</v>
      </c>
      <c r="P3970" s="20"/>
      <c r="Q3970" s="20">
        <v>0.45</v>
      </c>
      <c r="R3970" s="20">
        <v>0.55000000000000004</v>
      </c>
      <c r="S3970" s="20"/>
      <c r="T3970" s="20"/>
    </row>
    <row r="3971" spans="13:20" x14ac:dyDescent="0.2">
      <c r="M3971" s="20">
        <v>1.2887398943553533E-2</v>
      </c>
      <c r="N3971" s="20">
        <v>2.0866572916956303E-3</v>
      </c>
      <c r="O3971" s="20">
        <v>0.16191454154830887</v>
      </c>
      <c r="P3971" s="20">
        <v>0.61</v>
      </c>
      <c r="Q3971" s="20">
        <v>0.26</v>
      </c>
      <c r="R3971" s="20">
        <v>7.0000000000000062E-2</v>
      </c>
      <c r="S3971" s="20"/>
      <c r="T3971" s="20">
        <v>0.06</v>
      </c>
    </row>
    <row r="3972" spans="13:20" x14ac:dyDescent="0.2">
      <c r="M3972" s="20">
        <v>1.5413130945862857E-2</v>
      </c>
      <c r="N3972" s="20">
        <v>1.2401158137437399E-3</v>
      </c>
      <c r="O3972" s="20">
        <v>8.0458397330141915E-2</v>
      </c>
      <c r="P3972" s="20"/>
      <c r="Q3972" s="20">
        <v>0.71</v>
      </c>
      <c r="R3972" s="20">
        <v>0.29000000000000004</v>
      </c>
      <c r="S3972" s="20"/>
      <c r="T3972" s="20"/>
    </row>
    <row r="3973" spans="13:20" x14ac:dyDescent="0.2">
      <c r="M3973" s="20">
        <v>1.3335261374178609E-2</v>
      </c>
      <c r="N3973" s="20">
        <v>1.7098593274027785E-3</v>
      </c>
      <c r="O3973" s="20">
        <v>0.12822090841905961</v>
      </c>
      <c r="P3973" s="20">
        <v>0.21</v>
      </c>
      <c r="Q3973" s="20">
        <v>0.17999999999999994</v>
      </c>
      <c r="R3973" s="20"/>
      <c r="S3973" s="20"/>
      <c r="T3973" s="20">
        <v>0.61</v>
      </c>
    </row>
    <row r="3974" spans="13:20" x14ac:dyDescent="0.2">
      <c r="M3974" s="20">
        <v>1.3989410149307581E-2</v>
      </c>
      <c r="N3974" s="20">
        <v>1.6386303998910314E-3</v>
      </c>
      <c r="O3974" s="20">
        <v>0.11713363053925022</v>
      </c>
      <c r="P3974" s="20">
        <v>0.28999999999999998</v>
      </c>
      <c r="Q3974" s="20">
        <v>0.55000000000000004</v>
      </c>
      <c r="R3974" s="20">
        <v>0.15999999999999992</v>
      </c>
      <c r="S3974" s="20"/>
      <c r="T3974" s="20"/>
    </row>
    <row r="3975" spans="13:20" x14ac:dyDescent="0.2">
      <c r="M3975" s="20">
        <v>1.0909084634781437E-2</v>
      </c>
      <c r="N3975" s="20">
        <v>1.122129742383388E-3</v>
      </c>
      <c r="O3975" s="20">
        <v>0.10286195221235167</v>
      </c>
      <c r="P3975" s="20"/>
      <c r="Q3975" s="20"/>
      <c r="R3975" s="20">
        <v>0.96</v>
      </c>
      <c r="S3975" s="20">
        <v>3.9999999999999925E-2</v>
      </c>
      <c r="T3975" s="20"/>
    </row>
    <row r="3976" spans="13:20" x14ac:dyDescent="0.2">
      <c r="M3976" s="20">
        <v>1.3095835210433147E-2</v>
      </c>
      <c r="N3976" s="20">
        <v>1.0529964582556479E-3</v>
      </c>
      <c r="O3976" s="20">
        <v>8.0406972242346955E-2</v>
      </c>
      <c r="P3976" s="20"/>
      <c r="Q3976" s="20">
        <v>0.47</v>
      </c>
      <c r="R3976" s="20">
        <v>0.28000000000000003</v>
      </c>
      <c r="S3976" s="20">
        <v>0.25</v>
      </c>
      <c r="T3976" s="20"/>
    </row>
    <row r="3977" spans="13:20" x14ac:dyDescent="0.2">
      <c r="M3977" s="20">
        <v>9.6072504934051357E-3</v>
      </c>
      <c r="N3977" s="20">
        <v>1.0416772258869107E-3</v>
      </c>
      <c r="O3977" s="20">
        <v>0.10842615445511351</v>
      </c>
      <c r="P3977" s="20"/>
      <c r="Q3977" s="20"/>
      <c r="R3977" s="20">
        <v>0.28000000000000003</v>
      </c>
      <c r="S3977" s="20">
        <v>0.38</v>
      </c>
      <c r="T3977" s="20">
        <v>0.34000000000000008</v>
      </c>
    </row>
    <row r="3978" spans="13:20" x14ac:dyDescent="0.2">
      <c r="M3978" s="20">
        <v>1.3853733404099839E-2</v>
      </c>
      <c r="N3978" s="20">
        <v>2.17261990756067E-3</v>
      </c>
      <c r="O3978" s="20">
        <v>0.1568255894773975</v>
      </c>
      <c r="P3978" s="20">
        <v>0.68</v>
      </c>
      <c r="Q3978" s="20">
        <v>0.31999999999999984</v>
      </c>
      <c r="R3978" s="20"/>
      <c r="S3978" s="20"/>
      <c r="T3978" s="20"/>
    </row>
    <row r="3979" spans="13:20" x14ac:dyDescent="0.2">
      <c r="M3979" s="20">
        <v>1.3682817105831697E-2</v>
      </c>
      <c r="N3979" s="20">
        <v>2.4127728569918166E-3</v>
      </c>
      <c r="O3979" s="20">
        <v>0.17633597221463107</v>
      </c>
      <c r="P3979" s="20">
        <v>0.85</v>
      </c>
      <c r="Q3979" s="20">
        <v>7.0000000000000007E-2</v>
      </c>
      <c r="R3979" s="20">
        <v>9.9999999999998979E-3</v>
      </c>
      <c r="S3979" s="20"/>
      <c r="T3979" s="20">
        <v>7.0000000000000007E-2</v>
      </c>
    </row>
    <row r="3980" spans="13:20" x14ac:dyDescent="0.2">
      <c r="M3980" s="20">
        <v>1.385373340409984E-2</v>
      </c>
      <c r="N3980" s="20">
        <v>2.17261990756067E-3</v>
      </c>
      <c r="O3980" s="20">
        <v>0.1568255894773975</v>
      </c>
      <c r="P3980" s="20">
        <v>0.68</v>
      </c>
      <c r="Q3980" s="20">
        <v>0.31999999999999995</v>
      </c>
      <c r="R3980" s="20"/>
      <c r="S3980" s="20"/>
      <c r="T3980" s="20"/>
    </row>
    <row r="3981" spans="13:20" x14ac:dyDescent="0.2">
      <c r="M3981" s="20">
        <v>1.1190332905407887E-2</v>
      </c>
      <c r="N3981" s="20">
        <v>1.1280900707766679E-3</v>
      </c>
      <c r="O3981" s="20">
        <v>0.10080933966061925</v>
      </c>
      <c r="P3981" s="20"/>
      <c r="Q3981" s="20"/>
      <c r="R3981" s="20">
        <v>0.03</v>
      </c>
      <c r="S3981" s="20">
        <v>0.39</v>
      </c>
      <c r="T3981" s="20">
        <v>0.57999999999999985</v>
      </c>
    </row>
    <row r="3982" spans="13:20" x14ac:dyDescent="0.2">
      <c r="M3982" s="20">
        <v>1.206492048453863E-2</v>
      </c>
      <c r="N3982" s="20">
        <v>5.2441347163140238E-4</v>
      </c>
      <c r="O3982" s="20">
        <v>4.3465969983262284E-2</v>
      </c>
      <c r="P3982" s="20"/>
      <c r="Q3982" s="20"/>
      <c r="R3982" s="20"/>
      <c r="S3982" s="20">
        <v>1</v>
      </c>
      <c r="T3982" s="20">
        <v>0</v>
      </c>
    </row>
    <row r="3983" spans="13:20" x14ac:dyDescent="0.2">
      <c r="M3983" s="20">
        <v>1.1235159747318511E-2</v>
      </c>
      <c r="N3983" s="20">
        <v>7.0843591809329745E-4</v>
      </c>
      <c r="O3983" s="20">
        <v>6.3055259918523135E-2</v>
      </c>
      <c r="P3983" s="20"/>
      <c r="Q3983" s="20">
        <v>0.11</v>
      </c>
      <c r="R3983" s="20">
        <v>0.13</v>
      </c>
      <c r="S3983" s="20">
        <v>0.74</v>
      </c>
      <c r="T3983" s="20">
        <v>2.0000000000000129E-2</v>
      </c>
    </row>
    <row r="3984" spans="13:20" x14ac:dyDescent="0.2">
      <c r="M3984" s="20">
        <v>1.5618520989042381E-2</v>
      </c>
      <c r="N3984" s="20">
        <v>1.6072672898806116E-3</v>
      </c>
      <c r="O3984" s="20">
        <v>0.10290777795210161</v>
      </c>
      <c r="P3984" s="20">
        <v>7.0000000000000062E-2</v>
      </c>
      <c r="Q3984" s="20"/>
      <c r="R3984" s="20"/>
      <c r="S3984" s="20"/>
      <c r="T3984" s="20">
        <v>0.93</v>
      </c>
    </row>
    <row r="3985" spans="13:20" x14ac:dyDescent="0.2">
      <c r="M3985" s="20">
        <v>9.717019206749786E-3</v>
      </c>
      <c r="N3985" s="20">
        <v>7.9214055123906274E-4</v>
      </c>
      <c r="O3985" s="20">
        <v>8.152094118418679E-2</v>
      </c>
      <c r="P3985" s="20"/>
      <c r="Q3985" s="20"/>
      <c r="R3985" s="20">
        <v>0.43</v>
      </c>
      <c r="S3985" s="20">
        <v>0.57000000000000006</v>
      </c>
      <c r="T3985" s="20"/>
    </row>
    <row r="3986" spans="13:20" x14ac:dyDescent="0.2">
      <c r="M3986" s="20">
        <v>9.3396415554203686E-3</v>
      </c>
      <c r="N3986" s="20">
        <v>9.0047082037691549E-4</v>
      </c>
      <c r="O3986" s="20">
        <v>9.6413852184114815E-2</v>
      </c>
      <c r="P3986" s="20"/>
      <c r="Q3986" s="20"/>
      <c r="R3986" s="20">
        <v>0.28000000000000003</v>
      </c>
      <c r="S3986" s="20">
        <v>0.52</v>
      </c>
      <c r="T3986" s="20">
        <v>0.20000000000000007</v>
      </c>
    </row>
    <row r="3987" spans="13:20" x14ac:dyDescent="0.2">
      <c r="M3987" s="20">
        <v>1.5434244138739563E-2</v>
      </c>
      <c r="N3987" s="20">
        <v>1.6284777573191708E-3</v>
      </c>
      <c r="O3987" s="20">
        <v>0.10551069055799971</v>
      </c>
      <c r="P3987" s="20">
        <v>9.000000000000008E-2</v>
      </c>
      <c r="Q3987" s="20"/>
      <c r="R3987" s="20"/>
      <c r="S3987" s="20"/>
      <c r="T3987" s="20">
        <v>0.91</v>
      </c>
    </row>
    <row r="3988" spans="13:20" x14ac:dyDescent="0.2">
      <c r="M3988" s="20">
        <v>1.0846188243206194E-2</v>
      </c>
      <c r="N3988" s="20">
        <v>1.3703897851205611E-3</v>
      </c>
      <c r="O3988" s="20">
        <v>0.12634759367918422</v>
      </c>
      <c r="P3988" s="20">
        <v>0.16999999999999993</v>
      </c>
      <c r="Q3988" s="20"/>
      <c r="R3988" s="20"/>
      <c r="S3988" s="20">
        <v>0.34</v>
      </c>
      <c r="T3988" s="20">
        <v>0.49</v>
      </c>
    </row>
    <row r="3989" spans="13:20" x14ac:dyDescent="0.2">
      <c r="M3989" s="20">
        <v>1.4830630810695749E-2</v>
      </c>
      <c r="N3989" s="20">
        <v>1.7027143933541276E-3</v>
      </c>
      <c r="O3989" s="20">
        <v>0.11481065202743378</v>
      </c>
      <c r="P3989" s="20">
        <v>0.16000000000000014</v>
      </c>
      <c r="Q3989" s="20"/>
      <c r="R3989" s="20"/>
      <c r="S3989" s="20"/>
      <c r="T3989" s="20">
        <v>0.84</v>
      </c>
    </row>
    <row r="3990" spans="13:20" x14ac:dyDescent="0.2">
      <c r="M3990" s="20">
        <v>1.4749960029107695E-2</v>
      </c>
      <c r="N3990" s="20">
        <v>1.7133196270734067E-3</v>
      </c>
      <c r="O3990" s="20">
        <v>0.11615757762680899</v>
      </c>
      <c r="P3990" s="20">
        <v>0.17</v>
      </c>
      <c r="Q3990" s="20">
        <v>0</v>
      </c>
      <c r="R3990" s="20"/>
      <c r="S3990" s="20"/>
      <c r="T3990" s="20">
        <v>0.83</v>
      </c>
    </row>
    <row r="3991" spans="13:20" x14ac:dyDescent="0.2">
      <c r="M3991" s="20">
        <v>1.3849894403893379E-2</v>
      </c>
      <c r="N3991" s="20">
        <v>2.3041618195022134E-3</v>
      </c>
      <c r="O3991" s="20">
        <v>0.16636674275686061</v>
      </c>
      <c r="P3991" s="20">
        <v>0.78</v>
      </c>
      <c r="Q3991" s="20">
        <v>0.21999999999999997</v>
      </c>
      <c r="R3991" s="20"/>
      <c r="S3991" s="20"/>
      <c r="T3991" s="20"/>
    </row>
    <row r="3992" spans="13:20" x14ac:dyDescent="0.2">
      <c r="M3992" s="20">
        <v>1.1817482139498065E-2</v>
      </c>
      <c r="N3992" s="20">
        <v>1.9412209566147239E-3</v>
      </c>
      <c r="O3992" s="20">
        <v>0.16426688305510528</v>
      </c>
      <c r="P3992" s="20">
        <v>0.53</v>
      </c>
      <c r="Q3992" s="20">
        <v>0.21</v>
      </c>
      <c r="R3992" s="20">
        <v>0.26</v>
      </c>
      <c r="S3992" s="20"/>
      <c r="T3992" s="20"/>
    </row>
    <row r="3993" spans="13:20" x14ac:dyDescent="0.2">
      <c r="M3993" s="20">
        <v>1.2320430900342015E-2</v>
      </c>
      <c r="N3993" s="20">
        <v>1.8937355513174103E-3</v>
      </c>
      <c r="O3993" s="20">
        <v>0.15370692523950927</v>
      </c>
      <c r="P3993" s="20">
        <v>0.4</v>
      </c>
      <c r="Q3993" s="20"/>
      <c r="R3993" s="20">
        <v>0.06</v>
      </c>
      <c r="S3993" s="20">
        <v>0.04</v>
      </c>
      <c r="T3993" s="20">
        <v>0.5</v>
      </c>
    </row>
    <row r="3994" spans="13:20" x14ac:dyDescent="0.2">
      <c r="M3994" s="20">
        <v>1.4667739748889604E-2</v>
      </c>
      <c r="N3994" s="20">
        <v>1.4462735651437188E-3</v>
      </c>
      <c r="O3994" s="20">
        <v>9.8602347048951849E-2</v>
      </c>
      <c r="P3994" s="20">
        <v>0.06</v>
      </c>
      <c r="Q3994" s="20">
        <v>0.59000000000000008</v>
      </c>
      <c r="R3994" s="20"/>
      <c r="S3994" s="20"/>
      <c r="T3994" s="20">
        <v>0.35</v>
      </c>
    </row>
    <row r="3995" spans="13:20" x14ac:dyDescent="0.2">
      <c r="M3995" s="20">
        <v>1.1485475093772469E-2</v>
      </c>
      <c r="N3995" s="20">
        <v>1.8834816032740793E-3</v>
      </c>
      <c r="O3995" s="20">
        <v>0.16398813178353594</v>
      </c>
      <c r="P3995" s="20">
        <v>0.42</v>
      </c>
      <c r="Q3995" s="20">
        <v>0.1</v>
      </c>
      <c r="R3995" s="20">
        <v>0.18000000000000016</v>
      </c>
      <c r="S3995" s="20"/>
      <c r="T3995" s="20">
        <v>0.3</v>
      </c>
    </row>
    <row r="3996" spans="13:20" x14ac:dyDescent="0.2">
      <c r="M3996" s="20">
        <v>1.2569719730098529E-2</v>
      </c>
      <c r="N3996" s="20">
        <v>1.2020967211293049E-3</v>
      </c>
      <c r="O3996" s="20">
        <v>9.5634329717857777E-2</v>
      </c>
      <c r="P3996" s="20"/>
      <c r="Q3996" s="20">
        <v>0.42</v>
      </c>
      <c r="R3996" s="20">
        <v>0.57999999999999996</v>
      </c>
      <c r="S3996" s="20">
        <v>0</v>
      </c>
      <c r="T3996" s="20"/>
    </row>
    <row r="3997" spans="13:20" x14ac:dyDescent="0.2">
      <c r="M3997" s="20">
        <v>1.1083153675087734E-2</v>
      </c>
      <c r="N3997" s="20">
        <v>9.7434469876708936E-4</v>
      </c>
      <c r="O3997" s="20">
        <v>8.7912224925400254E-2</v>
      </c>
      <c r="P3997" s="20"/>
      <c r="Q3997" s="20">
        <v>0.25</v>
      </c>
      <c r="R3997" s="20">
        <v>0.42</v>
      </c>
      <c r="S3997" s="20">
        <v>0.33000000000000018</v>
      </c>
      <c r="T3997" s="20"/>
    </row>
    <row r="3998" spans="13:20" x14ac:dyDescent="0.2">
      <c r="M3998" s="20">
        <v>1.3754463684504887E-2</v>
      </c>
      <c r="N3998" s="20">
        <v>1.990600784497604E-3</v>
      </c>
      <c r="O3998" s="20">
        <v>0.14472398416669044</v>
      </c>
      <c r="P3998" s="20">
        <v>0.53</v>
      </c>
      <c r="Q3998" s="20">
        <v>0.40999999999999992</v>
      </c>
      <c r="R3998" s="20"/>
      <c r="S3998" s="20"/>
      <c r="T3998" s="20">
        <v>0.06</v>
      </c>
    </row>
    <row r="3999" spans="13:20" x14ac:dyDescent="0.2">
      <c r="M3999" s="20">
        <v>1.0833268227294156E-2</v>
      </c>
      <c r="N3999" s="20">
        <v>1.0910029026788125E-3</v>
      </c>
      <c r="O3999" s="20">
        <v>0.10070856548442669</v>
      </c>
      <c r="P3999" s="20"/>
      <c r="Q3999" s="20">
        <v>0.19</v>
      </c>
      <c r="R3999" s="20">
        <v>0.68</v>
      </c>
      <c r="S3999" s="20">
        <v>0.13</v>
      </c>
      <c r="T3999" s="20"/>
    </row>
    <row r="4000" spans="13:20" x14ac:dyDescent="0.2">
      <c r="M4000" s="20">
        <v>1.4691367769015662E-2</v>
      </c>
      <c r="N4000" s="20">
        <v>1.1531681737471219E-3</v>
      </c>
      <c r="O4000" s="20">
        <v>7.8492907663721606E-2</v>
      </c>
      <c r="P4000" s="20"/>
      <c r="Q4000" s="20">
        <v>0.63</v>
      </c>
      <c r="R4000" s="20">
        <v>0.15</v>
      </c>
      <c r="S4000" s="20">
        <v>0.16</v>
      </c>
      <c r="T4000" s="20">
        <v>5.9999999999999942E-2</v>
      </c>
    </row>
    <row r="4001" spans="13:20" x14ac:dyDescent="0.2">
      <c r="M4001" s="20">
        <v>1.1498824666350514E-2</v>
      </c>
      <c r="N4001" s="20">
        <v>1.4785580989834372E-3</v>
      </c>
      <c r="O4001" s="20">
        <v>0.12858341107767327</v>
      </c>
      <c r="P4001" s="20">
        <v>0.13</v>
      </c>
      <c r="Q4001" s="20">
        <v>0.27</v>
      </c>
      <c r="R4001" s="20">
        <v>0.31999999999999995</v>
      </c>
      <c r="S4001" s="20"/>
      <c r="T4001" s="20">
        <v>0.28000000000000003</v>
      </c>
    </row>
    <row r="4002" spans="13:20" x14ac:dyDescent="0.2">
      <c r="M4002" s="20">
        <v>1.2304933485997656E-2</v>
      </c>
      <c r="N4002" s="20">
        <v>1.207771183120375E-3</v>
      </c>
      <c r="O4002" s="20">
        <v>9.8153410133809557E-2</v>
      </c>
      <c r="P4002" s="20">
        <v>0.1</v>
      </c>
      <c r="Q4002" s="20">
        <v>0.4</v>
      </c>
      <c r="R4002" s="20">
        <v>0.2</v>
      </c>
      <c r="S4002" s="20">
        <v>0.25</v>
      </c>
      <c r="T4002" s="20">
        <v>4.9999999999999933E-2</v>
      </c>
    </row>
    <row r="4003" spans="13:20" x14ac:dyDescent="0.2">
      <c r="M4003" s="20">
        <v>1.4087966762898614E-2</v>
      </c>
      <c r="N4003" s="20">
        <v>2.0410779956191267E-3</v>
      </c>
      <c r="O4003" s="20">
        <v>0.14488094910859745</v>
      </c>
      <c r="P4003" s="20">
        <v>0.57999999999999996</v>
      </c>
      <c r="Q4003" s="20">
        <v>0.41999999999999993</v>
      </c>
      <c r="R4003" s="20"/>
      <c r="S4003" s="20"/>
      <c r="T4003" s="20"/>
    </row>
    <row r="4004" spans="13:20" x14ac:dyDescent="0.2">
      <c r="M4004" s="20">
        <v>1.5576925965881862E-2</v>
      </c>
      <c r="N4004" s="20">
        <v>1.112969584283207E-3</v>
      </c>
      <c r="O4004" s="20">
        <v>7.1449885986551137E-2</v>
      </c>
      <c r="P4004" s="20"/>
      <c r="Q4004" s="20">
        <v>0.69</v>
      </c>
      <c r="R4004" s="20">
        <v>0.11</v>
      </c>
      <c r="S4004" s="20">
        <v>0.19999999999999996</v>
      </c>
      <c r="T4004" s="20"/>
    </row>
    <row r="4005" spans="13:20" x14ac:dyDescent="0.2">
      <c r="M4005" s="20">
        <v>1.2192372238821525E-2</v>
      </c>
      <c r="N4005" s="20">
        <v>1.1172229665508365E-3</v>
      </c>
      <c r="O4005" s="20">
        <v>9.1632944325100732E-2</v>
      </c>
      <c r="P4005" s="20"/>
      <c r="Q4005" s="20">
        <v>0.39</v>
      </c>
      <c r="R4005" s="20">
        <v>0.48</v>
      </c>
      <c r="S4005" s="20">
        <v>0.13</v>
      </c>
      <c r="T4005" s="20"/>
    </row>
    <row r="4006" spans="13:20" x14ac:dyDescent="0.2">
      <c r="M4006" s="20">
        <v>1.2817445103249541E-2</v>
      </c>
      <c r="N4006" s="20">
        <v>1.3208509072843446E-3</v>
      </c>
      <c r="O4006" s="20">
        <v>0.10305102901899507</v>
      </c>
      <c r="P4006" s="20"/>
      <c r="Q4006" s="20">
        <v>0.34</v>
      </c>
      <c r="R4006" s="20">
        <v>0.09</v>
      </c>
      <c r="S4006" s="20">
        <v>0.09</v>
      </c>
      <c r="T4006" s="20">
        <v>0.47999999999999987</v>
      </c>
    </row>
    <row r="4007" spans="13:20" x14ac:dyDescent="0.2">
      <c r="M4007" s="20">
        <v>1.386228907498102E-2</v>
      </c>
      <c r="N4007" s="20">
        <v>2.3173160106963681E-3</v>
      </c>
      <c r="O4007" s="20">
        <v>0.16716690859366895</v>
      </c>
      <c r="P4007" s="20">
        <v>0.79</v>
      </c>
      <c r="Q4007" s="20">
        <v>0.21000000000000008</v>
      </c>
      <c r="R4007" s="20"/>
      <c r="S4007" s="20"/>
      <c r="T4007" s="20"/>
    </row>
    <row r="4008" spans="13:20" x14ac:dyDescent="0.2">
      <c r="M4008" s="20">
        <v>1.0984586739622933E-2</v>
      </c>
      <c r="N4008" s="20">
        <v>1.1663343903404344E-3</v>
      </c>
      <c r="O4008" s="20">
        <v>0.10617917796882645</v>
      </c>
      <c r="P4008" s="20"/>
      <c r="Q4008" s="20"/>
      <c r="R4008" s="20">
        <v>0.95</v>
      </c>
      <c r="S4008" s="20">
        <v>0</v>
      </c>
      <c r="T4008" s="20">
        <v>5.0000000000000155E-2</v>
      </c>
    </row>
    <row r="4009" spans="13:20" x14ac:dyDescent="0.2">
      <c r="M4009" s="20">
        <v>1.412321248308651E-2</v>
      </c>
      <c r="N4009" s="20">
        <v>1.1932527196521928E-3</v>
      </c>
      <c r="O4009" s="20">
        <v>8.4488760689623021E-2</v>
      </c>
      <c r="P4009" s="20"/>
      <c r="Q4009" s="20">
        <v>0.59</v>
      </c>
      <c r="R4009" s="20">
        <v>0.36</v>
      </c>
      <c r="S4009" s="20">
        <v>5.0000000000000044E-2</v>
      </c>
      <c r="T4009" s="20"/>
    </row>
    <row r="4010" spans="13:20" x14ac:dyDescent="0.2">
      <c r="M4010" s="20">
        <v>9.5795363962065012E-3</v>
      </c>
      <c r="N4010" s="20">
        <v>8.9798614085139362E-4</v>
      </c>
      <c r="O4010" s="20">
        <v>9.3740041658696163E-2</v>
      </c>
      <c r="P4010" s="20"/>
      <c r="Q4010" s="20"/>
      <c r="R4010" s="20">
        <v>0.6</v>
      </c>
      <c r="S4010" s="20">
        <v>0.40000000000000013</v>
      </c>
      <c r="T4010" s="20"/>
    </row>
    <row r="4011" spans="13:20" x14ac:dyDescent="0.2">
      <c r="M4011" s="20">
        <v>1.3674008432626252E-2</v>
      </c>
      <c r="N4011" s="20">
        <v>1.8830033665818793E-3</v>
      </c>
      <c r="O4011" s="20">
        <v>0.13770675774113345</v>
      </c>
      <c r="P4011" s="20">
        <v>0.32999999999999985</v>
      </c>
      <c r="Q4011" s="20"/>
      <c r="R4011" s="20"/>
      <c r="S4011" s="20"/>
      <c r="T4011" s="20">
        <v>0.67</v>
      </c>
    </row>
    <row r="4012" spans="13:20" x14ac:dyDescent="0.2">
      <c r="M4012" s="20">
        <v>1.4229806726489977E-2</v>
      </c>
      <c r="N4012" s="20">
        <v>2.4883204962203743E-3</v>
      </c>
      <c r="O4012" s="20">
        <v>0.17486678097940409</v>
      </c>
      <c r="P4012" s="20">
        <v>0.92</v>
      </c>
      <c r="Q4012" s="20">
        <v>7.9999999999999849E-2</v>
      </c>
      <c r="R4012" s="20"/>
      <c r="S4012" s="20"/>
      <c r="T4012" s="20"/>
    </row>
    <row r="4013" spans="13:20" x14ac:dyDescent="0.2">
      <c r="M4013" s="20">
        <v>1.3009110546230459E-2</v>
      </c>
      <c r="N4013" s="20">
        <v>2.0845028072481904E-3</v>
      </c>
      <c r="O4013" s="20">
        <v>0.16023407594550723</v>
      </c>
      <c r="P4013" s="20">
        <v>0.51999999999999991</v>
      </c>
      <c r="Q4013" s="20"/>
      <c r="R4013" s="20"/>
      <c r="S4013" s="20"/>
      <c r="T4013" s="20">
        <v>0.48</v>
      </c>
    </row>
    <row r="4014" spans="13:20" x14ac:dyDescent="0.2">
      <c r="M4014" s="20">
        <v>1.181417665641029E-2</v>
      </c>
      <c r="N4014" s="20">
        <v>1.2321905797851888E-3</v>
      </c>
      <c r="O4014" s="20">
        <v>0.10429762611655302</v>
      </c>
      <c r="P4014" s="20"/>
      <c r="Q4014" s="20"/>
      <c r="R4014" s="20">
        <v>0.1</v>
      </c>
      <c r="S4014" s="20">
        <v>0.26</v>
      </c>
      <c r="T4014" s="20">
        <v>0.64</v>
      </c>
    </row>
    <row r="4015" spans="13:20" x14ac:dyDescent="0.2">
      <c r="M4015" s="20">
        <v>1.4574550912421446E-2</v>
      </c>
      <c r="N4015" s="20">
        <v>1.4119965919799444E-3</v>
      </c>
      <c r="O4015" s="20">
        <v>9.6880967411252641E-2</v>
      </c>
      <c r="P4015" s="20">
        <v>0</v>
      </c>
      <c r="Q4015" s="20"/>
      <c r="R4015" s="20"/>
      <c r="S4015" s="20">
        <v>0.12</v>
      </c>
      <c r="T4015" s="20">
        <v>0.88</v>
      </c>
    </row>
    <row r="4016" spans="13:20" x14ac:dyDescent="0.2">
      <c r="M4016" s="20">
        <v>1.5049141803377429E-2</v>
      </c>
      <c r="N4016" s="20">
        <v>1.8043025541243487E-3</v>
      </c>
      <c r="O4016" s="20">
        <v>0.11989404962078402</v>
      </c>
      <c r="P4016" s="20">
        <v>0.4</v>
      </c>
      <c r="Q4016" s="20">
        <v>0.60000000000000009</v>
      </c>
      <c r="R4016" s="20"/>
      <c r="S4016" s="20"/>
      <c r="T4016" s="20"/>
    </row>
    <row r="4017" spans="13:20" x14ac:dyDescent="0.2">
      <c r="M4017" s="20">
        <v>1.0226624994773982E-2</v>
      </c>
      <c r="N4017" s="20">
        <v>8.1691245447353556E-4</v>
      </c>
      <c r="O4017" s="20">
        <v>7.9880943604658902E-2</v>
      </c>
      <c r="P4017" s="20"/>
      <c r="Q4017" s="20"/>
      <c r="R4017" s="20"/>
      <c r="S4017" s="20">
        <v>0.71</v>
      </c>
      <c r="T4017" s="20">
        <v>0.29000000000000004</v>
      </c>
    </row>
    <row r="4018" spans="13:20" x14ac:dyDescent="0.2">
      <c r="M4018" s="20">
        <v>1.0029055968474528E-2</v>
      </c>
      <c r="N4018" s="20">
        <v>1.0162841527710574E-3</v>
      </c>
      <c r="O4018" s="20">
        <v>0.10133397958548231</v>
      </c>
      <c r="P4018" s="20"/>
      <c r="Q4018" s="20"/>
      <c r="R4018" s="20">
        <v>0.79</v>
      </c>
      <c r="S4018" s="20">
        <v>0.21000000000000008</v>
      </c>
      <c r="T4018" s="20"/>
    </row>
    <row r="4019" spans="13:20" x14ac:dyDescent="0.2">
      <c r="M4019" s="20">
        <v>1.4123718142303426E-2</v>
      </c>
      <c r="N4019" s="20">
        <v>2.0279238044249724E-3</v>
      </c>
      <c r="O4019" s="20">
        <v>0.14358285714800026</v>
      </c>
      <c r="P4019" s="20">
        <v>0.56999999999999995</v>
      </c>
      <c r="Q4019" s="20">
        <v>0.43000000000000005</v>
      </c>
      <c r="R4019" s="20"/>
      <c r="S4019" s="20"/>
      <c r="T4019" s="20"/>
    </row>
    <row r="4020" spans="13:20" x14ac:dyDescent="0.2">
      <c r="M4020" s="20">
        <v>1.1545579285161933E-2</v>
      </c>
      <c r="N4020" s="20">
        <v>1.1497561246042389E-3</v>
      </c>
      <c r="O4020" s="20">
        <v>9.9584100217636931E-2</v>
      </c>
      <c r="P4020" s="20"/>
      <c r="Q4020" s="20"/>
      <c r="R4020" s="20"/>
      <c r="S4020" s="20">
        <v>0.38</v>
      </c>
      <c r="T4020" s="20">
        <v>0.62000000000000011</v>
      </c>
    </row>
    <row r="4021" spans="13:20" x14ac:dyDescent="0.2">
      <c r="M4021" s="20">
        <v>1.0663723254839674E-2</v>
      </c>
      <c r="N4021" s="20">
        <v>7.5899073302636549E-4</v>
      </c>
      <c r="O4021" s="20">
        <v>7.1175021602506577E-2</v>
      </c>
      <c r="P4021" s="20">
        <v>5.0000000000000044E-2</v>
      </c>
      <c r="Q4021" s="20"/>
      <c r="R4021" s="20"/>
      <c r="S4021" s="20">
        <v>0.82</v>
      </c>
      <c r="T4021" s="20">
        <v>0.13</v>
      </c>
    </row>
    <row r="4022" spans="13:20" x14ac:dyDescent="0.2">
      <c r="M4022" s="20">
        <v>1.3102028074088138E-2</v>
      </c>
      <c r="N4022" s="20">
        <v>2.2860022479145024E-3</v>
      </c>
      <c r="O4022" s="20">
        <v>0.1744769767693847</v>
      </c>
      <c r="P4022" s="20">
        <v>0.71000000000000008</v>
      </c>
      <c r="Q4022" s="20"/>
      <c r="R4022" s="20"/>
      <c r="S4022" s="20"/>
      <c r="T4022" s="20">
        <v>0.28999999999999998</v>
      </c>
    </row>
    <row r="4023" spans="13:20" x14ac:dyDescent="0.2">
      <c r="M4023" s="20">
        <v>1.385373340409984E-2</v>
      </c>
      <c r="N4023" s="20">
        <v>2.17261990756067E-3</v>
      </c>
      <c r="O4023" s="20">
        <v>0.1568255894773975</v>
      </c>
      <c r="P4023" s="20">
        <v>0.68</v>
      </c>
      <c r="Q4023" s="20">
        <v>0.31999999999999995</v>
      </c>
      <c r="R4023" s="20"/>
      <c r="S4023" s="20"/>
      <c r="T4023" s="20"/>
    </row>
    <row r="4024" spans="13:20" x14ac:dyDescent="0.2">
      <c r="M4024" s="20">
        <v>1.3849894403893379E-2</v>
      </c>
      <c r="N4024" s="20">
        <v>2.3041618195022134E-3</v>
      </c>
      <c r="O4024" s="20">
        <v>0.16636674275686061</v>
      </c>
      <c r="P4024" s="20">
        <v>0.78</v>
      </c>
      <c r="Q4024" s="20">
        <v>0.21999999999999997</v>
      </c>
      <c r="R4024" s="20"/>
      <c r="S4024" s="20"/>
      <c r="T4024" s="20"/>
    </row>
    <row r="4025" spans="13:20" x14ac:dyDescent="0.2">
      <c r="M4025" s="20">
        <v>1.5434244138739563E-2</v>
      </c>
      <c r="N4025" s="20">
        <v>1.6284777573191704E-3</v>
      </c>
      <c r="O4025" s="20">
        <v>0.10551069055799968</v>
      </c>
      <c r="P4025" s="20">
        <v>8.9999999999999969E-2</v>
      </c>
      <c r="Q4025" s="20"/>
      <c r="R4025" s="20"/>
      <c r="S4025" s="20"/>
      <c r="T4025" s="20">
        <v>0.91</v>
      </c>
    </row>
    <row r="4026" spans="13:20" x14ac:dyDescent="0.2">
      <c r="M4026" s="20">
        <v>1.2775028812907804E-2</v>
      </c>
      <c r="N4026" s="20">
        <v>1.82478674847954E-3</v>
      </c>
      <c r="O4026" s="20">
        <v>0.14284012781527253</v>
      </c>
      <c r="P4026" s="20">
        <v>0.34</v>
      </c>
      <c r="Q4026" s="20">
        <v>0.27000000000000013</v>
      </c>
      <c r="R4026" s="20"/>
      <c r="S4026" s="20"/>
      <c r="T4026" s="20">
        <v>0.39</v>
      </c>
    </row>
    <row r="4027" spans="13:20" x14ac:dyDescent="0.2">
      <c r="M4027" s="20">
        <v>1.0392937603379624E-2</v>
      </c>
      <c r="N4027" s="20">
        <v>1.0660938420003895E-3</v>
      </c>
      <c r="O4027" s="20">
        <v>0.10257868205171483</v>
      </c>
      <c r="P4027" s="20"/>
      <c r="Q4027" s="20"/>
      <c r="R4027" s="20">
        <v>0.87</v>
      </c>
      <c r="S4027" s="20">
        <v>0.13</v>
      </c>
      <c r="T4027" s="20"/>
    </row>
    <row r="4028" spans="13:20" x14ac:dyDescent="0.2">
      <c r="M4028" s="20">
        <v>1.009671539335835E-2</v>
      </c>
      <c r="N4028" s="20">
        <v>1.2656706378426379E-3</v>
      </c>
      <c r="O4028" s="20">
        <v>0.12535469095971546</v>
      </c>
      <c r="P4028" s="20">
        <v>0.29000000000000015</v>
      </c>
      <c r="Q4028" s="20"/>
      <c r="R4028" s="20"/>
      <c r="S4028" s="20">
        <v>0.56999999999999995</v>
      </c>
      <c r="T4028" s="20">
        <v>0.14000000000000001</v>
      </c>
    </row>
    <row r="4029" spans="13:20" x14ac:dyDescent="0.2">
      <c r="M4029" s="20">
        <v>1.5712515718385011E-2</v>
      </c>
      <c r="N4029" s="20">
        <v>1.5966620561613323E-3</v>
      </c>
      <c r="O4029" s="20">
        <v>0.1016172129771109</v>
      </c>
      <c r="P4029" s="20">
        <v>6.0000000000000164E-2</v>
      </c>
      <c r="Q4029" s="20"/>
      <c r="R4029" s="20"/>
      <c r="S4029" s="20"/>
      <c r="T4029" s="20">
        <v>0.94</v>
      </c>
    </row>
    <row r="4030" spans="13:20" x14ac:dyDescent="0.2">
      <c r="M4030" s="20">
        <v>1.1243555625401903E-2</v>
      </c>
      <c r="N4030" s="20">
        <v>5.9290179432173399E-4</v>
      </c>
      <c r="O4030" s="20">
        <v>5.2732588700164021E-2</v>
      </c>
      <c r="P4030" s="20"/>
      <c r="Q4030" s="20"/>
      <c r="R4030" s="20">
        <v>0.11</v>
      </c>
      <c r="S4030" s="20">
        <v>0.8899999999999999</v>
      </c>
      <c r="T4030" s="20"/>
    </row>
    <row r="4031" spans="13:20" x14ac:dyDescent="0.2">
      <c r="M4031" s="20">
        <v>9.3402654532638851E-3</v>
      </c>
      <c r="N4031" s="20">
        <v>8.7905613696986939E-4</v>
      </c>
      <c r="O4031" s="20">
        <v>9.4114684573840451E-2</v>
      </c>
      <c r="P4031" s="20"/>
      <c r="Q4031" s="20"/>
      <c r="R4031" s="20">
        <v>0.44</v>
      </c>
      <c r="S4031" s="20">
        <v>0.48</v>
      </c>
      <c r="T4031" s="20">
        <v>8.0000000000000071E-2</v>
      </c>
    </row>
    <row r="4032" spans="13:20" x14ac:dyDescent="0.2">
      <c r="M4032" s="20">
        <v>1.383981491350712E-2</v>
      </c>
      <c r="N4032" s="20">
        <v>2.2910076283080591E-3</v>
      </c>
      <c r="O4032" s="20">
        <v>0.16553744704144308</v>
      </c>
      <c r="P4032" s="20">
        <v>0.77</v>
      </c>
      <c r="Q4032" s="20">
        <v>0.22999999999999998</v>
      </c>
      <c r="R4032" s="20"/>
      <c r="S4032" s="20"/>
      <c r="T4032" s="20"/>
    </row>
    <row r="4033" spans="13:20" x14ac:dyDescent="0.2">
      <c r="M4033" s="20">
        <v>1.0715231547860398E-2</v>
      </c>
      <c r="N4033" s="20">
        <v>1.0388082345606708E-3</v>
      </c>
      <c r="O4033" s="20">
        <v>9.6946876968617493E-2</v>
      </c>
      <c r="P4033" s="20"/>
      <c r="Q4033" s="20"/>
      <c r="R4033" s="20"/>
      <c r="S4033" s="20">
        <v>0.49</v>
      </c>
      <c r="T4033" s="20">
        <v>0.5099999999999999</v>
      </c>
    </row>
    <row r="4034" spans="13:20" x14ac:dyDescent="0.2">
      <c r="M4034" s="20">
        <v>1.6852964635850839E-2</v>
      </c>
      <c r="N4034" s="20">
        <v>1.2558478520669544E-3</v>
      </c>
      <c r="O4034" s="20">
        <v>7.4517918906411545E-2</v>
      </c>
      <c r="P4034" s="20"/>
      <c r="Q4034" s="20">
        <v>0.83</v>
      </c>
      <c r="R4034" s="20">
        <v>0.16999999999999993</v>
      </c>
      <c r="S4034" s="20"/>
      <c r="T4034" s="20"/>
    </row>
    <row r="4035" spans="13:20" x14ac:dyDescent="0.2">
      <c r="M4035" s="20">
        <v>1.053392611697208E-2</v>
      </c>
      <c r="N4035" s="20">
        <v>6.9675093290973015E-4</v>
      </c>
      <c r="O4035" s="20">
        <v>6.6143518112125071E-2</v>
      </c>
      <c r="P4035" s="20"/>
      <c r="Q4035" s="20"/>
      <c r="R4035" s="20">
        <v>0.05</v>
      </c>
      <c r="S4035" s="20">
        <v>0.81</v>
      </c>
      <c r="T4035" s="20">
        <v>0.1399999999999999</v>
      </c>
    </row>
    <row r="4036" spans="13:20" x14ac:dyDescent="0.2">
      <c r="M4036" s="20">
        <v>1.2203446686908479E-2</v>
      </c>
      <c r="N4036" s="20">
        <v>1.9070023958066655E-3</v>
      </c>
      <c r="O4036" s="20">
        <v>0.1562675238178772</v>
      </c>
      <c r="P4036" s="20">
        <v>0.5</v>
      </c>
      <c r="Q4036" s="20">
        <v>0.28000000000000003</v>
      </c>
      <c r="R4036" s="20">
        <v>0.21999999999999997</v>
      </c>
      <c r="S4036" s="20"/>
      <c r="T4036" s="20"/>
    </row>
    <row r="4037" spans="13:20" x14ac:dyDescent="0.2">
      <c r="M4037" s="20">
        <v>1.2436757072444985E-2</v>
      </c>
      <c r="N4037" s="20">
        <v>7.5020109723509458E-4</v>
      </c>
      <c r="O4037" s="20">
        <v>6.0321279322665899E-2</v>
      </c>
      <c r="P4037" s="20"/>
      <c r="Q4037" s="20">
        <v>0.25</v>
      </c>
      <c r="R4037" s="20">
        <v>0.06</v>
      </c>
      <c r="S4037" s="20">
        <v>0.69000000000000006</v>
      </c>
      <c r="T4037" s="20"/>
    </row>
    <row r="4038" spans="13:20" x14ac:dyDescent="0.2">
      <c r="M4038" s="20">
        <v>1.5126377438054284E-2</v>
      </c>
      <c r="N4038" s="20">
        <v>1.5043293240706382E-3</v>
      </c>
      <c r="O4038" s="20">
        <v>9.9450733014641815E-2</v>
      </c>
      <c r="P4038" s="20">
        <v>3.0000000000000027E-2</v>
      </c>
      <c r="Q4038" s="20"/>
      <c r="R4038" s="20"/>
      <c r="S4038" s="20">
        <v>0.06</v>
      </c>
      <c r="T4038" s="20">
        <v>0.91</v>
      </c>
    </row>
    <row r="4039" spans="13:20" x14ac:dyDescent="0.2">
      <c r="M4039" s="20">
        <v>1.09232069476466E-2</v>
      </c>
      <c r="N4039" s="20">
        <v>1.0981834740096865E-3</v>
      </c>
      <c r="O4039" s="20">
        <v>0.10053672692215079</v>
      </c>
      <c r="P4039" s="20"/>
      <c r="Q4039" s="20">
        <v>0.26</v>
      </c>
      <c r="R4039" s="20">
        <v>0.38</v>
      </c>
      <c r="S4039" s="20">
        <v>0.22</v>
      </c>
      <c r="T4039" s="20">
        <v>0.14000000000000012</v>
      </c>
    </row>
    <row r="4040" spans="13:20" x14ac:dyDescent="0.2">
      <c r="M4040" s="20">
        <v>1.6301105982438266E-2</v>
      </c>
      <c r="N4040" s="20">
        <v>1.5330306538456546E-3</v>
      </c>
      <c r="O4040" s="20">
        <v>9.4044579275617268E-2</v>
      </c>
      <c r="P4040" s="20">
        <v>0</v>
      </c>
      <c r="Q4040" s="20"/>
      <c r="R4040" s="20"/>
      <c r="S4040" s="20"/>
      <c r="T4040" s="20">
        <v>1</v>
      </c>
    </row>
    <row r="4041" spans="13:20" x14ac:dyDescent="0.2">
      <c r="M4041" s="20">
        <v>1.0811938064209681E-2</v>
      </c>
      <c r="N4041" s="20">
        <v>1.073635272411414E-3</v>
      </c>
      <c r="O4041" s="20">
        <v>9.9300908499043772E-2</v>
      </c>
      <c r="P4041" s="20"/>
      <c r="Q4041" s="20">
        <v>0.2</v>
      </c>
      <c r="R4041" s="20">
        <v>0.64</v>
      </c>
      <c r="S4041" s="20">
        <v>0.15999999999999992</v>
      </c>
      <c r="T4041" s="20"/>
    </row>
    <row r="4042" spans="13:20" x14ac:dyDescent="0.2">
      <c r="M4042" s="20">
        <v>1.0296130351766712E-2</v>
      </c>
      <c r="N4042" s="20">
        <v>6.9252117278039837E-4</v>
      </c>
      <c r="O4042" s="20">
        <v>6.7260334622858464E-2</v>
      </c>
      <c r="P4042" s="20"/>
      <c r="Q4042" s="20"/>
      <c r="R4042" s="20">
        <v>0.27</v>
      </c>
      <c r="S4042" s="20">
        <v>0.73</v>
      </c>
      <c r="T4042" s="20"/>
    </row>
    <row r="4043" spans="13:20" x14ac:dyDescent="0.2">
      <c r="M4043" s="20">
        <v>1.1286863191562311E-2</v>
      </c>
      <c r="N4043" s="20">
        <v>1.230075699720523E-3</v>
      </c>
      <c r="O4043" s="20">
        <v>0.10898295468311225</v>
      </c>
      <c r="P4043" s="20"/>
      <c r="Q4043" s="20"/>
      <c r="R4043" s="20">
        <v>0.21</v>
      </c>
      <c r="S4043" s="20">
        <v>0.22</v>
      </c>
      <c r="T4043" s="20">
        <v>0.57000000000000006</v>
      </c>
    </row>
    <row r="4044" spans="13:20" x14ac:dyDescent="0.2">
      <c r="M4044" s="20">
        <v>1.3009110546230459E-2</v>
      </c>
      <c r="N4044" s="20">
        <v>2.0845028072481904E-3</v>
      </c>
      <c r="O4044" s="20">
        <v>0.16023407594550723</v>
      </c>
      <c r="P4044" s="20">
        <v>0.51999999999999991</v>
      </c>
      <c r="Q4044" s="20"/>
      <c r="R4044" s="20"/>
      <c r="S4044" s="20"/>
      <c r="T4044" s="20">
        <v>0.48</v>
      </c>
    </row>
    <row r="4045" spans="13:20" x14ac:dyDescent="0.2">
      <c r="M4045" s="20">
        <v>1.3087511687532255E-2</v>
      </c>
      <c r="N4045" s="20">
        <v>1.8041104431481929E-3</v>
      </c>
      <c r="O4045" s="20">
        <v>0.13784976748993993</v>
      </c>
      <c r="P4045" s="20">
        <v>0.43</v>
      </c>
      <c r="Q4045" s="20">
        <v>0.41</v>
      </c>
      <c r="R4045" s="20">
        <v>0.13</v>
      </c>
      <c r="S4045" s="20">
        <v>3.0000000000000027E-2</v>
      </c>
      <c r="T4045" s="20"/>
    </row>
    <row r="4046" spans="13:20" x14ac:dyDescent="0.2">
      <c r="M4046" s="20">
        <v>1.5413130945862857E-2</v>
      </c>
      <c r="N4046" s="20">
        <v>1.2401158137437399E-3</v>
      </c>
      <c r="O4046" s="20">
        <v>8.0458397330141915E-2</v>
      </c>
      <c r="P4046" s="20"/>
      <c r="Q4046" s="20">
        <v>0.71</v>
      </c>
      <c r="R4046" s="20">
        <v>0.29000000000000004</v>
      </c>
      <c r="S4046" s="20"/>
      <c r="T4046" s="20"/>
    </row>
    <row r="4047" spans="13:20" x14ac:dyDescent="0.2">
      <c r="M4047" s="20">
        <v>1.1596840614744374E-2</v>
      </c>
      <c r="N4047" s="20">
        <v>1.2845097915720506E-3</v>
      </c>
      <c r="O4047" s="20">
        <v>0.11076377043062127</v>
      </c>
      <c r="P4047" s="20">
        <v>6.9999999999999951E-2</v>
      </c>
      <c r="Q4047" s="20"/>
      <c r="R4047" s="20"/>
      <c r="S4047" s="20">
        <v>0.32</v>
      </c>
      <c r="T4047" s="20">
        <v>0.61</v>
      </c>
    </row>
    <row r="4048" spans="13:20" x14ac:dyDescent="0.2">
      <c r="M4048" s="20">
        <v>1.4244000335516109E-2</v>
      </c>
      <c r="N4048" s="20">
        <v>1.9884612308425096E-3</v>
      </c>
      <c r="O4048" s="20">
        <v>0.13959991463103688</v>
      </c>
      <c r="P4048" s="20">
        <v>0.54</v>
      </c>
      <c r="Q4048" s="20">
        <v>0.46000000000000008</v>
      </c>
      <c r="R4048" s="20"/>
      <c r="S4048" s="20"/>
      <c r="T4048" s="20"/>
    </row>
    <row r="4049" spans="13:20" x14ac:dyDescent="0.2">
      <c r="M4049" s="20">
        <v>1.3849894403893379E-2</v>
      </c>
      <c r="N4049" s="20">
        <v>2.3041618195022134E-3</v>
      </c>
      <c r="O4049" s="20">
        <v>0.16636674275686061</v>
      </c>
      <c r="P4049" s="20">
        <v>0.78</v>
      </c>
      <c r="Q4049" s="20">
        <v>0.21999999999999997</v>
      </c>
      <c r="R4049" s="20"/>
      <c r="S4049" s="20"/>
      <c r="T4049" s="20"/>
    </row>
    <row r="4050" spans="13:20" x14ac:dyDescent="0.2">
      <c r="M4050" s="20">
        <v>1.3967112561819484E-2</v>
      </c>
      <c r="N4050" s="20">
        <v>2.0936947603957443E-3</v>
      </c>
      <c r="O4050" s="20">
        <v>0.14990176037666303</v>
      </c>
      <c r="P4050" s="20">
        <v>0.62</v>
      </c>
      <c r="Q4050" s="20">
        <v>0.38000000000000012</v>
      </c>
      <c r="R4050" s="20"/>
      <c r="S4050" s="20"/>
      <c r="T4050" s="20"/>
    </row>
    <row r="4051" spans="13:20" x14ac:dyDescent="0.2">
      <c r="M4051" s="20">
        <v>1.1037677669451181E-2</v>
      </c>
      <c r="N4051" s="20">
        <v>1.1345821646907212E-3</v>
      </c>
      <c r="O4051" s="20">
        <v>0.10279174647678721</v>
      </c>
      <c r="P4051" s="20"/>
      <c r="Q4051" s="20"/>
      <c r="R4051" s="20">
        <v>0.98</v>
      </c>
      <c r="S4051" s="20">
        <v>2.0000000000000018E-2</v>
      </c>
      <c r="T4051" s="20"/>
    </row>
    <row r="4052" spans="13:20" x14ac:dyDescent="0.2">
      <c r="M4052" s="20">
        <v>1.5344006605141125E-2</v>
      </c>
      <c r="N4052" s="20">
        <v>1.6390829910384501E-3</v>
      </c>
      <c r="O4052" s="20">
        <v>0.10682235958431242</v>
      </c>
      <c r="P4052" s="20">
        <v>9.9999999999999978E-2</v>
      </c>
      <c r="Q4052" s="20"/>
      <c r="R4052" s="20"/>
      <c r="S4052" s="20"/>
      <c r="T4052" s="20">
        <v>0.9</v>
      </c>
    </row>
    <row r="4053" spans="13:20" x14ac:dyDescent="0.2">
      <c r="M4053" s="20">
        <v>1.2542198764432171E-2</v>
      </c>
      <c r="N4053" s="20">
        <v>7.6527552592963008E-4</v>
      </c>
      <c r="O4053" s="20">
        <v>6.1016057894078247E-2</v>
      </c>
      <c r="P4053" s="20">
        <v>0</v>
      </c>
      <c r="Q4053" s="20">
        <v>0.27</v>
      </c>
      <c r="R4053" s="20">
        <v>0.06</v>
      </c>
      <c r="S4053" s="20">
        <v>0.67</v>
      </c>
      <c r="T4053" s="20"/>
    </row>
    <row r="4054" spans="13:20" x14ac:dyDescent="0.2">
      <c r="M4054" s="20">
        <v>1.4912738377618208E-2</v>
      </c>
      <c r="N4054" s="20">
        <v>1.6921091596348479E-3</v>
      </c>
      <c r="O4054" s="20">
        <v>0.11346736707823232</v>
      </c>
      <c r="P4054" s="20">
        <v>0.15000000000000002</v>
      </c>
      <c r="Q4054" s="20"/>
      <c r="R4054" s="20"/>
      <c r="S4054" s="20"/>
      <c r="T4054" s="20">
        <v>0.85</v>
      </c>
    </row>
    <row r="4055" spans="13:20" x14ac:dyDescent="0.2">
      <c r="M4055" s="20">
        <v>1.8132536690980538E-2</v>
      </c>
      <c r="N4055" s="20">
        <v>1.2689578840029663E-3</v>
      </c>
      <c r="O4055" s="20">
        <v>6.998236957293294E-2</v>
      </c>
      <c r="P4055" s="20"/>
      <c r="Q4055" s="20">
        <v>0.93</v>
      </c>
      <c r="R4055" s="20">
        <v>6.999999999999984E-2</v>
      </c>
      <c r="S4055" s="20"/>
      <c r="T4055" s="20"/>
    </row>
    <row r="4056" spans="13:20" x14ac:dyDescent="0.2">
      <c r="M4056" s="20">
        <v>1.4632932006181711E-2</v>
      </c>
      <c r="N4056" s="20">
        <v>1.2309387913885315E-3</v>
      </c>
      <c r="O4056" s="20">
        <v>8.4121131080805878E-2</v>
      </c>
      <c r="P4056" s="20"/>
      <c r="Q4056" s="20">
        <v>0.64</v>
      </c>
      <c r="R4056" s="20">
        <v>0.3600000000000001</v>
      </c>
      <c r="S4056" s="20"/>
      <c r="T4056" s="20"/>
    </row>
    <row r="4057" spans="13:20" x14ac:dyDescent="0.2">
      <c r="M4057" s="20">
        <v>1.3088010981072576E-2</v>
      </c>
      <c r="N4057" s="20">
        <v>2.0420818723710732E-3</v>
      </c>
      <c r="O4057" s="20">
        <v>0.15602690701621971</v>
      </c>
      <c r="P4057" s="20">
        <v>0.48000000000000009</v>
      </c>
      <c r="Q4057" s="20"/>
      <c r="R4057" s="20"/>
      <c r="S4057" s="20"/>
      <c r="T4057" s="20">
        <v>0.52</v>
      </c>
    </row>
    <row r="4058" spans="13:20" x14ac:dyDescent="0.2">
      <c r="M4058" s="20">
        <v>1.1671651481763246E-2</v>
      </c>
      <c r="N4058" s="20">
        <v>5.6475815891997251E-4</v>
      </c>
      <c r="O4058" s="20">
        <v>4.8387167814460307E-2</v>
      </c>
      <c r="P4058" s="20"/>
      <c r="Q4058" s="20"/>
      <c r="R4058" s="20"/>
      <c r="S4058" s="20">
        <v>0.96</v>
      </c>
      <c r="T4058" s="20">
        <v>4.0000000000000036E-2</v>
      </c>
    </row>
    <row r="4059" spans="13:20" x14ac:dyDescent="0.2">
      <c r="M4059" s="20">
        <v>1.0271232069561676E-2</v>
      </c>
      <c r="N4059" s="20">
        <v>1.2020650056989548E-3</v>
      </c>
      <c r="O4059" s="20">
        <v>0.11703221167217311</v>
      </c>
      <c r="P4059" s="20"/>
      <c r="Q4059" s="20"/>
      <c r="R4059" s="20">
        <v>0.56999999999999995</v>
      </c>
      <c r="S4059" s="20">
        <v>0.11</v>
      </c>
      <c r="T4059" s="20">
        <v>0.32000000000000006</v>
      </c>
    </row>
    <row r="4060" spans="13:20" x14ac:dyDescent="0.2">
      <c r="M4060" s="20">
        <v>1.672866854777524E-2</v>
      </c>
      <c r="N4060" s="20">
        <v>1.2545368488733532E-3</v>
      </c>
      <c r="O4060" s="20">
        <v>7.4993227661277043E-2</v>
      </c>
      <c r="P4060" s="20"/>
      <c r="Q4060" s="20">
        <v>0.82</v>
      </c>
      <c r="R4060" s="20">
        <v>0.17999999999999994</v>
      </c>
      <c r="S4060" s="20"/>
      <c r="T4060" s="20"/>
    </row>
    <row r="4061" spans="13:20" x14ac:dyDescent="0.2">
      <c r="M4061" s="20">
        <v>1.3290442570939812E-2</v>
      </c>
      <c r="N4061" s="20">
        <v>2.3818201227316809E-3</v>
      </c>
      <c r="O4061" s="20">
        <v>0.17921300287920014</v>
      </c>
      <c r="P4061" s="20">
        <v>0.85</v>
      </c>
      <c r="Q4061" s="20">
        <v>0.04</v>
      </c>
      <c r="R4061" s="20">
        <v>0.1100000000000001</v>
      </c>
      <c r="S4061" s="20"/>
      <c r="T4061" s="20"/>
    </row>
    <row r="4062" spans="13:20" x14ac:dyDescent="0.2">
      <c r="M4062" s="20">
        <v>1.1180811317419758E-2</v>
      </c>
      <c r="N4062" s="20">
        <v>1.1637123388237968E-3</v>
      </c>
      <c r="O4062" s="20">
        <v>0.1040812071491384</v>
      </c>
      <c r="P4062" s="20">
        <v>0.21</v>
      </c>
      <c r="Q4062" s="20">
        <v>0.17999999999999994</v>
      </c>
      <c r="R4062" s="20">
        <v>0.03</v>
      </c>
      <c r="S4062" s="20">
        <v>0.53</v>
      </c>
      <c r="T4062" s="20">
        <v>0.05</v>
      </c>
    </row>
    <row r="4063" spans="13:20" x14ac:dyDescent="0.2">
      <c r="M4063" s="20">
        <v>1.906302168500059E-2</v>
      </c>
      <c r="N4063" s="20">
        <v>1.2781349063581749E-3</v>
      </c>
      <c r="O4063" s="20">
        <v>6.7047865101252727E-2</v>
      </c>
      <c r="P4063" s="20"/>
      <c r="Q4063" s="20">
        <v>1</v>
      </c>
      <c r="R4063" s="20">
        <v>0</v>
      </c>
      <c r="S4063" s="20"/>
      <c r="T4063" s="20"/>
    </row>
    <row r="4064" spans="13:20" x14ac:dyDescent="0.2">
      <c r="M4064" s="20">
        <v>1.0081276681605283E-2</v>
      </c>
      <c r="N4064" s="20">
        <v>1.386185637811211E-3</v>
      </c>
      <c r="O4064" s="20">
        <v>0.13750100127104964</v>
      </c>
      <c r="P4064" s="20">
        <v>0.28000000000000003</v>
      </c>
      <c r="Q4064" s="20"/>
      <c r="R4064" s="20"/>
      <c r="S4064" s="20">
        <v>0.44</v>
      </c>
      <c r="T4064" s="20">
        <v>0.28000000000000003</v>
      </c>
    </row>
    <row r="4065" spans="13:20" x14ac:dyDescent="0.2">
      <c r="M4065" s="20">
        <v>1.6397669149737778E-2</v>
      </c>
      <c r="N4065" s="20">
        <v>1.5938354950178789E-3</v>
      </c>
      <c r="O4065" s="20">
        <v>9.7198905555632986E-2</v>
      </c>
      <c r="P4065" s="20">
        <v>0.24</v>
      </c>
      <c r="Q4065" s="20">
        <v>0.7599999999999999</v>
      </c>
      <c r="R4065" s="20"/>
      <c r="S4065" s="20"/>
      <c r="T4065" s="20">
        <v>0</v>
      </c>
    </row>
    <row r="4066" spans="13:20" x14ac:dyDescent="0.2">
      <c r="M4066" s="20">
        <v>1.2006000324427038E-2</v>
      </c>
      <c r="N4066" s="20">
        <v>1.780748655897669E-3</v>
      </c>
      <c r="O4066" s="20">
        <v>0.14832155653657716</v>
      </c>
      <c r="P4066" s="20">
        <v>0.41</v>
      </c>
      <c r="Q4066" s="20">
        <v>0.31</v>
      </c>
      <c r="R4066" s="20">
        <v>0.28000000000000003</v>
      </c>
      <c r="S4066" s="20"/>
      <c r="T4066" s="20"/>
    </row>
    <row r="4067" spans="13:20" x14ac:dyDescent="0.2">
      <c r="M4067" s="20">
        <v>9.955561542518308E-3</v>
      </c>
      <c r="N4067" s="20">
        <v>7.4233086200973055E-4</v>
      </c>
      <c r="O4067" s="20">
        <v>7.4564439066483273E-2</v>
      </c>
      <c r="P4067" s="20"/>
      <c r="Q4067" s="20"/>
      <c r="R4067" s="20">
        <v>0.35</v>
      </c>
      <c r="S4067" s="20">
        <v>0.65</v>
      </c>
      <c r="T4067" s="20"/>
    </row>
    <row r="4068" spans="13:20" x14ac:dyDescent="0.2">
      <c r="M4068" s="20">
        <v>1.0732432473869223E-2</v>
      </c>
      <c r="N4068" s="20">
        <v>8.8422693141421605E-4</v>
      </c>
      <c r="O4068" s="20">
        <v>8.2388306058956015E-2</v>
      </c>
      <c r="P4068" s="20"/>
      <c r="Q4068" s="20">
        <v>0.18</v>
      </c>
      <c r="R4068" s="20">
        <v>0.36</v>
      </c>
      <c r="S4068" s="20">
        <v>0.45999999999999996</v>
      </c>
      <c r="T4068" s="20"/>
    </row>
    <row r="4069" spans="13:20" x14ac:dyDescent="0.2">
      <c r="M4069" s="20">
        <v>1.6301105982438266E-2</v>
      </c>
      <c r="N4069" s="20">
        <v>1.5330306538456546E-3</v>
      </c>
      <c r="O4069" s="20">
        <v>9.4044579275617268E-2</v>
      </c>
      <c r="P4069" s="20">
        <v>0</v>
      </c>
      <c r="Q4069" s="20"/>
      <c r="R4069" s="20"/>
      <c r="S4069" s="20"/>
      <c r="T4069" s="20">
        <v>1</v>
      </c>
    </row>
    <row r="4070" spans="13:20" x14ac:dyDescent="0.2">
      <c r="M4070" s="20">
        <v>1.1873565018534238E-2</v>
      </c>
      <c r="N4070" s="20">
        <v>1.9017583830322608E-3</v>
      </c>
      <c r="O4070" s="20">
        <v>0.16016742907995027</v>
      </c>
      <c r="P4070" s="20">
        <v>0.5</v>
      </c>
      <c r="Q4070" s="20">
        <v>0.24</v>
      </c>
      <c r="R4070" s="20">
        <v>0.26000000000000012</v>
      </c>
      <c r="S4070" s="20"/>
      <c r="T4070" s="20"/>
    </row>
    <row r="4071" spans="13:20" x14ac:dyDescent="0.2">
      <c r="M4071" s="20">
        <v>1.0737484730818526E-2</v>
      </c>
      <c r="N4071" s="20">
        <v>6.8579222078568266E-4</v>
      </c>
      <c r="O4071" s="20">
        <v>6.3868982166497043E-2</v>
      </c>
      <c r="P4071" s="20"/>
      <c r="Q4071" s="20"/>
      <c r="R4071" s="20"/>
      <c r="S4071" s="20">
        <v>0.84</v>
      </c>
      <c r="T4071" s="20">
        <v>0.15999999999999992</v>
      </c>
    </row>
    <row r="4072" spans="13:20" x14ac:dyDescent="0.2">
      <c r="M4072" s="20">
        <v>1.038899761491293E-2</v>
      </c>
      <c r="N4072" s="20">
        <v>1.0415163667591874E-3</v>
      </c>
      <c r="O4072" s="20">
        <v>0.10025186311181151</v>
      </c>
      <c r="P4072" s="20">
        <v>0.14000000000000001</v>
      </c>
      <c r="Q4072" s="20">
        <v>0.12</v>
      </c>
      <c r="R4072" s="20">
        <v>0.22</v>
      </c>
      <c r="S4072" s="20">
        <v>0.52</v>
      </c>
      <c r="T4072" s="20"/>
    </row>
    <row r="4073" spans="13:20" x14ac:dyDescent="0.2">
      <c r="M4073" s="20">
        <v>9.7674331338455742E-3</v>
      </c>
      <c r="N4073" s="20">
        <v>1.5754119253516248E-3</v>
      </c>
      <c r="O4073" s="20">
        <v>0.16129231741475597</v>
      </c>
      <c r="P4073" s="20">
        <v>0.33</v>
      </c>
      <c r="Q4073" s="20">
        <v>0.06</v>
      </c>
      <c r="R4073" s="20">
        <v>0.52</v>
      </c>
      <c r="S4073" s="20">
        <v>0.03</v>
      </c>
      <c r="T4073" s="20">
        <v>0.02</v>
      </c>
    </row>
    <row r="4074" spans="13:20" x14ac:dyDescent="0.2">
      <c r="M4074" s="20">
        <v>1.0161170745059983E-2</v>
      </c>
      <c r="N4074" s="20">
        <v>1.408425752221408E-3</v>
      </c>
      <c r="O4074" s="20">
        <v>0.13860860992874635</v>
      </c>
      <c r="P4074" s="20">
        <v>0.13</v>
      </c>
      <c r="Q4074" s="20">
        <v>0.02</v>
      </c>
      <c r="R4074" s="20">
        <v>0.51</v>
      </c>
      <c r="S4074" s="20">
        <v>0.06</v>
      </c>
      <c r="T4074" s="20">
        <v>0.28000000000000014</v>
      </c>
    </row>
    <row r="4075" spans="13:20" x14ac:dyDescent="0.2">
      <c r="M4075" s="20">
        <v>1.5481001792652119E-2</v>
      </c>
      <c r="N4075" s="20">
        <v>1.1054323699359395E-3</v>
      </c>
      <c r="O4075" s="20">
        <v>7.1405738772061911E-2</v>
      </c>
      <c r="P4075" s="20"/>
      <c r="Q4075" s="20">
        <v>0.68</v>
      </c>
      <c r="R4075" s="20">
        <v>0.11</v>
      </c>
      <c r="S4075" s="20">
        <v>0.20999999999999996</v>
      </c>
      <c r="T4075" s="20"/>
    </row>
    <row r="4076" spans="13:20" x14ac:dyDescent="0.2">
      <c r="M4076" s="20">
        <v>1.2594249762566156E-2</v>
      </c>
      <c r="N4076" s="20">
        <v>1.6636719383438816E-3</v>
      </c>
      <c r="O4076" s="20">
        <v>0.13209774061245061</v>
      </c>
      <c r="P4076" s="20">
        <v>0.32</v>
      </c>
      <c r="Q4076" s="20">
        <v>0.41</v>
      </c>
      <c r="R4076" s="20">
        <v>0.27000000000000013</v>
      </c>
      <c r="S4076" s="20"/>
      <c r="T4076" s="20"/>
    </row>
    <row r="4077" spans="13:20" x14ac:dyDescent="0.2">
      <c r="M4077" s="20">
        <v>1.3129116061327304E-2</v>
      </c>
      <c r="N4077" s="20">
        <v>1.5509442123771348E-3</v>
      </c>
      <c r="O4077" s="20">
        <v>0.11813013192453568</v>
      </c>
      <c r="P4077" s="20">
        <v>0.11999999999999988</v>
      </c>
      <c r="Q4077" s="20">
        <v>0.28000000000000003</v>
      </c>
      <c r="R4077" s="20">
        <v>0.02</v>
      </c>
      <c r="S4077" s="20">
        <v>0.03</v>
      </c>
      <c r="T4077" s="20">
        <v>0.55000000000000004</v>
      </c>
    </row>
    <row r="4078" spans="13:20" x14ac:dyDescent="0.2">
      <c r="M4078" s="20">
        <v>1.0909084634781437E-2</v>
      </c>
      <c r="N4078" s="20">
        <v>1.1221297423833882E-3</v>
      </c>
      <c r="O4078" s="20">
        <v>0.10286195221235168</v>
      </c>
      <c r="P4078" s="20"/>
      <c r="Q4078" s="20"/>
      <c r="R4078" s="20">
        <v>0.96</v>
      </c>
      <c r="S4078" s="20">
        <v>4.0000000000000147E-2</v>
      </c>
      <c r="T4078" s="20"/>
    </row>
    <row r="4079" spans="13:20" x14ac:dyDescent="0.2">
      <c r="M4079" s="20">
        <v>1.3094468734401865E-2</v>
      </c>
      <c r="N4079" s="20">
        <v>1.9740401957128962E-3</v>
      </c>
      <c r="O4079" s="20">
        <v>0.15075374463468583</v>
      </c>
      <c r="P4079" s="20">
        <v>0.54</v>
      </c>
      <c r="Q4079" s="20">
        <v>0.35</v>
      </c>
      <c r="R4079" s="20">
        <v>0.10999999999999999</v>
      </c>
      <c r="S4079" s="20"/>
      <c r="T4079" s="20"/>
    </row>
    <row r="4080" spans="13:20" x14ac:dyDescent="0.2">
      <c r="M4080" s="20">
        <v>1.244363330345339E-2</v>
      </c>
      <c r="N4080" s="20">
        <v>9.0028777455176999E-4</v>
      </c>
      <c r="O4080" s="20">
        <v>7.2349269107915587E-2</v>
      </c>
      <c r="P4080" s="20"/>
      <c r="Q4080" s="20">
        <v>0.35</v>
      </c>
      <c r="R4080" s="20">
        <v>0.18</v>
      </c>
      <c r="S4080" s="20">
        <v>0.47</v>
      </c>
      <c r="T4080" s="20"/>
    </row>
    <row r="4081" spans="13:20" x14ac:dyDescent="0.2">
      <c r="M4081" s="20">
        <v>1.3009110546230463E-2</v>
      </c>
      <c r="N4081" s="20">
        <v>2.0845028072481913E-3</v>
      </c>
      <c r="O4081" s="20">
        <v>0.16023407594550726</v>
      </c>
      <c r="P4081" s="20">
        <v>0.52000000000000013</v>
      </c>
      <c r="Q4081" s="20"/>
      <c r="R4081" s="20"/>
      <c r="S4081" s="20"/>
      <c r="T4081" s="20">
        <v>0.48</v>
      </c>
    </row>
    <row r="4082" spans="13:20" x14ac:dyDescent="0.2">
      <c r="M4082" s="20">
        <v>1.4670749734442235E-2</v>
      </c>
      <c r="N4082" s="20">
        <v>1.7239248607926864E-3</v>
      </c>
      <c r="O4082" s="20">
        <v>0.11750761835609952</v>
      </c>
      <c r="P4082" s="20">
        <v>0.18000000000000005</v>
      </c>
      <c r="Q4082" s="20"/>
      <c r="R4082" s="20"/>
      <c r="S4082" s="20"/>
      <c r="T4082" s="20">
        <v>0.82</v>
      </c>
    </row>
    <row r="4083" spans="13:20" x14ac:dyDescent="0.2">
      <c r="M4083" s="20">
        <v>1.0632333436446671E-2</v>
      </c>
      <c r="N4083" s="20">
        <v>1.0823917126363365E-3</v>
      </c>
      <c r="O4083" s="20">
        <v>0.1018018969312979</v>
      </c>
      <c r="P4083" s="20"/>
      <c r="Q4083" s="20"/>
      <c r="R4083" s="20">
        <v>7.0000000000000007E-2</v>
      </c>
      <c r="S4083" s="20">
        <v>0.42</v>
      </c>
      <c r="T4083" s="20">
        <v>0.5099999999999999</v>
      </c>
    </row>
    <row r="4084" spans="13:20" x14ac:dyDescent="0.2">
      <c r="M4084" s="20">
        <v>1.4273481573858949E-2</v>
      </c>
      <c r="N4084" s="20">
        <v>2.5014746874145286E-3</v>
      </c>
      <c r="O4084" s="20">
        <v>0.17525329573380569</v>
      </c>
      <c r="P4084" s="20">
        <v>0.93</v>
      </c>
      <c r="Q4084" s="20">
        <v>6.999999999999984E-2</v>
      </c>
      <c r="R4084" s="20"/>
      <c r="S4084" s="20"/>
      <c r="T4084" s="20"/>
    </row>
    <row r="4085" spans="13:20" x14ac:dyDescent="0.2">
      <c r="M4085" s="20">
        <v>1.2207008536483408E-2</v>
      </c>
      <c r="N4085" s="20">
        <v>2.0578607710059864E-3</v>
      </c>
      <c r="O4085" s="20">
        <v>0.16858026803664497</v>
      </c>
      <c r="P4085" s="20">
        <v>0.69</v>
      </c>
      <c r="Q4085" s="20">
        <v>6.0000000000000053E-2</v>
      </c>
      <c r="R4085" s="20"/>
      <c r="S4085" s="20">
        <v>0.19</v>
      </c>
      <c r="T4085" s="20">
        <v>0.06</v>
      </c>
    </row>
    <row r="4086" spans="13:20" x14ac:dyDescent="0.2">
      <c r="M4086" s="20">
        <v>1.1639768776964453E-2</v>
      </c>
      <c r="N4086" s="20">
        <v>7.3348686053261846E-4</v>
      </c>
      <c r="O4086" s="20">
        <v>6.3015586871812856E-2</v>
      </c>
      <c r="P4086" s="20"/>
      <c r="Q4086" s="20">
        <v>0.17</v>
      </c>
      <c r="R4086" s="20">
        <v>0.13</v>
      </c>
      <c r="S4086" s="20">
        <v>0.7</v>
      </c>
      <c r="T4086" s="20"/>
    </row>
    <row r="4087" spans="13:20" x14ac:dyDescent="0.2">
      <c r="M4087" s="20">
        <v>1.0190149252564945E-2</v>
      </c>
      <c r="N4087" s="20">
        <v>8.7742948540639064E-4</v>
      </c>
      <c r="O4087" s="20">
        <v>8.6105655928987931E-2</v>
      </c>
      <c r="P4087" s="20"/>
      <c r="Q4087" s="20"/>
      <c r="R4087" s="20"/>
      <c r="S4087" s="20">
        <v>0.65</v>
      </c>
      <c r="T4087" s="20">
        <v>0.35</v>
      </c>
    </row>
    <row r="4088" spans="13:20" x14ac:dyDescent="0.2">
      <c r="M4088" s="20">
        <v>1.0029055968474528E-2</v>
      </c>
      <c r="N4088" s="20">
        <v>1.0162841527710574E-3</v>
      </c>
      <c r="O4088" s="20">
        <v>0.10133397958548231</v>
      </c>
      <c r="P4088" s="20"/>
      <c r="Q4088" s="20"/>
      <c r="R4088" s="20">
        <v>0.79</v>
      </c>
      <c r="S4088" s="20">
        <v>0.21000000000000008</v>
      </c>
      <c r="T4088" s="20"/>
    </row>
    <row r="4089" spans="13:20" x14ac:dyDescent="0.2">
      <c r="M4089" s="20">
        <v>1.4434072448601473E-2</v>
      </c>
      <c r="N4089" s="20">
        <v>1.935844466065892E-3</v>
      </c>
      <c r="O4089" s="20">
        <v>0.13411630521872966</v>
      </c>
      <c r="P4089" s="20">
        <v>0.5</v>
      </c>
      <c r="Q4089" s="20">
        <v>0.49999999999999989</v>
      </c>
      <c r="R4089" s="20"/>
      <c r="S4089" s="20"/>
      <c r="T4089" s="20"/>
    </row>
    <row r="4090" spans="13:20" x14ac:dyDescent="0.2">
      <c r="M4090" s="20">
        <v>1.2130087016171161E-2</v>
      </c>
      <c r="N4090" s="20">
        <v>1.2102731555370938E-3</v>
      </c>
      <c r="O4090" s="20">
        <v>9.977448256748897E-2</v>
      </c>
      <c r="P4090" s="20"/>
      <c r="Q4090" s="20"/>
      <c r="R4090" s="20"/>
      <c r="S4090" s="20">
        <v>0.32</v>
      </c>
      <c r="T4090" s="20">
        <v>0.67999999999999994</v>
      </c>
    </row>
    <row r="4091" spans="13:20" x14ac:dyDescent="0.2">
      <c r="M4091" s="20">
        <v>1.0308280977094918E-2</v>
      </c>
      <c r="N4091" s="20">
        <v>1.1690704402864808E-3</v>
      </c>
      <c r="O4091" s="20">
        <v>0.1134108046612393</v>
      </c>
      <c r="P4091" s="20"/>
      <c r="Q4091" s="20"/>
      <c r="R4091" s="20">
        <v>0.76</v>
      </c>
      <c r="S4091" s="20">
        <v>7.0000000000000007E-2</v>
      </c>
      <c r="T4091" s="20">
        <v>0.17000000000000004</v>
      </c>
    </row>
    <row r="4092" spans="13:20" x14ac:dyDescent="0.2">
      <c r="M4092" s="20">
        <v>1.3328196765943155E-2</v>
      </c>
      <c r="N4092" s="20">
        <v>2.3602388839494589E-3</v>
      </c>
      <c r="O4092" s="20">
        <v>0.17708613741211068</v>
      </c>
      <c r="P4092" s="20">
        <v>0.77999999999999992</v>
      </c>
      <c r="Q4092" s="20"/>
      <c r="R4092" s="20"/>
      <c r="S4092" s="20"/>
      <c r="T4092" s="20">
        <v>0.22</v>
      </c>
    </row>
    <row r="4093" spans="13:20" x14ac:dyDescent="0.2">
      <c r="M4093" s="20">
        <v>1.385373340409984E-2</v>
      </c>
      <c r="N4093" s="20">
        <v>2.17261990756067E-3</v>
      </c>
      <c r="O4093" s="20">
        <v>0.1568255894773975</v>
      </c>
      <c r="P4093" s="20">
        <v>0.68</v>
      </c>
      <c r="Q4093" s="20">
        <v>0.31999999999999995</v>
      </c>
      <c r="R4093" s="20"/>
      <c r="S4093" s="20"/>
      <c r="T4093" s="20"/>
    </row>
    <row r="4094" spans="13:20" x14ac:dyDescent="0.2">
      <c r="M4094" s="20">
        <v>1.3862288581503074E-2</v>
      </c>
      <c r="N4094" s="20">
        <v>1.6827321373749093E-3</v>
      </c>
      <c r="O4094" s="20">
        <v>0.121389201175644</v>
      </c>
      <c r="P4094" s="20">
        <v>0.17</v>
      </c>
      <c r="Q4094" s="20">
        <v>0.12</v>
      </c>
      <c r="R4094" s="20"/>
      <c r="S4094" s="20"/>
      <c r="T4094" s="20">
        <v>0.71</v>
      </c>
    </row>
    <row r="4095" spans="13:20" x14ac:dyDescent="0.2">
      <c r="M4095" s="20">
        <v>1.0245395744649558E-2</v>
      </c>
      <c r="N4095" s="20">
        <v>1.0474152085393899E-3</v>
      </c>
      <c r="O4095" s="20">
        <v>0.10223277212950806</v>
      </c>
      <c r="P4095" s="20"/>
      <c r="Q4095" s="20"/>
      <c r="R4095" s="20">
        <v>0.84</v>
      </c>
      <c r="S4095" s="20">
        <v>0.16000000000000014</v>
      </c>
      <c r="T4095" s="20"/>
    </row>
    <row r="4096" spans="13:20" x14ac:dyDescent="0.2">
      <c r="M4096" s="20">
        <v>1.7103671905773405E-2</v>
      </c>
      <c r="N4096" s="20">
        <v>1.2584698584541566E-3</v>
      </c>
      <c r="O4096" s="20">
        <v>7.3578928863184956E-2</v>
      </c>
      <c r="P4096" s="20"/>
      <c r="Q4096" s="20">
        <v>0.85</v>
      </c>
      <c r="R4096" s="20">
        <v>0.14999999999999991</v>
      </c>
      <c r="S4096" s="20"/>
      <c r="T4096" s="20"/>
    </row>
    <row r="4097" spans="13:20" x14ac:dyDescent="0.2">
      <c r="M4097" s="20">
        <v>1.0069275629952633E-2</v>
      </c>
      <c r="N4097" s="20">
        <v>1.0225103639247238E-3</v>
      </c>
      <c r="O4097" s="20">
        <v>0.10154755927855497</v>
      </c>
      <c r="P4097" s="20"/>
      <c r="Q4097" s="20"/>
      <c r="R4097" s="20">
        <v>0.8</v>
      </c>
      <c r="S4097" s="20">
        <v>0.19999999999999996</v>
      </c>
      <c r="T4097" s="20"/>
    </row>
    <row r="4098" spans="13:20" x14ac:dyDescent="0.2">
      <c r="M4098" s="20">
        <v>1.009671539335835E-2</v>
      </c>
      <c r="N4098" s="20">
        <v>1.2656706378426379E-3</v>
      </c>
      <c r="O4098" s="20">
        <v>0.12535469095971546</v>
      </c>
      <c r="P4098" s="20">
        <v>0.29000000000000015</v>
      </c>
      <c r="Q4098" s="20"/>
      <c r="R4098" s="20"/>
      <c r="S4098" s="20">
        <v>0.56999999999999995</v>
      </c>
      <c r="T4098" s="20">
        <v>0.14000000000000001</v>
      </c>
    </row>
    <row r="4099" spans="13:20" x14ac:dyDescent="0.2">
      <c r="M4099" s="20">
        <v>1.0977451207559594E-2</v>
      </c>
      <c r="N4099" s="20">
        <v>6.8734940647709381E-4</v>
      </c>
      <c r="O4099" s="20">
        <v>6.2614662864887288E-2</v>
      </c>
      <c r="P4099" s="20">
        <v>3.0000000000000027E-2</v>
      </c>
      <c r="Q4099" s="20"/>
      <c r="R4099" s="20"/>
      <c r="S4099" s="20">
        <v>0.87</v>
      </c>
      <c r="T4099" s="20">
        <v>0.1</v>
      </c>
    </row>
    <row r="4100" spans="13:20" x14ac:dyDescent="0.2">
      <c r="M4100" s="20">
        <v>1.277577762667575E-2</v>
      </c>
      <c r="N4100" s="20">
        <v>1.8871899393358758E-3</v>
      </c>
      <c r="O4100" s="20">
        <v>0.14771624823802773</v>
      </c>
      <c r="P4100" s="20">
        <v>0.37</v>
      </c>
      <c r="Q4100" s="20">
        <v>0.15000000000000013</v>
      </c>
      <c r="R4100" s="20"/>
      <c r="S4100" s="20"/>
      <c r="T4100" s="20">
        <v>0.48</v>
      </c>
    </row>
    <row r="4101" spans="13:20" x14ac:dyDescent="0.2">
      <c r="M4101" s="20">
        <v>1.1286071671928853E-2</v>
      </c>
      <c r="N4101" s="20">
        <v>1.1194976091378113E-3</v>
      </c>
      <c r="O4101" s="20">
        <v>9.919284952994481E-2</v>
      </c>
      <c r="P4101" s="20"/>
      <c r="Q4101" s="20"/>
      <c r="R4101" s="20"/>
      <c r="S4101" s="20">
        <v>0.41</v>
      </c>
      <c r="T4101" s="20">
        <v>0.59000000000000008</v>
      </c>
    </row>
    <row r="4102" spans="13:20" x14ac:dyDescent="0.2">
      <c r="M4102" s="20">
        <v>1.8928536094734424E-2</v>
      </c>
      <c r="N4102" s="20">
        <v>1.2768239031645738E-3</v>
      </c>
      <c r="O4102" s="20">
        <v>6.745497363210054E-2</v>
      </c>
      <c r="P4102" s="20"/>
      <c r="Q4102" s="20">
        <v>0.99</v>
      </c>
      <c r="R4102" s="20">
        <v>1.0000000000000009E-2</v>
      </c>
      <c r="S4102" s="20"/>
      <c r="T4102" s="20"/>
    </row>
    <row r="4103" spans="13:20" x14ac:dyDescent="0.2">
      <c r="M4103" s="20">
        <v>1.3674008432626252E-2</v>
      </c>
      <c r="N4103" s="20">
        <v>1.8830033665818793E-3</v>
      </c>
      <c r="O4103" s="20">
        <v>0.13770675774113345</v>
      </c>
      <c r="P4103" s="20">
        <v>0.32999999999999985</v>
      </c>
      <c r="Q4103" s="20"/>
      <c r="R4103" s="20"/>
      <c r="S4103" s="20"/>
      <c r="T4103" s="20">
        <v>0.67</v>
      </c>
    </row>
    <row r="4104" spans="13:20" x14ac:dyDescent="0.2">
      <c r="M4104" s="20">
        <v>1.2130087016171161E-2</v>
      </c>
      <c r="N4104" s="20">
        <v>1.2102731555370938E-3</v>
      </c>
      <c r="O4104" s="20">
        <v>9.977448256748897E-2</v>
      </c>
      <c r="P4104" s="20"/>
      <c r="Q4104" s="20"/>
      <c r="R4104" s="20"/>
      <c r="S4104" s="20">
        <v>0.32</v>
      </c>
      <c r="T4104" s="20">
        <v>0.67999999999999994</v>
      </c>
    </row>
    <row r="4105" spans="13:20" x14ac:dyDescent="0.2">
      <c r="M4105" s="20">
        <v>1.1637126067539824E-2</v>
      </c>
      <c r="N4105" s="20">
        <v>1.1598422964263814E-3</v>
      </c>
      <c r="O4105" s="20">
        <v>9.9667416997535424E-2</v>
      </c>
      <c r="P4105" s="20"/>
      <c r="Q4105" s="20"/>
      <c r="R4105" s="20"/>
      <c r="S4105" s="20">
        <v>0.37</v>
      </c>
      <c r="T4105" s="20">
        <v>0.63</v>
      </c>
    </row>
    <row r="4106" spans="13:20" x14ac:dyDescent="0.2">
      <c r="M4106" s="20">
        <v>1.1283717062338505E-2</v>
      </c>
      <c r="N4106" s="20">
        <v>1.709402056585837E-3</v>
      </c>
      <c r="O4106" s="20">
        <v>0.15149281457005714</v>
      </c>
      <c r="P4106" s="20">
        <v>0.43</v>
      </c>
      <c r="Q4106" s="20">
        <v>0.21</v>
      </c>
      <c r="R4106" s="20">
        <v>0.22</v>
      </c>
      <c r="S4106" s="20">
        <v>0.1399999999999999</v>
      </c>
      <c r="T4106" s="20"/>
    </row>
    <row r="4107" spans="13:20" x14ac:dyDescent="0.2">
      <c r="M4107" s="20">
        <v>1.3102028074088138E-2</v>
      </c>
      <c r="N4107" s="20">
        <v>2.2860022479145024E-3</v>
      </c>
      <c r="O4107" s="20">
        <v>0.1744769767693847</v>
      </c>
      <c r="P4107" s="20">
        <v>0.71000000000000008</v>
      </c>
      <c r="Q4107" s="20"/>
      <c r="R4107" s="20"/>
      <c r="S4107" s="20"/>
      <c r="T4107" s="20">
        <v>0.28999999999999998</v>
      </c>
    </row>
    <row r="4108" spans="13:20" x14ac:dyDescent="0.2">
      <c r="M4108" s="20">
        <v>1.5031282237134824E-2</v>
      </c>
      <c r="N4108" s="20">
        <v>1.5149345577899175E-3</v>
      </c>
      <c r="O4108" s="20">
        <v>0.10078545089435335</v>
      </c>
      <c r="P4108" s="20">
        <v>3.9999999999999925E-2</v>
      </c>
      <c r="Q4108" s="20"/>
      <c r="R4108" s="20"/>
      <c r="S4108" s="20">
        <v>0.06</v>
      </c>
      <c r="T4108" s="20">
        <v>0.9</v>
      </c>
    </row>
    <row r="4109" spans="13:20" x14ac:dyDescent="0.2">
      <c r="M4109" s="20">
        <v>1.0903051617023381E-2</v>
      </c>
      <c r="N4109" s="20">
        <v>1.2097891430996634E-3</v>
      </c>
      <c r="O4109" s="20">
        <v>0.11095876508653504</v>
      </c>
      <c r="P4109" s="20"/>
      <c r="Q4109" s="20">
        <v>0.19</v>
      </c>
      <c r="R4109" s="20">
        <v>0.32</v>
      </c>
      <c r="S4109" s="20">
        <v>0.15</v>
      </c>
      <c r="T4109" s="20">
        <v>0.33999999999999997</v>
      </c>
    </row>
    <row r="4110" spans="13:20" x14ac:dyDescent="0.2">
      <c r="M4110" s="20">
        <v>1.1489209647230651E-2</v>
      </c>
      <c r="N4110" s="20">
        <v>5.8493050256425757E-4</v>
      </c>
      <c r="O4110" s="20">
        <v>5.0911291596567619E-2</v>
      </c>
      <c r="P4110" s="20"/>
      <c r="Q4110" s="20"/>
      <c r="R4110" s="20"/>
      <c r="S4110" s="20">
        <v>0.94</v>
      </c>
      <c r="T4110" s="20">
        <v>6.0000000000000053E-2</v>
      </c>
    </row>
    <row r="4111" spans="13:20" x14ac:dyDescent="0.2">
      <c r="M4111" s="20">
        <v>1.4273683869026681E-2</v>
      </c>
      <c r="N4111" s="20">
        <v>1.3052747096554155E-3</v>
      </c>
      <c r="O4111" s="20">
        <v>9.14462392212433E-2</v>
      </c>
      <c r="P4111" s="20">
        <v>0.13</v>
      </c>
      <c r="Q4111" s="20">
        <v>0.57999999999999996</v>
      </c>
      <c r="R4111" s="20">
        <v>0.12</v>
      </c>
      <c r="S4111" s="20">
        <v>0.16999999999999993</v>
      </c>
      <c r="T4111" s="20"/>
    </row>
    <row r="4112" spans="13:20" x14ac:dyDescent="0.2">
      <c r="M4112" s="20">
        <v>1.0128158483385368E-2</v>
      </c>
      <c r="N4112" s="20">
        <v>1.3277448544669035E-3</v>
      </c>
      <c r="O4112" s="20">
        <v>0.13109439950460774</v>
      </c>
      <c r="P4112" s="20">
        <v>0.31999999999999995</v>
      </c>
      <c r="Q4112" s="20"/>
      <c r="R4112" s="20"/>
      <c r="S4112" s="20">
        <v>0.54</v>
      </c>
      <c r="T4112" s="20">
        <v>0.14000000000000001</v>
      </c>
    </row>
    <row r="4113" spans="13:20" x14ac:dyDescent="0.2">
      <c r="M4113" s="20">
        <v>1.3524957073238543E-2</v>
      </c>
      <c r="N4113" s="20">
        <v>1.8688452986357789E-3</v>
      </c>
      <c r="O4113" s="20">
        <v>0.13817754012200242</v>
      </c>
      <c r="P4113" s="20">
        <v>0.42</v>
      </c>
      <c r="Q4113" s="20">
        <v>0.43000000000000005</v>
      </c>
      <c r="R4113" s="20"/>
      <c r="S4113" s="20"/>
      <c r="T4113" s="20">
        <v>0.15</v>
      </c>
    </row>
    <row r="4114" spans="13:20" x14ac:dyDescent="0.2">
      <c r="M4114" s="20">
        <v>1.7306045493669254E-2</v>
      </c>
      <c r="N4114" s="20">
        <v>1.1500022624546236E-3</v>
      </c>
      <c r="O4114" s="20">
        <v>6.6450897917453608E-2</v>
      </c>
      <c r="P4114" s="20"/>
      <c r="Q4114" s="20">
        <v>0.83</v>
      </c>
      <c r="R4114" s="20">
        <v>0</v>
      </c>
      <c r="S4114" s="20">
        <v>0.17000000000000015</v>
      </c>
      <c r="T4114" s="20"/>
    </row>
    <row r="4115" spans="13:20" x14ac:dyDescent="0.2">
      <c r="M4115" s="20">
        <v>1.4944136739629958E-2</v>
      </c>
      <c r="N4115" s="20">
        <v>1.2525654102987567E-3</v>
      </c>
      <c r="O4115" s="20">
        <v>8.3816511593949219E-2</v>
      </c>
      <c r="P4115" s="20">
        <v>7.0000000000000007E-2</v>
      </c>
      <c r="Q4115" s="20">
        <v>0.65</v>
      </c>
      <c r="R4115" s="20">
        <v>0.15</v>
      </c>
      <c r="S4115" s="20">
        <v>0.13</v>
      </c>
      <c r="T4115" s="20"/>
    </row>
    <row r="4116" spans="13:20" x14ac:dyDescent="0.2">
      <c r="M4116" s="20">
        <v>1.173190785472342E-2</v>
      </c>
      <c r="N4116" s="20">
        <v>1.2525844323368553E-3</v>
      </c>
      <c r="O4116" s="20">
        <v>0.10676732615424935</v>
      </c>
      <c r="P4116" s="20">
        <v>0.04</v>
      </c>
      <c r="Q4116" s="20">
        <v>4.0000000000000036E-2</v>
      </c>
      <c r="R4116" s="20"/>
      <c r="S4116" s="20">
        <v>0.31</v>
      </c>
      <c r="T4116" s="20">
        <v>0.61</v>
      </c>
    </row>
    <row r="4117" spans="13:20" x14ac:dyDescent="0.2">
      <c r="M4117" s="20">
        <v>1.1579199744869626E-2</v>
      </c>
      <c r="N4117" s="20">
        <v>5.7484433074211504E-4</v>
      </c>
      <c r="O4117" s="20">
        <v>4.9644564685639027E-2</v>
      </c>
      <c r="P4117" s="20"/>
      <c r="Q4117" s="20"/>
      <c r="R4117" s="20"/>
      <c r="S4117" s="20">
        <v>0.95</v>
      </c>
      <c r="T4117" s="20">
        <v>5.0000000000000044E-2</v>
      </c>
    </row>
    <row r="4118" spans="13:20" x14ac:dyDescent="0.2">
      <c r="M4118" s="20">
        <v>1.8263847217394928E-2</v>
      </c>
      <c r="N4118" s="20">
        <v>1.2702688871965677E-3</v>
      </c>
      <c r="O4118" s="20">
        <v>6.9551002703676423E-2</v>
      </c>
      <c r="P4118" s="20"/>
      <c r="Q4118" s="20">
        <v>0.94</v>
      </c>
      <c r="R4118" s="20">
        <v>6.0000000000000053E-2</v>
      </c>
      <c r="S4118" s="20"/>
      <c r="T4118" s="20"/>
    </row>
    <row r="4119" spans="13:20" x14ac:dyDescent="0.2">
      <c r="M4119" s="20">
        <v>1.1766506833316759E-2</v>
      </c>
      <c r="N4119" s="20">
        <v>5.5467198709783019E-4</v>
      </c>
      <c r="O4119" s="20">
        <v>4.7139902687795276E-2</v>
      </c>
      <c r="P4119" s="20"/>
      <c r="Q4119" s="20"/>
      <c r="R4119" s="20"/>
      <c r="S4119" s="20">
        <v>0.97</v>
      </c>
      <c r="T4119" s="20">
        <v>3.0000000000000138E-2</v>
      </c>
    </row>
    <row r="4120" spans="13:20" x14ac:dyDescent="0.2">
      <c r="M4120" s="20">
        <v>1.2137228702577031E-2</v>
      </c>
      <c r="N4120" s="20">
        <v>1.1942307019676976E-3</v>
      </c>
      <c r="O4120" s="20">
        <v>9.839401820896175E-2</v>
      </c>
      <c r="P4120" s="20"/>
      <c r="Q4120" s="20">
        <v>0.36</v>
      </c>
      <c r="R4120" s="20">
        <v>0.64</v>
      </c>
      <c r="S4120" s="20"/>
      <c r="T4120" s="20"/>
    </row>
    <row r="4121" spans="13:20" x14ac:dyDescent="0.2">
      <c r="M4121" s="20">
        <v>1.0725350755565655E-2</v>
      </c>
      <c r="N4121" s="20">
        <v>1.1034511089223888E-3</v>
      </c>
      <c r="O4121" s="20">
        <v>0.10288251956233507</v>
      </c>
      <c r="P4121" s="20"/>
      <c r="Q4121" s="20"/>
      <c r="R4121" s="20">
        <v>0.93</v>
      </c>
      <c r="S4121" s="20">
        <v>7.0000000000000062E-2</v>
      </c>
      <c r="T4121" s="20"/>
    </row>
    <row r="4122" spans="13:20" x14ac:dyDescent="0.2">
      <c r="M4122" s="20">
        <v>1.1125277573136918E-2</v>
      </c>
      <c r="N4122" s="20">
        <v>1.152278599772459E-3</v>
      </c>
      <c r="O4122" s="20">
        <v>0.10357302028623083</v>
      </c>
      <c r="P4122" s="20"/>
      <c r="Q4122" s="20">
        <v>0.04</v>
      </c>
      <c r="R4122" s="20">
        <v>0.96</v>
      </c>
      <c r="S4122" s="20"/>
      <c r="T4122" s="20"/>
    </row>
    <row r="4123" spans="13:20" x14ac:dyDescent="0.2">
      <c r="M4123" s="20">
        <v>1.0237955221876788E-2</v>
      </c>
      <c r="N4123" s="20">
        <v>9.1777417269496065E-4</v>
      </c>
      <c r="O4123" s="20">
        <v>8.9644284703827543E-2</v>
      </c>
      <c r="P4123" s="20"/>
      <c r="Q4123" s="20"/>
      <c r="R4123" s="20"/>
      <c r="S4123" s="20">
        <v>0.61</v>
      </c>
      <c r="T4123" s="20">
        <v>0.3899999999999999</v>
      </c>
    </row>
    <row r="4124" spans="13:20" x14ac:dyDescent="0.2">
      <c r="M4124" s="20">
        <v>1.4227492800594425E-2</v>
      </c>
      <c r="N4124" s="20">
        <v>1.7875562631083637E-3</v>
      </c>
      <c r="O4124" s="20">
        <v>0.12564098876463176</v>
      </c>
      <c r="P4124" s="20">
        <v>0.24</v>
      </c>
      <c r="Q4124" s="20"/>
      <c r="R4124" s="20"/>
      <c r="S4124" s="20"/>
      <c r="T4124" s="20">
        <v>0.76</v>
      </c>
    </row>
    <row r="4125" spans="13:20" x14ac:dyDescent="0.2">
      <c r="M4125" s="20">
        <v>1.0366194227320607E-2</v>
      </c>
      <c r="N4125" s="20">
        <v>1.2369702352076075E-3</v>
      </c>
      <c r="O4125" s="20">
        <v>0.11932732573614263</v>
      </c>
      <c r="P4125" s="20">
        <v>1.9999999999999907E-2</v>
      </c>
      <c r="Q4125" s="20"/>
      <c r="R4125" s="20">
        <v>0.43</v>
      </c>
      <c r="S4125" s="20">
        <v>0.15</v>
      </c>
      <c r="T4125" s="20">
        <v>0.4</v>
      </c>
    </row>
    <row r="4126" spans="13:20" x14ac:dyDescent="0.2">
      <c r="M4126" s="20">
        <v>1.4297439516260623E-2</v>
      </c>
      <c r="N4126" s="20">
        <v>1.7769510293890838E-3</v>
      </c>
      <c r="O4126" s="20">
        <v>0.12428456349601195</v>
      </c>
      <c r="P4126" s="20">
        <v>0.22999999999999987</v>
      </c>
      <c r="Q4126" s="20"/>
      <c r="R4126" s="20"/>
      <c r="S4126" s="20"/>
      <c r="T4126" s="20">
        <v>0.77</v>
      </c>
    </row>
    <row r="4127" spans="13:20" x14ac:dyDescent="0.2">
      <c r="M4127" s="20">
        <v>1.5644725188612919E-2</v>
      </c>
      <c r="N4127" s="20">
        <v>1.2427378201309424E-3</v>
      </c>
      <c r="O4127" s="20">
        <v>7.9434940860161257E-2</v>
      </c>
      <c r="P4127" s="20"/>
      <c r="Q4127" s="20">
        <v>0.73</v>
      </c>
      <c r="R4127" s="20">
        <v>0.27</v>
      </c>
      <c r="S4127" s="20"/>
      <c r="T4127" s="20"/>
    </row>
    <row r="4128" spans="13:20" x14ac:dyDescent="0.2">
      <c r="M4128" s="20">
        <v>1.534708911742606E-2</v>
      </c>
      <c r="N4128" s="20">
        <v>1.7516857893477311E-3</v>
      </c>
      <c r="O4128" s="20">
        <v>0.11413798251544365</v>
      </c>
      <c r="P4128" s="20">
        <v>0.36</v>
      </c>
      <c r="Q4128" s="20">
        <v>0.6399999999999999</v>
      </c>
      <c r="R4128" s="20"/>
      <c r="S4128" s="20"/>
      <c r="T4128" s="20"/>
    </row>
    <row r="4129" spans="13:20" x14ac:dyDescent="0.2">
      <c r="M4129" s="20">
        <v>1.3826620564832233E-2</v>
      </c>
      <c r="N4129" s="20">
        <v>2.2646992459197505E-3</v>
      </c>
      <c r="O4129" s="20">
        <v>0.16379268059759833</v>
      </c>
      <c r="P4129" s="20">
        <v>0.75</v>
      </c>
      <c r="Q4129" s="20">
        <v>0.25</v>
      </c>
      <c r="R4129" s="20"/>
      <c r="S4129" s="20"/>
      <c r="T4129" s="20"/>
    </row>
    <row r="4130" spans="13:20" x14ac:dyDescent="0.2">
      <c r="M4130" s="20">
        <v>1.3849894403893379E-2</v>
      </c>
      <c r="N4130" s="20">
        <v>2.3041618195022134E-3</v>
      </c>
      <c r="O4130" s="20">
        <v>0.16636674275686061</v>
      </c>
      <c r="P4130" s="20">
        <v>0.78</v>
      </c>
      <c r="Q4130" s="20">
        <v>0.21999999999999997</v>
      </c>
      <c r="R4130" s="20"/>
      <c r="S4130" s="20"/>
      <c r="T4130" s="20"/>
    </row>
    <row r="4131" spans="13:20" x14ac:dyDescent="0.2">
      <c r="M4131" s="20">
        <v>1.3902640725373946E-2</v>
      </c>
      <c r="N4131" s="20">
        <v>1.8405824317047612E-3</v>
      </c>
      <c r="O4131" s="20">
        <v>0.13239085063497921</v>
      </c>
      <c r="P4131" s="20">
        <v>0.29000000000000004</v>
      </c>
      <c r="Q4131" s="20"/>
      <c r="R4131" s="20"/>
      <c r="S4131" s="20"/>
      <c r="T4131" s="20">
        <v>0.71</v>
      </c>
    </row>
    <row r="4132" spans="13:20" x14ac:dyDescent="0.2">
      <c r="M4132" s="20">
        <v>1.347816622331335E-2</v>
      </c>
      <c r="N4132" s="20">
        <v>1.5926998181147306E-3</v>
      </c>
      <c r="O4132" s="20">
        <v>0.11816888081999004</v>
      </c>
      <c r="P4132" s="20">
        <v>0.15</v>
      </c>
      <c r="Q4132" s="20">
        <v>0.39</v>
      </c>
      <c r="R4132" s="20">
        <v>0</v>
      </c>
      <c r="S4132" s="20"/>
      <c r="T4132" s="20">
        <v>0.46</v>
      </c>
    </row>
    <row r="4133" spans="13:20" x14ac:dyDescent="0.2">
      <c r="M4133" s="20">
        <v>1.286751171573176E-2</v>
      </c>
      <c r="N4133" s="20">
        <v>1.8438576622630044E-3</v>
      </c>
      <c r="O4133" s="20">
        <v>0.1432955883777213</v>
      </c>
      <c r="P4133" s="20">
        <v>0.37</v>
      </c>
      <c r="Q4133" s="20">
        <v>0.32000000000000006</v>
      </c>
      <c r="R4133" s="20"/>
      <c r="S4133" s="20"/>
      <c r="T4133" s="20">
        <v>0.31</v>
      </c>
    </row>
    <row r="4134" spans="13:20" x14ac:dyDescent="0.2">
      <c r="M4134" s="20">
        <v>1.339389290226113E-2</v>
      </c>
      <c r="N4134" s="20">
        <v>1.3212210455806617E-3</v>
      </c>
      <c r="O4134" s="20">
        <v>9.864354263707871E-2</v>
      </c>
      <c r="P4134" s="20"/>
      <c r="Q4134" s="20"/>
      <c r="R4134" s="20"/>
      <c r="S4134" s="20">
        <v>0.21</v>
      </c>
      <c r="T4134" s="20">
        <v>0.79</v>
      </c>
    </row>
    <row r="4135" spans="13:20" x14ac:dyDescent="0.2">
      <c r="M4135" s="20">
        <v>1.3913296519489133E-2</v>
      </c>
      <c r="N4135" s="20">
        <v>2.356778584278831E-3</v>
      </c>
      <c r="O4135" s="20">
        <v>0.16939037998489859</v>
      </c>
      <c r="P4135" s="20">
        <v>0.82</v>
      </c>
      <c r="Q4135" s="20">
        <v>0.18000000000000005</v>
      </c>
      <c r="R4135" s="20"/>
      <c r="S4135" s="20"/>
      <c r="T4135" s="20"/>
    </row>
    <row r="4136" spans="13:20" x14ac:dyDescent="0.2">
      <c r="M4136" s="20">
        <v>1.1177279953282588E-2</v>
      </c>
      <c r="N4136" s="20">
        <v>1.6536494114475946E-3</v>
      </c>
      <c r="O4136" s="20">
        <v>0.1479473913473863</v>
      </c>
      <c r="P4136" s="20">
        <v>0.35</v>
      </c>
      <c r="Q4136" s="20">
        <v>0.24</v>
      </c>
      <c r="R4136" s="20">
        <v>0.36</v>
      </c>
      <c r="S4136" s="20">
        <v>5.0000000000000044E-2</v>
      </c>
      <c r="T4136" s="20"/>
    </row>
    <row r="4137" spans="13:20" x14ac:dyDescent="0.2">
      <c r="M4137" s="20">
        <v>1.2697347371451943E-2</v>
      </c>
      <c r="N4137" s="20">
        <v>1.5370958023892729E-3</v>
      </c>
      <c r="O4137" s="20">
        <v>0.12105645040831121</v>
      </c>
      <c r="P4137" s="20">
        <v>0.11</v>
      </c>
      <c r="Q4137" s="20">
        <v>0.26</v>
      </c>
      <c r="R4137" s="20">
        <v>0.12000000000000011</v>
      </c>
      <c r="S4137" s="20"/>
      <c r="T4137" s="20">
        <v>0.51</v>
      </c>
    </row>
    <row r="4138" spans="13:20" x14ac:dyDescent="0.2">
      <c r="M4138" s="20">
        <v>1.2994685620591234E-2</v>
      </c>
      <c r="N4138" s="20">
        <v>2.0951080409674708E-3</v>
      </c>
      <c r="O4138" s="20">
        <v>0.16122806677581994</v>
      </c>
      <c r="P4138" s="20">
        <v>0.53000000000000014</v>
      </c>
      <c r="Q4138" s="20"/>
      <c r="R4138" s="20"/>
      <c r="S4138" s="20"/>
      <c r="T4138" s="20">
        <v>0.47</v>
      </c>
    </row>
    <row r="4139" spans="13:20" x14ac:dyDescent="0.2">
      <c r="M4139" s="20">
        <v>1.0204454270492056E-2</v>
      </c>
      <c r="N4139" s="20">
        <v>1.7350602099970005E-3</v>
      </c>
      <c r="O4139" s="20">
        <v>0.17002969134902463</v>
      </c>
      <c r="P4139" s="20">
        <v>0.38000000000000012</v>
      </c>
      <c r="Q4139" s="20"/>
      <c r="R4139" s="20">
        <v>0.39</v>
      </c>
      <c r="S4139" s="20">
        <v>0.05</v>
      </c>
      <c r="T4139" s="20">
        <v>0.18</v>
      </c>
    </row>
    <row r="4140" spans="13:20" x14ac:dyDescent="0.2">
      <c r="M4140" s="20">
        <v>9.9803990432990597E-3</v>
      </c>
      <c r="N4140" s="20">
        <v>1.0643487613965794E-3</v>
      </c>
      <c r="O4140" s="20">
        <v>0.10664390840276008</v>
      </c>
      <c r="P4140" s="20"/>
      <c r="Q4140" s="20"/>
      <c r="R4140" s="20">
        <v>0.77</v>
      </c>
      <c r="S4140" s="20">
        <v>0.17</v>
      </c>
      <c r="T4140" s="20">
        <v>5.9999999999999942E-2</v>
      </c>
    </row>
    <row r="4141" spans="13:20" x14ac:dyDescent="0.2">
      <c r="M4141" s="20">
        <v>1.0823093943101252E-2</v>
      </c>
      <c r="N4141" s="20">
        <v>1.2968863843918724E-3</v>
      </c>
      <c r="O4141" s="20">
        <v>0.11982584566019781</v>
      </c>
      <c r="P4141" s="20">
        <v>0.09</v>
      </c>
      <c r="Q4141" s="20">
        <v>0.15</v>
      </c>
      <c r="R4141" s="20">
        <v>0.76000000000000012</v>
      </c>
      <c r="S4141" s="20"/>
      <c r="T4141" s="20"/>
    </row>
    <row r="4142" spans="13:20" x14ac:dyDescent="0.2">
      <c r="M4142" s="20">
        <v>1.4637253852239254E-2</v>
      </c>
      <c r="N4142" s="20">
        <v>2.593554025773609E-3</v>
      </c>
      <c r="O4142" s="20">
        <v>0.17718856637693953</v>
      </c>
      <c r="P4142" s="20">
        <v>1</v>
      </c>
      <c r="Q4142" s="20">
        <v>0</v>
      </c>
      <c r="R4142" s="20"/>
      <c r="S4142" s="20"/>
      <c r="T4142" s="20"/>
    </row>
    <row r="4143" spans="13:20" x14ac:dyDescent="0.2">
      <c r="M4143" s="20">
        <v>1.6100360939876667E-2</v>
      </c>
      <c r="N4143" s="20">
        <v>1.5542411212842138E-3</v>
      </c>
      <c r="O4143" s="20">
        <v>9.6534551435722024E-2</v>
      </c>
      <c r="P4143" s="20">
        <v>2.0000000000000018E-2</v>
      </c>
      <c r="Q4143" s="20"/>
      <c r="R4143" s="20"/>
      <c r="S4143" s="20"/>
      <c r="T4143" s="20">
        <v>0.98</v>
      </c>
    </row>
    <row r="4144" spans="13:20" x14ac:dyDescent="0.2">
      <c r="M4144" s="20">
        <v>1.044674971242868E-2</v>
      </c>
      <c r="N4144" s="20">
        <v>1.344794349905731E-3</v>
      </c>
      <c r="O4144" s="20">
        <v>0.12872849325621399</v>
      </c>
      <c r="P4144" s="20">
        <v>7.0000000000000007E-2</v>
      </c>
      <c r="Q4144" s="20">
        <v>0.02</v>
      </c>
      <c r="R4144" s="20">
        <v>0.51</v>
      </c>
      <c r="S4144" s="20">
        <v>0.06</v>
      </c>
      <c r="T4144" s="20">
        <v>0.34000000000000019</v>
      </c>
    </row>
    <row r="4145" spans="13:20" x14ac:dyDescent="0.2">
      <c r="M4145" s="20">
        <v>1.5181794069596823E-2</v>
      </c>
      <c r="N4145" s="20">
        <v>1.0166256057766675E-3</v>
      </c>
      <c r="O4145" s="20">
        <v>6.6963469608151888E-2</v>
      </c>
      <c r="P4145" s="20"/>
      <c r="Q4145" s="20">
        <v>0.62</v>
      </c>
      <c r="R4145" s="20">
        <v>0.04</v>
      </c>
      <c r="S4145" s="20">
        <v>0.33999999999999986</v>
      </c>
      <c r="T4145" s="20"/>
    </row>
    <row r="4146" spans="13:20" x14ac:dyDescent="0.2">
      <c r="M4146" s="20">
        <v>1.1887518302706117E-2</v>
      </c>
      <c r="N4146" s="20">
        <v>1.5690147528557407E-3</v>
      </c>
      <c r="O4146" s="20">
        <v>0.13198841952559306</v>
      </c>
      <c r="P4146" s="20">
        <v>0.26</v>
      </c>
      <c r="Q4146" s="20">
        <v>0.35</v>
      </c>
      <c r="R4146" s="20">
        <v>0.3899999999999999</v>
      </c>
      <c r="S4146" s="20"/>
      <c r="T4146" s="20"/>
    </row>
    <row r="4147" spans="13:20" x14ac:dyDescent="0.2">
      <c r="M4147" s="20">
        <v>1.1369402635326598E-2</v>
      </c>
      <c r="N4147" s="20">
        <v>1.1745656540636795E-3</v>
      </c>
      <c r="O4147" s="20">
        <v>0.10330935509435751</v>
      </c>
      <c r="P4147" s="20"/>
      <c r="Q4147" s="20">
        <v>0.21</v>
      </c>
      <c r="R4147" s="20">
        <v>0.79</v>
      </c>
      <c r="S4147" s="20"/>
      <c r="T4147" s="20"/>
    </row>
    <row r="4148" spans="13:20" x14ac:dyDescent="0.2">
      <c r="M4148" s="20">
        <v>1.0972784808687778E-2</v>
      </c>
      <c r="N4148" s="20">
        <v>1.1283559535370546E-3</v>
      </c>
      <c r="O4148" s="20">
        <v>0.10283223203681814</v>
      </c>
      <c r="P4148" s="20"/>
      <c r="Q4148" s="20"/>
      <c r="R4148" s="20">
        <v>0.97</v>
      </c>
      <c r="S4148" s="20">
        <v>2.9999999999999916E-2</v>
      </c>
      <c r="T4148" s="20"/>
    </row>
    <row r="4149" spans="13:20" x14ac:dyDescent="0.2">
      <c r="M4149" s="20">
        <v>1.0909084634781437E-2</v>
      </c>
      <c r="N4149" s="20">
        <v>1.1221297423833882E-3</v>
      </c>
      <c r="O4149" s="20">
        <v>0.10286195221235168</v>
      </c>
      <c r="P4149" s="20"/>
      <c r="Q4149" s="20"/>
      <c r="R4149" s="20">
        <v>0.96</v>
      </c>
      <c r="S4149" s="20">
        <v>4.0000000000000147E-2</v>
      </c>
      <c r="T4149" s="20"/>
    </row>
    <row r="4150" spans="13:20" x14ac:dyDescent="0.2">
      <c r="M4150" s="20">
        <v>1.2905976212407024E-2</v>
      </c>
      <c r="N4150" s="20">
        <v>1.7688022185884868E-3</v>
      </c>
      <c r="O4150" s="20">
        <v>0.13705295821699001</v>
      </c>
      <c r="P4150" s="20">
        <v>0.28000000000000003</v>
      </c>
      <c r="Q4150" s="20">
        <v>0.24</v>
      </c>
      <c r="R4150" s="20"/>
      <c r="S4150" s="20"/>
      <c r="T4150" s="20">
        <v>0.48</v>
      </c>
    </row>
    <row r="4151" spans="13:20" x14ac:dyDescent="0.2">
      <c r="M4151" s="20">
        <v>1.1681539698668331E-2</v>
      </c>
      <c r="N4151" s="20">
        <v>9.3874128341187501E-4</v>
      </c>
      <c r="O4151" s="20">
        <v>8.036109174194643E-2</v>
      </c>
      <c r="P4151" s="20"/>
      <c r="Q4151" s="20">
        <v>0.28999999999999998</v>
      </c>
      <c r="R4151" s="20">
        <v>0.12</v>
      </c>
      <c r="S4151" s="20">
        <v>0.47</v>
      </c>
      <c r="T4151" s="20">
        <v>0.12000000000000011</v>
      </c>
    </row>
    <row r="4152" spans="13:20" x14ac:dyDescent="0.2">
      <c r="M4152" s="20">
        <v>1.0342325803158048E-2</v>
      </c>
      <c r="N4152" s="20">
        <v>1.0598676308467231E-3</v>
      </c>
      <c r="O4152" s="20">
        <v>0.10247865432000708</v>
      </c>
      <c r="P4152" s="20"/>
      <c r="Q4152" s="20"/>
      <c r="R4152" s="20">
        <v>0.86</v>
      </c>
      <c r="S4152" s="20">
        <v>0.14000000000000012</v>
      </c>
      <c r="T4152" s="20"/>
    </row>
    <row r="4153" spans="13:20" x14ac:dyDescent="0.2">
      <c r="M4153" s="20">
        <v>1.0991359471767853E-2</v>
      </c>
      <c r="N4153" s="20">
        <v>7.3985651317635438E-4</v>
      </c>
      <c r="O4153" s="20">
        <v>6.7312557202476406E-2</v>
      </c>
      <c r="P4153" s="20">
        <v>6.9999999999999951E-2</v>
      </c>
      <c r="Q4153" s="20"/>
      <c r="R4153" s="20"/>
      <c r="S4153" s="20">
        <v>0.86</v>
      </c>
      <c r="T4153" s="20">
        <v>7.0000000000000007E-2</v>
      </c>
    </row>
    <row r="4154" spans="13:20" x14ac:dyDescent="0.2">
      <c r="M4154" s="20">
        <v>1.2954703186351401E-2</v>
      </c>
      <c r="N4154" s="20">
        <v>2.1481342095638679E-3</v>
      </c>
      <c r="O4154" s="20">
        <v>0.16581886737683524</v>
      </c>
      <c r="P4154" s="20">
        <v>0.57999999999999996</v>
      </c>
      <c r="Q4154" s="20"/>
      <c r="R4154" s="20"/>
      <c r="S4154" s="20"/>
      <c r="T4154" s="20">
        <v>0.42</v>
      </c>
    </row>
    <row r="4155" spans="13:20" x14ac:dyDescent="0.2">
      <c r="M4155" s="20">
        <v>1.2888299763886347E-2</v>
      </c>
      <c r="N4155" s="20">
        <v>1.5243386158345315E-3</v>
      </c>
      <c r="O4155" s="20">
        <v>0.11827305725040656</v>
      </c>
      <c r="P4155" s="20">
        <v>0.12999999999999989</v>
      </c>
      <c r="Q4155" s="20"/>
      <c r="R4155" s="20">
        <v>0.04</v>
      </c>
      <c r="S4155" s="20">
        <v>0.13</v>
      </c>
      <c r="T4155" s="20">
        <v>0.7</v>
      </c>
    </row>
    <row r="4156" spans="13:20" x14ac:dyDescent="0.2">
      <c r="M4156" s="20">
        <v>1.0191003433497541E-2</v>
      </c>
      <c r="N4156" s="20">
        <v>1.1733379057519439E-3</v>
      </c>
      <c r="O4156" s="20">
        <v>0.11513467868092513</v>
      </c>
      <c r="P4156" s="20">
        <v>0.26</v>
      </c>
      <c r="Q4156" s="20"/>
      <c r="R4156" s="20"/>
      <c r="S4156" s="20">
        <v>0.63</v>
      </c>
      <c r="T4156" s="20">
        <v>0.11</v>
      </c>
    </row>
    <row r="4157" spans="13:20" x14ac:dyDescent="0.2">
      <c r="M4157" s="20">
        <v>1.2835334715305792E-2</v>
      </c>
      <c r="N4157" s="20">
        <v>1.8436968030875836E-3</v>
      </c>
      <c r="O4157" s="20">
        <v>0.14364228467599091</v>
      </c>
      <c r="P4157" s="20">
        <v>0.35</v>
      </c>
      <c r="Q4157" s="20"/>
      <c r="R4157" s="20"/>
      <c r="S4157" s="20">
        <v>0.06</v>
      </c>
      <c r="T4157" s="20">
        <v>0.59</v>
      </c>
    </row>
    <row r="4158" spans="13:20" x14ac:dyDescent="0.2">
      <c r="M4158" s="20">
        <v>1.0220621362782867E-2</v>
      </c>
      <c r="N4158" s="20">
        <v>9.0768800087281812E-4</v>
      </c>
      <c r="O4158" s="20">
        <v>8.88094733827096E-2</v>
      </c>
      <c r="P4158" s="20"/>
      <c r="Q4158" s="20"/>
      <c r="R4158" s="20"/>
      <c r="S4158" s="20">
        <v>0.62</v>
      </c>
      <c r="T4158" s="20">
        <v>0.37999999999999989</v>
      </c>
    </row>
    <row r="4159" spans="13:20" x14ac:dyDescent="0.2">
      <c r="M4159" s="20">
        <v>1.1803908505145289E-2</v>
      </c>
      <c r="N4159" s="20">
        <v>1.5912945958654599E-3</v>
      </c>
      <c r="O4159" s="20">
        <v>0.13481082093882879</v>
      </c>
      <c r="P4159" s="20">
        <v>0.16999999999999993</v>
      </c>
      <c r="Q4159" s="20"/>
      <c r="R4159" s="20">
        <v>0.28999999999999998</v>
      </c>
      <c r="S4159" s="20">
        <v>0.01</v>
      </c>
      <c r="T4159" s="20">
        <v>0.53</v>
      </c>
    </row>
    <row r="4160" spans="13:20" x14ac:dyDescent="0.2">
      <c r="M4160" s="20">
        <v>1.0377555350026029E-2</v>
      </c>
      <c r="N4160" s="20">
        <v>9.6820503180567331E-4</v>
      </c>
      <c r="O4160" s="20">
        <v>9.3297987738821822E-2</v>
      </c>
      <c r="P4160" s="20"/>
      <c r="Q4160" s="20"/>
      <c r="R4160" s="20"/>
      <c r="S4160" s="20">
        <v>0.56000000000000005</v>
      </c>
      <c r="T4160" s="20">
        <v>0.43999999999999995</v>
      </c>
    </row>
    <row r="4161" spans="13:20" x14ac:dyDescent="0.2">
      <c r="M4161" s="20">
        <v>1.4288376155840431E-2</v>
      </c>
      <c r="N4161" s="20">
        <v>1.9753070396483548E-3</v>
      </c>
      <c r="O4161" s="20">
        <v>0.13824573332225301</v>
      </c>
      <c r="P4161" s="20">
        <v>0.53</v>
      </c>
      <c r="Q4161" s="20">
        <v>0.46999999999999986</v>
      </c>
      <c r="R4161" s="20"/>
      <c r="S4161" s="20"/>
      <c r="T4161" s="20"/>
    </row>
    <row r="4162" spans="13:20" x14ac:dyDescent="0.2">
      <c r="M4162" s="20">
        <v>1.3548304954144118E-2</v>
      </c>
      <c r="N4162" s="20">
        <v>2.4081671375961069E-3</v>
      </c>
      <c r="O4162" s="20">
        <v>0.177746747341962</v>
      </c>
      <c r="P4162" s="20">
        <v>0.83</v>
      </c>
      <c r="Q4162" s="20">
        <v>2.0000000000000129E-2</v>
      </c>
      <c r="R4162" s="20"/>
      <c r="S4162" s="20"/>
      <c r="T4162" s="20">
        <v>0.15</v>
      </c>
    </row>
    <row r="4163" spans="13:20" x14ac:dyDescent="0.2">
      <c r="M4163" s="20">
        <v>1.3920174483762864E-2</v>
      </c>
      <c r="N4163" s="20">
        <v>2.1200031427840529E-3</v>
      </c>
      <c r="O4163" s="20">
        <v>0.15229716734204179</v>
      </c>
      <c r="P4163" s="20">
        <v>0.64</v>
      </c>
      <c r="Q4163" s="20">
        <v>0.36</v>
      </c>
      <c r="R4163" s="20"/>
      <c r="S4163" s="20"/>
      <c r="T4163" s="20">
        <v>0</v>
      </c>
    </row>
    <row r="4164" spans="13:20" x14ac:dyDescent="0.2">
      <c r="M4164" s="20">
        <v>1.3696103951630633E-2</v>
      </c>
      <c r="N4164" s="20">
        <v>1.5700369739748638E-3</v>
      </c>
      <c r="O4164" s="20">
        <v>0.1146338389018972</v>
      </c>
      <c r="P4164" s="20">
        <v>0.13000000000000012</v>
      </c>
      <c r="Q4164" s="20"/>
      <c r="R4164" s="20"/>
      <c r="S4164" s="20">
        <v>0.1</v>
      </c>
      <c r="T4164" s="20">
        <v>0.77</v>
      </c>
    </row>
    <row r="4165" spans="13:20" x14ac:dyDescent="0.2">
      <c r="M4165" s="20">
        <v>1.1035816369625716E-2</v>
      </c>
      <c r="N4165" s="20">
        <v>1.7407882352326847E-3</v>
      </c>
      <c r="O4165" s="20">
        <v>0.15773986961435135</v>
      </c>
      <c r="P4165" s="20">
        <v>0.46</v>
      </c>
      <c r="Q4165" s="20">
        <v>7.0000000000000062E-2</v>
      </c>
      <c r="R4165" s="20"/>
      <c r="S4165" s="20">
        <v>0.26</v>
      </c>
      <c r="T4165" s="20">
        <v>0.21</v>
      </c>
    </row>
    <row r="4166" spans="13:20" x14ac:dyDescent="0.2">
      <c r="M4166" s="20">
        <v>1.0551017145130506E-2</v>
      </c>
      <c r="N4166" s="20">
        <v>1.3613417370926925E-3</v>
      </c>
      <c r="O4166" s="20">
        <v>0.12902469196735003</v>
      </c>
      <c r="P4166" s="20">
        <v>0.18999999999999995</v>
      </c>
      <c r="Q4166" s="20"/>
      <c r="R4166" s="20"/>
      <c r="S4166" s="20">
        <v>0.37</v>
      </c>
      <c r="T4166" s="20">
        <v>0.44</v>
      </c>
    </row>
    <row r="4167" spans="13:20" x14ac:dyDescent="0.2">
      <c r="M4167" s="20">
        <v>1.3573774732115797E-2</v>
      </c>
      <c r="N4167" s="20">
        <v>2.3483129042146454E-3</v>
      </c>
      <c r="O4167" s="20">
        <v>0.17300367440594799</v>
      </c>
      <c r="P4167" s="20">
        <v>0.8</v>
      </c>
      <c r="Q4167" s="20">
        <v>0.12999999999999989</v>
      </c>
      <c r="R4167" s="20"/>
      <c r="S4167" s="20"/>
      <c r="T4167" s="20">
        <v>7.0000000000000007E-2</v>
      </c>
    </row>
    <row r="4168" spans="13:20" x14ac:dyDescent="0.2">
      <c r="M4168" s="20">
        <v>1.4591812560371087E-2</v>
      </c>
      <c r="N4168" s="20">
        <v>1.8382578089372816E-3</v>
      </c>
      <c r="O4168" s="20">
        <v>0.12597871589508222</v>
      </c>
      <c r="P4168" s="20">
        <v>0.42</v>
      </c>
      <c r="Q4168" s="20">
        <v>0.54999999999999993</v>
      </c>
      <c r="R4168" s="20"/>
      <c r="S4168" s="20"/>
      <c r="T4168" s="20">
        <v>0.03</v>
      </c>
    </row>
    <row r="4169" spans="13:20" x14ac:dyDescent="0.2">
      <c r="M4169" s="20">
        <v>9.6265713162225763E-3</v>
      </c>
      <c r="N4169" s="20">
        <v>1.0603558593479101E-3</v>
      </c>
      <c r="O4169" s="20">
        <v>0.11014886032797698</v>
      </c>
      <c r="P4169" s="20"/>
      <c r="Q4169" s="20"/>
      <c r="R4169" s="20">
        <v>0.31</v>
      </c>
      <c r="S4169" s="20">
        <v>0.35</v>
      </c>
      <c r="T4169" s="20">
        <v>0.33999999999999997</v>
      </c>
    </row>
    <row r="4170" spans="13:20" x14ac:dyDescent="0.2">
      <c r="M4170" s="20">
        <v>1.3465436143802837E-2</v>
      </c>
      <c r="N4170" s="20">
        <v>1.8753564941572549E-3</v>
      </c>
      <c r="O4170" s="20">
        <v>0.13927187163709848</v>
      </c>
      <c r="P4170" s="20">
        <v>0.33</v>
      </c>
      <c r="Q4170" s="20">
        <v>2.9999999999999916E-2</v>
      </c>
      <c r="R4170" s="20"/>
      <c r="S4170" s="20"/>
      <c r="T4170" s="20">
        <v>0.64</v>
      </c>
    </row>
    <row r="4171" spans="13:20" x14ac:dyDescent="0.2">
      <c r="M4171" s="20">
        <v>1.0258850148799391E-2</v>
      </c>
      <c r="N4171" s="20">
        <v>9.2786034451710307E-4</v>
      </c>
      <c r="O4171" s="20">
        <v>9.0444867705343379E-2</v>
      </c>
      <c r="P4171" s="20"/>
      <c r="Q4171" s="20"/>
      <c r="R4171" s="20"/>
      <c r="S4171" s="20">
        <v>0.6</v>
      </c>
      <c r="T4171" s="20">
        <v>0.39999999999999991</v>
      </c>
    </row>
    <row r="4172" spans="13:20" x14ac:dyDescent="0.2">
      <c r="M4172" s="20">
        <v>1.0345406250637363E-2</v>
      </c>
      <c r="N4172" s="20">
        <v>6.8629496162673196E-4</v>
      </c>
      <c r="O4172" s="20">
        <v>6.6338135497042511E-2</v>
      </c>
      <c r="P4172" s="20"/>
      <c r="Q4172" s="20"/>
      <c r="R4172" s="20">
        <v>0.26</v>
      </c>
      <c r="S4172" s="20">
        <v>0.7400000000000001</v>
      </c>
      <c r="T4172" s="20"/>
    </row>
    <row r="4173" spans="13:20" x14ac:dyDescent="0.2">
      <c r="M4173" s="20">
        <v>1.1366624867385936E-2</v>
      </c>
      <c r="N4173" s="20">
        <v>1.3476221319905913E-3</v>
      </c>
      <c r="O4173" s="20">
        <v>0.11855956783242674</v>
      </c>
      <c r="P4173" s="20">
        <v>0.12000000000000022</v>
      </c>
      <c r="Q4173" s="20"/>
      <c r="R4173" s="20"/>
      <c r="S4173" s="20">
        <v>0.31</v>
      </c>
      <c r="T4173" s="20">
        <v>0.56999999999999995</v>
      </c>
    </row>
    <row r="4174" spans="13:20" x14ac:dyDescent="0.2">
      <c r="M4174" s="20">
        <v>1.4523169030091786E-2</v>
      </c>
      <c r="N4174" s="20">
        <v>2.5672456433853004E-3</v>
      </c>
      <c r="O4174" s="20">
        <v>0.1767689708813556</v>
      </c>
      <c r="P4174" s="20">
        <v>0.98</v>
      </c>
      <c r="Q4174" s="20">
        <v>2.0000000000000129E-2</v>
      </c>
      <c r="R4174" s="20"/>
      <c r="S4174" s="20"/>
      <c r="T4174" s="20"/>
    </row>
    <row r="4175" spans="13:20" x14ac:dyDescent="0.2">
      <c r="M4175" s="20">
        <v>1.1152376924825272E-2</v>
      </c>
      <c r="N4175" s="20">
        <v>1.1627666253212685E-3</v>
      </c>
      <c r="O4175" s="20">
        <v>0.10426177604640868</v>
      </c>
      <c r="P4175" s="20"/>
      <c r="Q4175" s="20">
        <v>0.12</v>
      </c>
      <c r="R4175" s="20">
        <v>0.87999999999999989</v>
      </c>
      <c r="S4175" s="20"/>
      <c r="T4175" s="20"/>
    </row>
    <row r="4176" spans="13:20" x14ac:dyDescent="0.2">
      <c r="M4176" s="20">
        <v>1.4043816940215014E-2</v>
      </c>
      <c r="N4176" s="20">
        <v>2.4225495402496028E-3</v>
      </c>
      <c r="O4176" s="20">
        <v>0.17249936755530743</v>
      </c>
      <c r="P4176" s="20">
        <v>0.87</v>
      </c>
      <c r="Q4176" s="20">
        <v>0.13</v>
      </c>
      <c r="R4176" s="20"/>
      <c r="S4176" s="20"/>
      <c r="T4176" s="20"/>
    </row>
    <row r="4177" spans="13:20" x14ac:dyDescent="0.2">
      <c r="M4177" s="20">
        <v>1.4814988575928948E-2</v>
      </c>
      <c r="N4177" s="20">
        <v>1.6632518197716643E-3</v>
      </c>
      <c r="O4177" s="20">
        <v>0.11226818105510238</v>
      </c>
      <c r="P4177" s="20">
        <v>0.13</v>
      </c>
      <c r="Q4177" s="20">
        <v>3.0000000000000027E-2</v>
      </c>
      <c r="R4177" s="20"/>
      <c r="S4177" s="20"/>
      <c r="T4177" s="20">
        <v>0.84</v>
      </c>
    </row>
    <row r="4178" spans="13:20" x14ac:dyDescent="0.2">
      <c r="M4178" s="20">
        <v>1.409529156421593E-2</v>
      </c>
      <c r="N4178" s="20">
        <v>1.5833916287272118E-3</v>
      </c>
      <c r="O4178" s="20">
        <v>0.11233479077133869</v>
      </c>
      <c r="P4178" s="20">
        <v>0.25</v>
      </c>
      <c r="Q4178" s="20">
        <v>0.56999999999999995</v>
      </c>
      <c r="R4178" s="20">
        <v>0.18000000000000005</v>
      </c>
      <c r="S4178" s="20"/>
      <c r="T4178" s="20"/>
    </row>
    <row r="4179" spans="13:20" x14ac:dyDescent="0.2">
      <c r="M4179" s="20">
        <v>1.0012818118592628E-2</v>
      </c>
      <c r="N4179" s="20">
        <v>1.2967888313068462E-3</v>
      </c>
      <c r="O4179" s="20">
        <v>0.12951287199543368</v>
      </c>
      <c r="P4179" s="20">
        <v>9.9999999999999867E-2</v>
      </c>
      <c r="Q4179" s="20"/>
      <c r="R4179" s="20">
        <v>0.73</v>
      </c>
      <c r="S4179" s="20">
        <v>0.06</v>
      </c>
      <c r="T4179" s="20">
        <v>0.11</v>
      </c>
    </row>
    <row r="4180" spans="13:20" x14ac:dyDescent="0.2">
      <c r="M4180" s="20">
        <v>1.2383833709675968E-2</v>
      </c>
      <c r="N4180" s="20">
        <v>1.2731116898744813E-3</v>
      </c>
      <c r="O4180" s="20">
        <v>0.10280432697345976</v>
      </c>
      <c r="P4180" s="20">
        <v>0.05</v>
      </c>
      <c r="Q4180" s="20">
        <v>0.41</v>
      </c>
      <c r="R4180" s="20">
        <v>0.53999999999999992</v>
      </c>
      <c r="S4180" s="20"/>
      <c r="T4180" s="20"/>
    </row>
    <row r="4181" spans="13:20" x14ac:dyDescent="0.2">
      <c r="M4181" s="20">
        <v>1.1441868977834731E-2</v>
      </c>
      <c r="N4181" s="20">
        <v>6.4329604426741787E-4</v>
      </c>
      <c r="O4181" s="20">
        <v>5.6222986429368786E-2</v>
      </c>
      <c r="P4181" s="20"/>
      <c r="Q4181" s="20">
        <v>7.0000000000000007E-2</v>
      </c>
      <c r="R4181" s="20">
        <v>0.09</v>
      </c>
      <c r="S4181" s="20">
        <v>0.83</v>
      </c>
      <c r="T4181" s="20">
        <v>1.000000000000012E-2</v>
      </c>
    </row>
    <row r="4182" spans="13:20" x14ac:dyDescent="0.2">
      <c r="M4182" s="20">
        <v>1.0430911482542393E-2</v>
      </c>
      <c r="N4182" s="20">
        <v>7.4630925171853785E-4</v>
      </c>
      <c r="O4182" s="20">
        <v>7.1547846318856412E-2</v>
      </c>
      <c r="P4182" s="20"/>
      <c r="Q4182" s="20"/>
      <c r="R4182" s="20"/>
      <c r="S4182" s="20">
        <v>0.78</v>
      </c>
      <c r="T4182" s="20">
        <v>0.21999999999999997</v>
      </c>
    </row>
    <row r="4183" spans="13:20" x14ac:dyDescent="0.2">
      <c r="M4183" s="20">
        <v>1.8532736375361916E-2</v>
      </c>
      <c r="N4183" s="20">
        <v>1.2404488346218362E-3</v>
      </c>
      <c r="O4183" s="20">
        <v>6.6932848420103427E-2</v>
      </c>
      <c r="P4183" s="20"/>
      <c r="Q4183" s="20">
        <v>0.95</v>
      </c>
      <c r="R4183" s="20">
        <v>0</v>
      </c>
      <c r="S4183" s="20">
        <v>4.9999999999999933E-2</v>
      </c>
      <c r="T4183" s="20"/>
    </row>
    <row r="4184" spans="13:20" x14ac:dyDescent="0.2">
      <c r="M4184" s="20">
        <v>1.2894770596835357E-2</v>
      </c>
      <c r="N4184" s="20">
        <v>2.0253459572959123E-3</v>
      </c>
      <c r="O4184" s="20">
        <v>0.15706723451078486</v>
      </c>
      <c r="P4184" s="20">
        <v>0.57999999999999996</v>
      </c>
      <c r="Q4184" s="20">
        <v>0.3</v>
      </c>
      <c r="R4184" s="20">
        <v>0.12000000000000011</v>
      </c>
      <c r="S4184" s="20"/>
      <c r="T4184" s="20"/>
    </row>
    <row r="4185" spans="13:20" x14ac:dyDescent="0.2">
      <c r="M4185" s="20">
        <v>9.5795363962065012E-3</v>
      </c>
      <c r="N4185" s="20">
        <v>8.9798614085139362E-4</v>
      </c>
      <c r="O4185" s="20">
        <v>9.3740041658696163E-2</v>
      </c>
      <c r="P4185" s="20"/>
      <c r="Q4185" s="20"/>
      <c r="R4185" s="20">
        <v>0.6</v>
      </c>
      <c r="S4185" s="20">
        <v>0.40000000000000013</v>
      </c>
      <c r="T4185" s="20"/>
    </row>
    <row r="4186" spans="13:20" x14ac:dyDescent="0.2">
      <c r="M4186" s="20">
        <v>1.2953779016432503E-2</v>
      </c>
      <c r="N4186" s="20">
        <v>2.1693446770024273E-3</v>
      </c>
      <c r="O4186" s="20">
        <v>0.16746809361580953</v>
      </c>
      <c r="P4186" s="20">
        <v>0.60000000000000009</v>
      </c>
      <c r="Q4186" s="20"/>
      <c r="R4186" s="20"/>
      <c r="S4186" s="20"/>
      <c r="T4186" s="20">
        <v>0.4</v>
      </c>
    </row>
    <row r="4187" spans="13:20" x14ac:dyDescent="0.2">
      <c r="M4187" s="20">
        <v>1.3513969141783688E-2</v>
      </c>
      <c r="N4187" s="20">
        <v>1.7069009661081233E-3</v>
      </c>
      <c r="O4187" s="20">
        <v>0.1263064128828425</v>
      </c>
      <c r="P4187" s="20">
        <v>0.2</v>
      </c>
      <c r="Q4187" s="20">
        <v>0.14999999999999991</v>
      </c>
      <c r="R4187" s="20"/>
      <c r="S4187" s="20"/>
      <c r="T4187" s="20">
        <v>0.65</v>
      </c>
    </row>
    <row r="4188" spans="13:20" x14ac:dyDescent="0.2">
      <c r="M4188" s="20">
        <v>1.1155032780301371E-2</v>
      </c>
      <c r="N4188" s="20">
        <v>6.2527518985282758E-4</v>
      </c>
      <c r="O4188" s="20">
        <v>5.6053191610247764E-2</v>
      </c>
      <c r="P4188" s="20"/>
      <c r="Q4188" s="20"/>
      <c r="R4188" s="20"/>
      <c r="S4188" s="20">
        <v>0.9</v>
      </c>
      <c r="T4188" s="20">
        <v>9.9999999999999978E-2</v>
      </c>
    </row>
    <row r="4189" spans="13:20" x14ac:dyDescent="0.2">
      <c r="M4189" s="20">
        <v>1.5933010011191028E-2</v>
      </c>
      <c r="N4189" s="20">
        <v>1.6596064509886506E-3</v>
      </c>
      <c r="O4189" s="20">
        <v>0.10416151435434835</v>
      </c>
      <c r="P4189" s="20">
        <v>0.28999999999999998</v>
      </c>
      <c r="Q4189" s="20">
        <v>0.71</v>
      </c>
      <c r="R4189" s="20"/>
      <c r="S4189" s="20"/>
      <c r="T4189" s="20"/>
    </row>
    <row r="4190" spans="13:20" x14ac:dyDescent="0.2">
      <c r="M4190" s="20">
        <v>1.0342325803158046E-2</v>
      </c>
      <c r="N4190" s="20">
        <v>1.0598676308467231E-3</v>
      </c>
      <c r="O4190" s="20">
        <v>0.10247865432000708</v>
      </c>
      <c r="P4190" s="20"/>
      <c r="Q4190" s="20"/>
      <c r="R4190" s="20">
        <v>0.86</v>
      </c>
      <c r="S4190" s="20">
        <v>0.14000000000000001</v>
      </c>
      <c r="T4190" s="20"/>
    </row>
    <row r="4191" spans="13:20" x14ac:dyDescent="0.2">
      <c r="M4191" s="20">
        <v>1.4523169030091784E-2</v>
      </c>
      <c r="N4191" s="20">
        <v>2.5672456433853004E-3</v>
      </c>
      <c r="O4191" s="20">
        <v>0.1767689708813556</v>
      </c>
      <c r="P4191" s="20">
        <v>0.98</v>
      </c>
      <c r="Q4191" s="20">
        <v>2.0000000000000018E-2</v>
      </c>
      <c r="R4191" s="20"/>
      <c r="S4191" s="20"/>
      <c r="T4191" s="20"/>
    </row>
    <row r="4192" spans="13:20" x14ac:dyDescent="0.2">
      <c r="M4192" s="20">
        <v>1.0457552217227443E-2</v>
      </c>
      <c r="N4192" s="20">
        <v>9.8837737544995837E-4</v>
      </c>
      <c r="O4192" s="20">
        <v>9.4513262273913073E-2</v>
      </c>
      <c r="P4192" s="20"/>
      <c r="Q4192" s="20"/>
      <c r="R4192" s="20"/>
      <c r="S4192" s="20">
        <v>0.54</v>
      </c>
      <c r="T4192" s="20">
        <v>0.45999999999999996</v>
      </c>
    </row>
    <row r="4193" spans="13:20" x14ac:dyDescent="0.2">
      <c r="M4193" s="20">
        <v>1.0093398422728618E-2</v>
      </c>
      <c r="N4193" s="20">
        <v>9.2192666787205735E-4</v>
      </c>
      <c r="O4193" s="20">
        <v>9.1339569613742302E-2</v>
      </c>
      <c r="P4193" s="20">
        <v>8.0000000000000182E-2</v>
      </c>
      <c r="Q4193" s="20"/>
      <c r="R4193" s="20"/>
      <c r="S4193" s="20">
        <v>0.69</v>
      </c>
      <c r="T4193" s="20">
        <v>0.23</v>
      </c>
    </row>
    <row r="4194" spans="13:20" x14ac:dyDescent="0.2">
      <c r="M4194" s="20">
        <v>1.274709386249482E-2</v>
      </c>
      <c r="N4194" s="20">
        <v>1.9148684149682725E-3</v>
      </c>
      <c r="O4194" s="20">
        <v>0.15021999803439912</v>
      </c>
      <c r="P4194" s="20">
        <v>0.5</v>
      </c>
      <c r="Q4194" s="20">
        <v>0.34</v>
      </c>
      <c r="R4194" s="20">
        <v>0.15999999999999992</v>
      </c>
      <c r="S4194" s="20"/>
      <c r="T4194" s="20"/>
    </row>
    <row r="4195" spans="13:20" x14ac:dyDescent="0.2">
      <c r="M4195" s="20">
        <v>1.0211542800587916E-2</v>
      </c>
      <c r="N4195" s="20">
        <v>8.2699862629567788E-4</v>
      </c>
      <c r="O4195" s="20">
        <v>8.0986648388533866E-2</v>
      </c>
      <c r="P4195" s="20"/>
      <c r="Q4195" s="20"/>
      <c r="R4195" s="20"/>
      <c r="S4195" s="20">
        <v>0.7</v>
      </c>
      <c r="T4195" s="20">
        <v>0.29999999999999993</v>
      </c>
    </row>
    <row r="4196" spans="13:20" x14ac:dyDescent="0.2">
      <c r="M4196" s="20">
        <v>1.3882356534975659E-2</v>
      </c>
      <c r="N4196" s="20">
        <v>2.146311525172361E-3</v>
      </c>
      <c r="O4196" s="20">
        <v>0.15460714611131579</v>
      </c>
      <c r="P4196" s="20">
        <v>0.66</v>
      </c>
      <c r="Q4196" s="20">
        <v>0.33999999999999986</v>
      </c>
      <c r="R4196" s="20"/>
      <c r="S4196" s="20"/>
      <c r="T4196" s="20"/>
    </row>
    <row r="4197" spans="13:20" x14ac:dyDescent="0.2">
      <c r="M4197" s="20">
        <v>1.2834122427984901E-2</v>
      </c>
      <c r="N4197" s="20">
        <v>2.1939229095554224E-3</v>
      </c>
      <c r="O4197" s="20">
        <v>0.17094452089467035</v>
      </c>
      <c r="P4197" s="20">
        <v>0.64</v>
      </c>
      <c r="Q4197" s="20">
        <v>7.0000000000000173E-2</v>
      </c>
      <c r="R4197" s="20"/>
      <c r="S4197" s="20"/>
      <c r="T4197" s="20">
        <v>0.28999999999999998</v>
      </c>
    </row>
    <row r="4198" spans="13:20" x14ac:dyDescent="0.2">
      <c r="M4198" s="20">
        <v>1.3497572708498733E-2</v>
      </c>
      <c r="N4198" s="20">
        <v>1.6851373591955272E-3</v>
      </c>
      <c r="O4198" s="20">
        <v>0.12484743706062662</v>
      </c>
      <c r="P4198" s="20">
        <v>0.20999999999999996</v>
      </c>
      <c r="Q4198" s="20"/>
      <c r="R4198" s="20"/>
      <c r="S4198" s="20">
        <v>7.0000000000000007E-2</v>
      </c>
      <c r="T4198" s="20">
        <v>0.72</v>
      </c>
    </row>
    <row r="4199" spans="13:20" x14ac:dyDescent="0.2">
      <c r="M4199" s="20">
        <v>1.0666632172008018E-2</v>
      </c>
      <c r="N4199" s="20">
        <v>1.0972248977687219E-3</v>
      </c>
      <c r="O4199" s="20">
        <v>0.1028651668188317</v>
      </c>
      <c r="P4199" s="20"/>
      <c r="Q4199" s="20"/>
      <c r="R4199" s="20">
        <v>0.92</v>
      </c>
      <c r="S4199" s="20">
        <v>7.999999999999996E-2</v>
      </c>
      <c r="T4199" s="20"/>
    </row>
    <row r="4200" spans="13:20" x14ac:dyDescent="0.2">
      <c r="M4200" s="20">
        <v>1.23453440931807E-2</v>
      </c>
      <c r="N4200" s="20">
        <v>1.1981637115485012E-3</v>
      </c>
      <c r="O4200" s="20">
        <v>9.7053893557356649E-2</v>
      </c>
      <c r="P4200" s="20"/>
      <c r="Q4200" s="20">
        <v>0.39</v>
      </c>
      <c r="R4200" s="20">
        <v>0.61</v>
      </c>
      <c r="S4200" s="20"/>
      <c r="T4200" s="20"/>
    </row>
    <row r="4201" spans="13:20" x14ac:dyDescent="0.2">
      <c r="M4201" s="20">
        <v>1.084063784495717E-2</v>
      </c>
      <c r="N4201" s="20">
        <v>1.1263915567785311E-3</v>
      </c>
      <c r="O4201" s="20">
        <v>0.10390454629037386</v>
      </c>
      <c r="P4201" s="20"/>
      <c r="Q4201" s="20">
        <v>0.08</v>
      </c>
      <c r="R4201" s="20">
        <v>0.87</v>
      </c>
      <c r="S4201" s="20">
        <v>5.0000000000000044E-2</v>
      </c>
      <c r="T4201" s="20"/>
    </row>
    <row r="4202" spans="13:20" x14ac:dyDescent="0.2">
      <c r="M4202" s="20">
        <v>1.7103671905773405E-2</v>
      </c>
      <c r="N4202" s="20">
        <v>1.2584698584541568E-3</v>
      </c>
      <c r="O4202" s="20">
        <v>7.357892886318497E-2</v>
      </c>
      <c r="P4202" s="20"/>
      <c r="Q4202" s="20">
        <v>0.85</v>
      </c>
      <c r="R4202" s="20">
        <v>0.15000000000000002</v>
      </c>
      <c r="S4202" s="20"/>
      <c r="T4202" s="20"/>
    </row>
    <row r="4203" spans="13:20" x14ac:dyDescent="0.2">
      <c r="M4203" s="20">
        <v>1.4168542622972171E-2</v>
      </c>
      <c r="N4203" s="20">
        <v>1.3817380765135169E-3</v>
      </c>
      <c r="O4203" s="20">
        <v>9.7521538614228062E-2</v>
      </c>
      <c r="P4203" s="20"/>
      <c r="Q4203" s="20"/>
      <c r="R4203" s="20"/>
      <c r="S4203" s="20">
        <v>0.15</v>
      </c>
      <c r="T4203" s="20">
        <v>0.85</v>
      </c>
    </row>
    <row r="4204" spans="13:20" x14ac:dyDescent="0.2">
      <c r="M4204" s="20">
        <v>1.383205566507556E-2</v>
      </c>
      <c r="N4204" s="20">
        <v>2.2778534371139052E-3</v>
      </c>
      <c r="O4204" s="20">
        <v>0.16467931392621837</v>
      </c>
      <c r="P4204" s="20">
        <v>0.76</v>
      </c>
      <c r="Q4204" s="20">
        <v>0.2400000000000001</v>
      </c>
      <c r="R4204" s="20"/>
      <c r="S4204" s="20"/>
      <c r="T4204" s="20"/>
    </row>
    <row r="4205" spans="13:20" x14ac:dyDescent="0.2">
      <c r="M4205" s="20">
        <v>1.1667594942214921E-2</v>
      </c>
      <c r="N4205" s="20">
        <v>1.5286012326947511E-3</v>
      </c>
      <c r="O4205" s="20">
        <v>0.13101253859645634</v>
      </c>
      <c r="P4205" s="20">
        <v>0.18</v>
      </c>
      <c r="Q4205" s="20">
        <v>0.28999999999999998</v>
      </c>
      <c r="R4205" s="20">
        <v>0.21</v>
      </c>
      <c r="S4205" s="20">
        <v>4.0000000000000036E-2</v>
      </c>
      <c r="T4205" s="20">
        <v>0.28000000000000003</v>
      </c>
    </row>
    <row r="4206" spans="13:20" x14ac:dyDescent="0.2">
      <c r="M4206" s="20">
        <v>1.3595440292245567E-2</v>
      </c>
      <c r="N4206" s="20">
        <v>2.2870746187272552E-3</v>
      </c>
      <c r="O4206" s="20">
        <v>0.16822365216312518</v>
      </c>
      <c r="P4206" s="20">
        <v>0.77</v>
      </c>
      <c r="Q4206" s="20">
        <v>0.2</v>
      </c>
      <c r="R4206" s="20">
        <v>3.0000000000000027E-2</v>
      </c>
      <c r="S4206" s="20"/>
      <c r="T4206" s="20"/>
    </row>
    <row r="4207" spans="13:20" x14ac:dyDescent="0.2">
      <c r="M4207" s="20">
        <v>1.2953162917986183E-2</v>
      </c>
      <c r="N4207" s="20">
        <v>2.1587394432831478E-3</v>
      </c>
      <c r="O4207" s="20">
        <v>0.16665732199551192</v>
      </c>
      <c r="P4207" s="20">
        <v>0.59000000000000008</v>
      </c>
      <c r="Q4207" s="20"/>
      <c r="R4207" s="20"/>
      <c r="S4207" s="20"/>
      <c r="T4207" s="20">
        <v>0.41</v>
      </c>
    </row>
    <row r="4208" spans="13:20" x14ac:dyDescent="0.2">
      <c r="M4208" s="20">
        <v>1.1946223398719471E-2</v>
      </c>
      <c r="N4208" s="20">
        <v>1.190297692386894E-3</v>
      </c>
      <c r="O4208" s="20">
        <v>9.9637990405778212E-2</v>
      </c>
      <c r="P4208" s="20"/>
      <c r="Q4208" s="20">
        <v>0.33</v>
      </c>
      <c r="R4208" s="20">
        <v>0.66999999999999993</v>
      </c>
      <c r="S4208" s="20"/>
      <c r="T4208" s="20"/>
    </row>
    <row r="4209" spans="13:20" x14ac:dyDescent="0.2">
      <c r="M4209" s="20">
        <v>9.9220375796231306E-3</v>
      </c>
      <c r="N4209" s="20">
        <v>7.6137929493158573E-4</v>
      </c>
      <c r="O4209" s="20">
        <v>7.6736183351616097E-2</v>
      </c>
      <c r="P4209" s="20"/>
      <c r="Q4209" s="20"/>
      <c r="R4209" s="20">
        <v>0.17</v>
      </c>
      <c r="S4209" s="20">
        <v>0.7</v>
      </c>
      <c r="T4209" s="20">
        <v>0.12999999999999989</v>
      </c>
    </row>
    <row r="4210" spans="13:20" x14ac:dyDescent="0.2">
      <c r="M4210" s="20">
        <v>1.0616485831160517E-2</v>
      </c>
      <c r="N4210" s="20">
        <v>1.294308537262812E-3</v>
      </c>
      <c r="O4210" s="20">
        <v>0.12191496864846545</v>
      </c>
      <c r="P4210" s="20">
        <v>0.1</v>
      </c>
      <c r="Q4210" s="20">
        <v>0.02</v>
      </c>
      <c r="R4210" s="20">
        <v>0.87999999999999989</v>
      </c>
      <c r="S4210" s="20"/>
      <c r="T4210" s="20"/>
    </row>
    <row r="4211" spans="13:20" x14ac:dyDescent="0.2">
      <c r="M4211" s="20">
        <v>1.4000173937607607E-2</v>
      </c>
      <c r="N4211" s="20">
        <v>2.498106922300093E-3</v>
      </c>
      <c r="O4211" s="20">
        <v>0.17843399185131675</v>
      </c>
      <c r="P4211" s="20">
        <v>0.90999999999999992</v>
      </c>
      <c r="Q4211" s="20"/>
      <c r="R4211" s="20"/>
      <c r="S4211" s="20"/>
      <c r="T4211" s="20">
        <v>0.09</v>
      </c>
    </row>
    <row r="4212" spans="13:20" x14ac:dyDescent="0.2">
      <c r="M4212" s="20">
        <v>1.0999328791436272E-2</v>
      </c>
      <c r="N4212" s="20">
        <v>1.1437591870459298E-3</v>
      </c>
      <c r="O4212" s="20">
        <v>0.10398445293647594</v>
      </c>
      <c r="P4212" s="20"/>
      <c r="Q4212" s="20">
        <v>7.0000000000000007E-2</v>
      </c>
      <c r="R4212" s="20">
        <v>0.91</v>
      </c>
      <c r="S4212" s="20">
        <v>1.9999999999999907E-2</v>
      </c>
      <c r="T4212" s="20"/>
    </row>
    <row r="4213" spans="13:20" x14ac:dyDescent="0.2">
      <c r="M4213" s="20">
        <v>1.0476132190911371E-2</v>
      </c>
      <c r="N4213" s="20">
        <v>1.4520705130763797E-3</v>
      </c>
      <c r="O4213" s="20">
        <v>0.13860750194963478</v>
      </c>
      <c r="P4213" s="20">
        <v>0.2</v>
      </c>
      <c r="Q4213" s="20">
        <v>0.12</v>
      </c>
      <c r="R4213" s="20">
        <v>0.67999999999999994</v>
      </c>
      <c r="S4213" s="20"/>
      <c r="T4213" s="20"/>
    </row>
    <row r="4214" spans="13:20" x14ac:dyDescent="0.2">
      <c r="M4214" s="20">
        <v>1.4780066221291192E-2</v>
      </c>
      <c r="N4214" s="20">
        <v>1.8569193189009658E-3</v>
      </c>
      <c r="O4214" s="20">
        <v>0.12563673877360643</v>
      </c>
      <c r="P4214" s="20">
        <v>0.44</v>
      </c>
      <c r="Q4214" s="20">
        <v>0.55999999999999994</v>
      </c>
      <c r="R4214" s="20"/>
      <c r="S4214" s="20"/>
      <c r="T4214" s="20"/>
    </row>
    <row r="4215" spans="13:20" x14ac:dyDescent="0.2">
      <c r="M4215" s="20">
        <v>1.3709273138729028E-2</v>
      </c>
      <c r="N4215" s="20">
        <v>1.2191397626461207E-3</v>
      </c>
      <c r="O4215" s="20">
        <v>8.8928110944264532E-2</v>
      </c>
      <c r="P4215" s="20"/>
      <c r="Q4215" s="20">
        <v>0.55000000000000004</v>
      </c>
      <c r="R4215" s="20">
        <v>0.44999999999999996</v>
      </c>
      <c r="S4215" s="20"/>
      <c r="T4215" s="20"/>
    </row>
    <row r="4216" spans="13:20" x14ac:dyDescent="0.2">
      <c r="M4216" s="20">
        <v>9.739830883322035E-3</v>
      </c>
      <c r="N4216" s="20">
        <v>1.4925580088553712E-3</v>
      </c>
      <c r="O4216" s="20">
        <v>0.1532427027466306</v>
      </c>
      <c r="P4216" s="20">
        <v>0.38</v>
      </c>
      <c r="Q4216" s="20">
        <v>0.01</v>
      </c>
      <c r="R4216" s="20">
        <v>0.28000000000000003</v>
      </c>
      <c r="S4216" s="20">
        <v>0.33000000000000007</v>
      </c>
      <c r="T4216" s="20"/>
    </row>
    <row r="4217" spans="13:20" x14ac:dyDescent="0.2">
      <c r="M4217" s="20">
        <v>1.7319952818756659E-2</v>
      </c>
      <c r="N4217" s="20">
        <v>1.4754477742704901E-3</v>
      </c>
      <c r="O4217" s="20">
        <v>8.5187747894593144E-2</v>
      </c>
      <c r="P4217" s="20">
        <v>0.15</v>
      </c>
      <c r="Q4217" s="20">
        <v>0.85</v>
      </c>
      <c r="R4217" s="20"/>
      <c r="S4217" s="20"/>
      <c r="T4217" s="20"/>
    </row>
    <row r="4218" spans="13:20" x14ac:dyDescent="0.2">
      <c r="M4218" s="20">
        <v>1.0972784808687778E-2</v>
      </c>
      <c r="N4218" s="20">
        <v>1.1283559535370546E-3</v>
      </c>
      <c r="O4218" s="20">
        <v>0.10283223203681814</v>
      </c>
      <c r="P4218" s="20"/>
      <c r="Q4218" s="20"/>
      <c r="R4218" s="20">
        <v>0.97</v>
      </c>
      <c r="S4218" s="20">
        <v>2.9999999999999916E-2</v>
      </c>
      <c r="T4218" s="20"/>
    </row>
    <row r="4219" spans="13:20" x14ac:dyDescent="0.2">
      <c r="M4219" s="20">
        <v>1.05531112465891E-2</v>
      </c>
      <c r="N4219" s="20">
        <v>1.0847724754613891E-3</v>
      </c>
      <c r="O4219" s="20">
        <v>0.10279172180734865</v>
      </c>
      <c r="P4219" s="20"/>
      <c r="Q4219" s="20"/>
      <c r="R4219" s="20">
        <v>0.9</v>
      </c>
      <c r="S4219" s="20">
        <v>0.10000000000000009</v>
      </c>
      <c r="T4219" s="20"/>
    </row>
    <row r="4220" spans="13:20" x14ac:dyDescent="0.2">
      <c r="M4220" s="20">
        <v>1.321346741435854E-2</v>
      </c>
      <c r="N4220" s="20">
        <v>1.672034369099437E-3</v>
      </c>
      <c r="O4220" s="20">
        <v>0.12654016668497664</v>
      </c>
      <c r="P4220" s="20">
        <v>0.22</v>
      </c>
      <c r="Q4220" s="20">
        <v>0.36999999999999988</v>
      </c>
      <c r="R4220" s="20"/>
      <c r="S4220" s="20"/>
      <c r="T4220" s="20">
        <v>0.41</v>
      </c>
    </row>
    <row r="4221" spans="13:20" x14ac:dyDescent="0.2">
      <c r="M4221" s="20">
        <v>9.5145645298022E-3</v>
      </c>
      <c r="N4221" s="20">
        <v>1.2725851225793537E-3</v>
      </c>
      <c r="O4221" s="20">
        <v>0.13375127349163185</v>
      </c>
      <c r="P4221" s="20">
        <v>0.22</v>
      </c>
      <c r="Q4221" s="20">
        <v>0.05</v>
      </c>
      <c r="R4221" s="20">
        <v>0.41</v>
      </c>
      <c r="S4221" s="20">
        <v>0.32000000000000017</v>
      </c>
      <c r="T4221" s="20"/>
    </row>
    <row r="4222" spans="13:20" x14ac:dyDescent="0.2">
      <c r="M4222" s="20">
        <v>1.0029055968474525E-2</v>
      </c>
      <c r="N4222" s="20">
        <v>1.0162841527710572E-3</v>
      </c>
      <c r="O4222" s="20">
        <v>0.10133397958548233</v>
      </c>
      <c r="P4222" s="20"/>
      <c r="Q4222" s="20"/>
      <c r="R4222" s="20">
        <v>0.79</v>
      </c>
      <c r="S4222" s="20">
        <v>0.20999999999999985</v>
      </c>
      <c r="T4222" s="20"/>
    </row>
    <row r="4223" spans="13:20" x14ac:dyDescent="0.2">
      <c r="M4223" s="20">
        <v>1.12388339892407E-2</v>
      </c>
      <c r="N4223" s="20">
        <v>8.140931492113116E-4</v>
      </c>
      <c r="O4223" s="20">
        <v>7.2435730431703982E-2</v>
      </c>
      <c r="P4223" s="20">
        <v>0.14000000000000012</v>
      </c>
      <c r="Q4223" s="20"/>
      <c r="R4223" s="20"/>
      <c r="S4223" s="20">
        <v>0.86</v>
      </c>
      <c r="T4223" s="20">
        <v>0</v>
      </c>
    </row>
    <row r="4224" spans="13:20" x14ac:dyDescent="0.2">
      <c r="M4224" s="20">
        <v>1.1827437033241116E-2</v>
      </c>
      <c r="N4224" s="20">
        <v>1.1800146400706665E-3</v>
      </c>
      <c r="O4224" s="20">
        <v>9.9769259963441354E-2</v>
      </c>
      <c r="P4224" s="20"/>
      <c r="Q4224" s="20"/>
      <c r="R4224" s="20"/>
      <c r="S4224" s="20">
        <v>0.35</v>
      </c>
      <c r="T4224" s="20">
        <v>0.65000000000000013</v>
      </c>
    </row>
    <row r="4225" spans="13:20" x14ac:dyDescent="0.2">
      <c r="M4225" s="20">
        <v>1.1037677669451181E-2</v>
      </c>
      <c r="N4225" s="20">
        <v>1.1345821646907212E-3</v>
      </c>
      <c r="O4225" s="20">
        <v>0.10279174647678721</v>
      </c>
      <c r="P4225" s="20"/>
      <c r="Q4225" s="20"/>
      <c r="R4225" s="20">
        <v>0.98</v>
      </c>
      <c r="S4225" s="20">
        <v>2.0000000000000018E-2</v>
      </c>
      <c r="T4225" s="20"/>
    </row>
    <row r="4226" spans="13:20" x14ac:dyDescent="0.2">
      <c r="M4226" s="20">
        <v>1.3474696834592237E-2</v>
      </c>
      <c r="N4226" s="20">
        <v>1.9254243014589982E-3</v>
      </c>
      <c r="O4226" s="20">
        <v>0.14289184573830629</v>
      </c>
      <c r="P4226" s="20">
        <v>0.37000000000000011</v>
      </c>
      <c r="Q4226" s="20"/>
      <c r="R4226" s="20"/>
      <c r="S4226" s="20"/>
      <c r="T4226" s="20">
        <v>0.63</v>
      </c>
    </row>
    <row r="4227" spans="13:20" x14ac:dyDescent="0.2">
      <c r="M4227" s="20">
        <v>1.286088387350824E-2</v>
      </c>
      <c r="N4227" s="20">
        <v>2.1195306023154567E-3</v>
      </c>
      <c r="O4227" s="20">
        <v>0.16480442737543227</v>
      </c>
      <c r="P4227" s="20">
        <v>0.68</v>
      </c>
      <c r="Q4227" s="20">
        <v>0.2</v>
      </c>
      <c r="R4227" s="20">
        <v>0.06</v>
      </c>
      <c r="S4227" s="20">
        <v>5.9999999999999942E-2</v>
      </c>
      <c r="T4227" s="20"/>
    </row>
    <row r="4228" spans="13:20" x14ac:dyDescent="0.2">
      <c r="M4228" s="20">
        <v>9.5688548890340459E-3</v>
      </c>
      <c r="N4228" s="20">
        <v>8.8553371854406039E-4</v>
      </c>
      <c r="O4228" s="20">
        <v>9.2543332385454632E-2</v>
      </c>
      <c r="P4228" s="20"/>
      <c r="Q4228" s="20"/>
      <c r="R4228" s="20">
        <v>0.57999999999999996</v>
      </c>
      <c r="S4228" s="20">
        <v>0.41999999999999993</v>
      </c>
      <c r="T4228" s="20"/>
    </row>
    <row r="4229" spans="13:20" x14ac:dyDescent="0.2">
      <c r="M4229" s="20">
        <v>1.498731213558065E-2</v>
      </c>
      <c r="N4229" s="20">
        <v>1.1650724750854023E-3</v>
      </c>
      <c r="O4229" s="20">
        <v>7.7737252987442648E-2</v>
      </c>
      <c r="P4229" s="20"/>
      <c r="Q4229" s="20">
        <v>0.66</v>
      </c>
      <c r="R4229" s="20">
        <v>0.23</v>
      </c>
      <c r="S4229" s="20">
        <v>0.10999999999999999</v>
      </c>
      <c r="T4229" s="20"/>
    </row>
    <row r="4230" spans="13:20" x14ac:dyDescent="0.2">
      <c r="M4230" s="20">
        <v>1.0909084634781437E-2</v>
      </c>
      <c r="N4230" s="20">
        <v>1.122129742383388E-3</v>
      </c>
      <c r="O4230" s="20">
        <v>0.10286195221235167</v>
      </c>
      <c r="P4230" s="20"/>
      <c r="Q4230" s="20"/>
      <c r="R4230" s="20">
        <v>0.96</v>
      </c>
      <c r="S4230" s="20">
        <v>4.0000000000000036E-2</v>
      </c>
      <c r="T4230" s="20"/>
    </row>
    <row r="4231" spans="13:20" x14ac:dyDescent="0.2">
      <c r="M4231" s="20">
        <v>9.5980502546850321E-3</v>
      </c>
      <c r="N4231" s="20">
        <v>8.3572402931472831E-4</v>
      </c>
      <c r="O4231" s="20">
        <v>8.7072270631922549E-2</v>
      </c>
      <c r="P4231" s="20"/>
      <c r="Q4231" s="20"/>
      <c r="R4231" s="20">
        <v>0.5</v>
      </c>
      <c r="S4231" s="20">
        <v>0.50000000000000011</v>
      </c>
      <c r="T4231" s="20"/>
    </row>
    <row r="4232" spans="13:20" x14ac:dyDescent="0.2">
      <c r="M4232" s="20">
        <v>1.4201752820903987E-2</v>
      </c>
      <c r="N4232" s="20">
        <v>2.0016154220366634E-3</v>
      </c>
      <c r="O4232" s="20">
        <v>0.14094143499599751</v>
      </c>
      <c r="P4232" s="20">
        <v>0.55000000000000004</v>
      </c>
      <c r="Q4232" s="20">
        <v>0.44999999999999984</v>
      </c>
      <c r="R4232" s="20"/>
      <c r="S4232" s="20"/>
      <c r="T4232" s="20"/>
    </row>
    <row r="4233" spans="13:20" x14ac:dyDescent="0.2">
      <c r="M4233" s="20">
        <v>1.3356120974734573E-2</v>
      </c>
      <c r="N4233" s="20">
        <v>2.3606482877692393E-3</v>
      </c>
      <c r="O4233" s="20">
        <v>0.17674654880970425</v>
      </c>
      <c r="P4233" s="20">
        <v>0.79</v>
      </c>
      <c r="Q4233" s="20">
        <v>3.9999999999999925E-2</v>
      </c>
      <c r="R4233" s="20"/>
      <c r="S4233" s="20"/>
      <c r="T4233" s="20">
        <v>0.17</v>
      </c>
    </row>
    <row r="4234" spans="13:20" x14ac:dyDescent="0.2">
      <c r="M4234" s="20">
        <v>1.1766506833316759E-2</v>
      </c>
      <c r="N4234" s="20">
        <v>5.5467198709783019E-4</v>
      </c>
      <c r="O4234" s="20">
        <v>4.7139902687795276E-2</v>
      </c>
      <c r="P4234" s="20"/>
      <c r="Q4234" s="20"/>
      <c r="R4234" s="20"/>
      <c r="S4234" s="20">
        <v>0.97</v>
      </c>
      <c r="T4234" s="20">
        <v>3.0000000000000138E-2</v>
      </c>
    </row>
    <row r="4235" spans="13:20" x14ac:dyDescent="0.2">
      <c r="M4235" s="20">
        <v>1.4043816940215016E-2</v>
      </c>
      <c r="N4235" s="20">
        <v>2.4225495402496028E-3</v>
      </c>
      <c r="O4235" s="20">
        <v>0.17249936755530743</v>
      </c>
      <c r="P4235" s="20">
        <v>0.87</v>
      </c>
      <c r="Q4235" s="20">
        <v>0.13000000000000012</v>
      </c>
      <c r="R4235" s="20"/>
      <c r="S4235" s="20"/>
      <c r="T4235" s="20"/>
    </row>
    <row r="4236" spans="13:20" x14ac:dyDescent="0.2">
      <c r="M4236" s="20">
        <v>9.8035940648196918E-3</v>
      </c>
      <c r="N4236" s="20">
        <v>1.0293577449597708E-3</v>
      </c>
      <c r="O4236" s="20">
        <v>0.10499799748478292</v>
      </c>
      <c r="P4236" s="20"/>
      <c r="Q4236" s="20"/>
      <c r="R4236" s="20">
        <v>0.73</v>
      </c>
      <c r="S4236" s="20">
        <v>0.22</v>
      </c>
      <c r="T4236" s="20">
        <v>5.0000000000000044E-2</v>
      </c>
    </row>
    <row r="4237" spans="13:20" x14ac:dyDescent="0.2">
      <c r="M4237" s="20">
        <v>1.0418408699861305E-2</v>
      </c>
      <c r="N4237" s="20">
        <v>6.7770249998787464E-4</v>
      </c>
      <c r="O4237" s="20">
        <v>6.5048561590494769E-2</v>
      </c>
      <c r="P4237" s="20"/>
      <c r="Q4237" s="20"/>
      <c r="R4237" s="20">
        <v>0.23</v>
      </c>
      <c r="S4237" s="20">
        <v>0.76</v>
      </c>
      <c r="T4237" s="20">
        <v>9.9999999999998979E-3</v>
      </c>
    </row>
    <row r="4238" spans="13:20" x14ac:dyDescent="0.2">
      <c r="M4238" s="20">
        <v>9.8211596976906772E-3</v>
      </c>
      <c r="N4238" s="20">
        <v>9.7892688584905814E-4</v>
      </c>
      <c r="O4238" s="20">
        <v>9.9675284384107984E-2</v>
      </c>
      <c r="P4238" s="20"/>
      <c r="Q4238" s="20"/>
      <c r="R4238" s="20">
        <v>0.73</v>
      </c>
      <c r="S4238" s="20">
        <v>0.27</v>
      </c>
      <c r="T4238" s="20"/>
    </row>
    <row r="4239" spans="13:20" x14ac:dyDescent="0.2">
      <c r="M4239" s="20">
        <v>1.3663318726820998E-2</v>
      </c>
      <c r="N4239" s="20">
        <v>2.2855003095385291E-3</v>
      </c>
      <c r="O4239" s="20">
        <v>0.1672727069633608</v>
      </c>
      <c r="P4239" s="20">
        <v>0.76</v>
      </c>
      <c r="Q4239" s="20">
        <v>0.20999999999999985</v>
      </c>
      <c r="R4239" s="20"/>
      <c r="S4239" s="20"/>
      <c r="T4239" s="20">
        <v>0.03</v>
      </c>
    </row>
    <row r="4240" spans="13:20" x14ac:dyDescent="0.2">
      <c r="M4240" s="20">
        <v>1.6301105982438266E-2</v>
      </c>
      <c r="N4240" s="20">
        <v>1.5330306538456546E-3</v>
      </c>
      <c r="O4240" s="20">
        <v>9.4044579275617268E-2</v>
      </c>
      <c r="P4240" s="20">
        <v>0</v>
      </c>
      <c r="Q4240" s="20"/>
      <c r="R4240" s="20"/>
      <c r="S4240" s="20"/>
      <c r="T4240" s="20">
        <v>1</v>
      </c>
    </row>
    <row r="4241" spans="13:20" x14ac:dyDescent="0.2">
      <c r="M4241" s="20">
        <v>1.6482271217304091E-2</v>
      </c>
      <c r="N4241" s="20">
        <v>1.2519148424861505E-3</v>
      </c>
      <c r="O4241" s="20">
        <v>7.595523857002269E-2</v>
      </c>
      <c r="P4241" s="20"/>
      <c r="Q4241" s="20">
        <v>0.8</v>
      </c>
      <c r="R4241" s="20">
        <v>0.19999999999999984</v>
      </c>
      <c r="S4241" s="20"/>
      <c r="T4241" s="20"/>
    </row>
    <row r="4242" spans="13:20" x14ac:dyDescent="0.2">
      <c r="M4242" s="20">
        <v>9.886018503842452E-3</v>
      </c>
      <c r="N4242" s="20">
        <v>7.5478328431706357E-4</v>
      </c>
      <c r="O4242" s="20">
        <v>7.6348560750083352E-2</v>
      </c>
      <c r="P4242" s="20"/>
      <c r="Q4242" s="20"/>
      <c r="R4242" s="20">
        <v>0.37</v>
      </c>
      <c r="S4242" s="20">
        <v>0.63</v>
      </c>
      <c r="T4242" s="20"/>
    </row>
    <row r="4243" spans="13:20" x14ac:dyDescent="0.2">
      <c r="M4243" s="20">
        <v>1.8263847217394928E-2</v>
      </c>
      <c r="N4243" s="20">
        <v>1.2702688871965677E-3</v>
      </c>
      <c r="O4243" s="20">
        <v>6.9551002703676423E-2</v>
      </c>
      <c r="P4243" s="20"/>
      <c r="Q4243" s="20">
        <v>0.94</v>
      </c>
      <c r="R4243" s="20">
        <v>6.0000000000000164E-2</v>
      </c>
      <c r="S4243" s="20"/>
      <c r="T4243" s="20"/>
    </row>
    <row r="4244" spans="13:20" x14ac:dyDescent="0.2">
      <c r="M4244" s="20">
        <v>1.0377555350026031E-2</v>
      </c>
      <c r="N4244" s="20">
        <v>9.6820503180567352E-4</v>
      </c>
      <c r="O4244" s="20">
        <v>9.329798773882185E-2</v>
      </c>
      <c r="P4244" s="20"/>
      <c r="Q4244" s="20"/>
      <c r="R4244" s="20"/>
      <c r="S4244" s="20">
        <v>0.56000000000000005</v>
      </c>
      <c r="T4244" s="20">
        <v>0.44000000000000006</v>
      </c>
    </row>
    <row r="4245" spans="13:20" x14ac:dyDescent="0.2">
      <c r="M4245" s="20">
        <v>1.0612715329325863E-2</v>
      </c>
      <c r="N4245" s="20">
        <v>6.551639058583992E-4</v>
      </c>
      <c r="O4245" s="20">
        <v>6.173386221413104E-2</v>
      </c>
      <c r="P4245" s="20"/>
      <c r="Q4245" s="20"/>
      <c r="R4245" s="20">
        <v>0.21</v>
      </c>
      <c r="S4245" s="20">
        <v>0.78999999999999992</v>
      </c>
      <c r="T4245" s="20"/>
    </row>
    <row r="4246" spans="13:20" x14ac:dyDescent="0.2">
      <c r="M4246" s="20">
        <v>1.1346622031100762E-2</v>
      </c>
      <c r="N4246" s="20">
        <v>1.4935000945748194E-3</v>
      </c>
      <c r="O4246" s="20">
        <v>0.13162508546430635</v>
      </c>
      <c r="P4246" s="20">
        <v>0.20999999999999996</v>
      </c>
      <c r="Q4246" s="20"/>
      <c r="R4246" s="20"/>
      <c r="S4246" s="20">
        <v>0.26</v>
      </c>
      <c r="T4246" s="20">
        <v>0.53</v>
      </c>
    </row>
    <row r="4247" spans="13:20" x14ac:dyDescent="0.2">
      <c r="M4247" s="20">
        <v>1.4637253852239254E-2</v>
      </c>
      <c r="N4247" s="20">
        <v>2.593554025773609E-3</v>
      </c>
      <c r="O4247" s="20">
        <v>0.17718856637693953</v>
      </c>
      <c r="P4247" s="20">
        <v>1</v>
      </c>
      <c r="Q4247" s="20">
        <v>0</v>
      </c>
      <c r="R4247" s="20"/>
      <c r="S4247" s="20"/>
      <c r="T4247" s="20"/>
    </row>
    <row r="4248" spans="13:20" x14ac:dyDescent="0.2">
      <c r="M4248" s="20">
        <v>1.1183764414370183E-2</v>
      </c>
      <c r="N4248" s="20">
        <v>1.165388631708471E-3</v>
      </c>
      <c r="O4248" s="20">
        <v>0.10420361056703287</v>
      </c>
      <c r="P4248" s="20"/>
      <c r="Q4248" s="20">
        <v>0.14000000000000001</v>
      </c>
      <c r="R4248" s="20">
        <v>0.85999999999999988</v>
      </c>
      <c r="S4248" s="20"/>
      <c r="T4248" s="20"/>
    </row>
    <row r="4249" spans="13:20" x14ac:dyDescent="0.2">
      <c r="M4249" s="20">
        <v>1.4670749734442235E-2</v>
      </c>
      <c r="N4249" s="20">
        <v>1.7239248607926866E-3</v>
      </c>
      <c r="O4249" s="20">
        <v>0.11750761835609953</v>
      </c>
      <c r="P4249" s="20">
        <v>0.18000000000000016</v>
      </c>
      <c r="Q4249" s="20"/>
      <c r="R4249" s="20"/>
      <c r="S4249" s="20"/>
      <c r="T4249" s="20">
        <v>0.82</v>
      </c>
    </row>
    <row r="4250" spans="13:20" x14ac:dyDescent="0.2">
      <c r="M4250" s="20">
        <v>1.0644337526263408E-2</v>
      </c>
      <c r="N4250" s="20">
        <v>8.7409111824702937E-4</v>
      </c>
      <c r="O4250" s="20">
        <v>8.2117944502448581E-2</v>
      </c>
      <c r="P4250" s="20">
        <v>0.13</v>
      </c>
      <c r="Q4250" s="20"/>
      <c r="R4250" s="20"/>
      <c r="S4250" s="20">
        <v>0.79</v>
      </c>
      <c r="T4250" s="20">
        <v>0.08</v>
      </c>
    </row>
    <row r="4251" spans="13:20" x14ac:dyDescent="0.2">
      <c r="M4251" s="20">
        <v>1.3553598480618007E-2</v>
      </c>
      <c r="N4251" s="20">
        <v>1.5202868384017847E-3</v>
      </c>
      <c r="O4251" s="20">
        <v>0.11216850200895605</v>
      </c>
      <c r="P4251" s="20">
        <v>0.21</v>
      </c>
      <c r="Q4251" s="20">
        <v>0.53</v>
      </c>
      <c r="R4251" s="20">
        <v>0.26000000000000012</v>
      </c>
      <c r="S4251" s="20"/>
      <c r="T4251" s="20"/>
    </row>
    <row r="4252" spans="13:20" x14ac:dyDescent="0.2">
      <c r="M4252" s="20">
        <v>1.0092639108215361E-2</v>
      </c>
      <c r="N4252" s="20">
        <v>1.1845737584685104E-3</v>
      </c>
      <c r="O4252" s="20">
        <v>0.11737006998538894</v>
      </c>
      <c r="P4252" s="20">
        <v>3.0000000000000027E-2</v>
      </c>
      <c r="Q4252" s="20"/>
      <c r="R4252" s="20">
        <v>0.75</v>
      </c>
      <c r="S4252" s="20">
        <v>0.09</v>
      </c>
      <c r="T4252" s="20">
        <v>0.13</v>
      </c>
    </row>
    <row r="4253" spans="13:20" x14ac:dyDescent="0.2">
      <c r="M4253" s="20">
        <v>1.2519744047863166E-2</v>
      </c>
      <c r="N4253" s="20">
        <v>1.3046640850371953E-3</v>
      </c>
      <c r="O4253" s="20">
        <v>0.10420852695146524</v>
      </c>
      <c r="P4253" s="20">
        <v>7.0000000000000007E-2</v>
      </c>
      <c r="Q4253" s="20">
        <v>0.43</v>
      </c>
      <c r="R4253" s="20">
        <v>0.50000000000000011</v>
      </c>
      <c r="S4253" s="20"/>
      <c r="T4253" s="20"/>
    </row>
    <row r="4254" spans="13:20" x14ac:dyDescent="0.2">
      <c r="M4254" s="20">
        <v>1.0675663790718316E-2</v>
      </c>
      <c r="N4254" s="20">
        <v>7.1313636479786678E-4</v>
      </c>
      <c r="O4254" s="20">
        <v>6.6800189550544398E-2</v>
      </c>
      <c r="P4254" s="20"/>
      <c r="Q4254" s="20">
        <v>0.03</v>
      </c>
      <c r="R4254" s="20">
        <v>0.04</v>
      </c>
      <c r="S4254" s="20">
        <v>0.79</v>
      </c>
      <c r="T4254" s="20">
        <v>0.1399999999999999</v>
      </c>
    </row>
    <row r="4255" spans="13:20" x14ac:dyDescent="0.2">
      <c r="M4255" s="20">
        <v>1.0280485509901665E-2</v>
      </c>
      <c r="N4255" s="20">
        <v>7.9725917272638726E-4</v>
      </c>
      <c r="O4255" s="20">
        <v>7.7550731622403044E-2</v>
      </c>
      <c r="P4255" s="20">
        <v>9.9999999999998979E-3</v>
      </c>
      <c r="Q4255" s="20"/>
      <c r="R4255" s="20"/>
      <c r="S4255" s="20">
        <v>0.74</v>
      </c>
      <c r="T4255" s="20">
        <v>0.25</v>
      </c>
    </row>
    <row r="4256" spans="13:20" x14ac:dyDescent="0.2">
      <c r="M4256" s="20">
        <v>1.0381540738843167E-2</v>
      </c>
      <c r="N4256" s="20">
        <v>1.5941004505667328E-3</v>
      </c>
      <c r="O4256" s="20">
        <v>0.15355143236131694</v>
      </c>
      <c r="P4256" s="20">
        <v>0.3</v>
      </c>
      <c r="Q4256" s="20">
        <v>0.1</v>
      </c>
      <c r="R4256" s="20">
        <v>0.6</v>
      </c>
      <c r="S4256" s="20">
        <v>0</v>
      </c>
      <c r="T4256" s="20"/>
    </row>
    <row r="4257" spans="13:20" x14ac:dyDescent="0.2">
      <c r="M4257" s="20">
        <v>1.1638714504403661E-2</v>
      </c>
      <c r="N4257" s="20">
        <v>1.1142721553492945E-3</v>
      </c>
      <c r="O4257" s="20">
        <v>9.5738421535101217E-2</v>
      </c>
      <c r="P4257" s="20"/>
      <c r="Q4257" s="20">
        <v>0.32</v>
      </c>
      <c r="R4257" s="20">
        <v>0.56000000000000005</v>
      </c>
      <c r="S4257" s="20">
        <v>0.11999999999999988</v>
      </c>
      <c r="T4257" s="20"/>
    </row>
    <row r="4258" spans="13:20" x14ac:dyDescent="0.2">
      <c r="M4258" s="20">
        <v>1.8263847217394928E-2</v>
      </c>
      <c r="N4258" s="20">
        <v>1.2702688871965677E-3</v>
      </c>
      <c r="O4258" s="20">
        <v>6.9551002703676423E-2</v>
      </c>
      <c r="P4258" s="20"/>
      <c r="Q4258" s="20">
        <v>0.94</v>
      </c>
      <c r="R4258" s="20">
        <v>6.0000000000000164E-2</v>
      </c>
      <c r="S4258" s="20"/>
      <c r="T4258" s="20"/>
    </row>
    <row r="4259" spans="13:20" x14ac:dyDescent="0.2">
      <c r="M4259" s="20">
        <v>1.0192156839305608E-2</v>
      </c>
      <c r="N4259" s="20">
        <v>8.4717096993996315E-4</v>
      </c>
      <c r="O4259" s="20">
        <v>8.3119891431898421E-2</v>
      </c>
      <c r="P4259" s="20"/>
      <c r="Q4259" s="20"/>
      <c r="R4259" s="20"/>
      <c r="S4259" s="20">
        <v>0.68</v>
      </c>
      <c r="T4259" s="20">
        <v>0.31999999999999995</v>
      </c>
    </row>
    <row r="4260" spans="13:20" x14ac:dyDescent="0.2">
      <c r="M4260" s="20">
        <v>1.0556532643402264E-2</v>
      </c>
      <c r="N4260" s="20">
        <v>6.6139011701206582E-4</v>
      </c>
      <c r="O4260" s="20">
        <v>6.2652211607134897E-2</v>
      </c>
      <c r="P4260" s="20"/>
      <c r="Q4260" s="20"/>
      <c r="R4260" s="20">
        <v>0.22</v>
      </c>
      <c r="S4260" s="20">
        <v>0.77999999999999992</v>
      </c>
      <c r="T4260" s="20"/>
    </row>
    <row r="4261" spans="13:20" x14ac:dyDescent="0.2">
      <c r="M4261" s="20">
        <v>1.3710241272408169E-2</v>
      </c>
      <c r="N4261" s="20">
        <v>1.8592439416684459E-3</v>
      </c>
      <c r="O4261" s="20">
        <v>0.13560986307441358</v>
      </c>
      <c r="P4261" s="20">
        <v>0.31</v>
      </c>
      <c r="Q4261" s="20">
        <v>1.0000000000000009E-2</v>
      </c>
      <c r="R4261" s="20"/>
      <c r="S4261" s="20"/>
      <c r="T4261" s="20">
        <v>0.68</v>
      </c>
    </row>
    <row r="4262" spans="13:20" x14ac:dyDescent="0.2">
      <c r="M4262" s="20">
        <v>1.4442119867290834E-2</v>
      </c>
      <c r="N4262" s="20">
        <v>1.7557405619505252E-3</v>
      </c>
      <c r="O4262" s="20">
        <v>0.12157083434316354</v>
      </c>
      <c r="P4262" s="20">
        <v>0.20999999999999996</v>
      </c>
      <c r="Q4262" s="20"/>
      <c r="R4262" s="20"/>
      <c r="S4262" s="20"/>
      <c r="T4262" s="20">
        <v>0.79</v>
      </c>
    </row>
    <row r="4263" spans="13:20" x14ac:dyDescent="0.2">
      <c r="M4263" s="20">
        <v>1.4824539842906609E-2</v>
      </c>
      <c r="N4263" s="20">
        <v>1.6106350549950469E-3</v>
      </c>
      <c r="O4263" s="20">
        <v>0.10864654633888818</v>
      </c>
      <c r="P4263" s="20">
        <v>0.09</v>
      </c>
      <c r="Q4263" s="20">
        <v>7.0000000000000173E-2</v>
      </c>
      <c r="R4263" s="20"/>
      <c r="S4263" s="20"/>
      <c r="T4263" s="20">
        <v>0.84</v>
      </c>
    </row>
    <row r="4264" spans="13:20" x14ac:dyDescent="0.2">
      <c r="M4264" s="20">
        <v>1.0657284975144706E-2</v>
      </c>
      <c r="N4264" s="20">
        <v>1.0287220627385283E-3</v>
      </c>
      <c r="O4264" s="20">
        <v>9.6527592640878984E-2</v>
      </c>
      <c r="P4264" s="20"/>
      <c r="Q4264" s="20"/>
      <c r="R4264" s="20"/>
      <c r="S4264" s="20">
        <v>0.5</v>
      </c>
      <c r="T4264" s="20">
        <v>0.49999999999999989</v>
      </c>
    </row>
    <row r="4265" spans="13:20" x14ac:dyDescent="0.2">
      <c r="M4265" s="20">
        <v>1.3852068334747992E-2</v>
      </c>
      <c r="N4265" s="20">
        <v>1.7879656669281441E-3</v>
      </c>
      <c r="O4265" s="20">
        <v>0.12907571806031465</v>
      </c>
      <c r="P4265" s="20">
        <v>0.25</v>
      </c>
      <c r="Q4265" s="20">
        <v>4.0000000000000147E-2</v>
      </c>
      <c r="R4265" s="20"/>
      <c r="S4265" s="20"/>
      <c r="T4265" s="20">
        <v>0.71</v>
      </c>
    </row>
    <row r="4266" spans="13:20" x14ac:dyDescent="0.2">
      <c r="M4266" s="20">
        <v>1.3063542188231997E-2</v>
      </c>
      <c r="N4266" s="20">
        <v>1.9464208101309865E-3</v>
      </c>
      <c r="O4266" s="20">
        <v>0.14899640404456127</v>
      </c>
      <c r="P4266" s="20">
        <v>0.52</v>
      </c>
      <c r="Q4266" s="20">
        <v>0.36</v>
      </c>
      <c r="R4266" s="20">
        <v>0.12000000000000011</v>
      </c>
      <c r="S4266" s="20"/>
      <c r="T4266" s="20"/>
    </row>
    <row r="4267" spans="13:20" x14ac:dyDescent="0.2">
      <c r="M4267" s="20">
        <v>1.0190149252564945E-2</v>
      </c>
      <c r="N4267" s="20">
        <v>8.7742948540639053E-4</v>
      </c>
      <c r="O4267" s="20">
        <v>8.6105655928987904E-2</v>
      </c>
      <c r="P4267" s="20"/>
      <c r="Q4267" s="20"/>
      <c r="R4267" s="20"/>
      <c r="S4267" s="20">
        <v>0.65</v>
      </c>
      <c r="T4267" s="20">
        <v>0.34999999999999987</v>
      </c>
    </row>
    <row r="4268" spans="13:20" x14ac:dyDescent="0.2">
      <c r="M4268" s="20">
        <v>1.3967112561819482E-2</v>
      </c>
      <c r="N4268" s="20">
        <v>2.0936947603957439E-3</v>
      </c>
      <c r="O4268" s="20">
        <v>0.14990176037666303</v>
      </c>
      <c r="P4268" s="20">
        <v>0.62</v>
      </c>
      <c r="Q4268" s="20">
        <v>0.38</v>
      </c>
      <c r="R4268" s="20"/>
      <c r="S4268" s="20"/>
      <c r="T4268" s="20"/>
    </row>
    <row r="4269" spans="13:20" x14ac:dyDescent="0.2">
      <c r="M4269" s="20">
        <v>1.2876881754785361E-2</v>
      </c>
      <c r="N4269" s="20">
        <v>2.2074865045693566E-3</v>
      </c>
      <c r="O4269" s="20">
        <v>0.17143020698695172</v>
      </c>
      <c r="P4269" s="20">
        <v>0.66</v>
      </c>
      <c r="Q4269" s="20">
        <v>0.10000000000000009</v>
      </c>
      <c r="R4269" s="20"/>
      <c r="S4269" s="20"/>
      <c r="T4269" s="20">
        <v>0.24</v>
      </c>
    </row>
    <row r="4270" spans="13:20" x14ac:dyDescent="0.2">
      <c r="M4270" s="20">
        <v>1.3804045845019262E-2</v>
      </c>
      <c r="N4270" s="20">
        <v>1.3989228303735001E-3</v>
      </c>
      <c r="O4270" s="20">
        <v>0.10134150857505704</v>
      </c>
      <c r="P4270" s="20">
        <v>0</v>
      </c>
      <c r="Q4270" s="20">
        <v>0.16999999999999993</v>
      </c>
      <c r="R4270" s="20"/>
      <c r="S4270" s="20">
        <v>0.09</v>
      </c>
      <c r="T4270" s="20">
        <v>0.74</v>
      </c>
    </row>
    <row r="4271" spans="13:20" x14ac:dyDescent="0.2">
      <c r="M4271" s="20">
        <v>1.3307530022220165E-2</v>
      </c>
      <c r="N4271" s="20">
        <v>1.8940180041209392E-3</v>
      </c>
      <c r="O4271" s="20">
        <v>0.14232678798833553</v>
      </c>
      <c r="P4271" s="20">
        <v>0.35</v>
      </c>
      <c r="Q4271" s="20">
        <v>3.9999999999999925E-2</v>
      </c>
      <c r="R4271" s="20"/>
      <c r="S4271" s="20"/>
      <c r="T4271" s="20">
        <v>0.61</v>
      </c>
    </row>
    <row r="4272" spans="13:20" x14ac:dyDescent="0.2">
      <c r="M4272" s="20">
        <v>1.4076638263943285E-2</v>
      </c>
      <c r="N4272" s="20">
        <v>2.4357037314437567E-3</v>
      </c>
      <c r="O4272" s="20">
        <v>0.17303163481033032</v>
      </c>
      <c r="P4272" s="20">
        <v>0.88</v>
      </c>
      <c r="Q4272" s="20">
        <v>0.11999999999999988</v>
      </c>
      <c r="R4272" s="20"/>
      <c r="S4272" s="20"/>
      <c r="T4272" s="20"/>
    </row>
    <row r="4273" spans="13:20" x14ac:dyDescent="0.2">
      <c r="M4273" s="20">
        <v>1.6852964635850839E-2</v>
      </c>
      <c r="N4273" s="20">
        <v>1.2558478520669544E-3</v>
      </c>
      <c r="O4273" s="20">
        <v>7.4517918906411545E-2</v>
      </c>
      <c r="P4273" s="20"/>
      <c r="Q4273" s="20">
        <v>0.83</v>
      </c>
      <c r="R4273" s="20">
        <v>0.16999999999999993</v>
      </c>
      <c r="S4273" s="20"/>
      <c r="T4273" s="20"/>
    </row>
    <row r="4274" spans="13:20" x14ac:dyDescent="0.2">
      <c r="M4274" s="20">
        <v>1.0787508195407209E-2</v>
      </c>
      <c r="N4274" s="20">
        <v>1.7304486696789285E-3</v>
      </c>
      <c r="O4274" s="20">
        <v>0.16041226929641347</v>
      </c>
      <c r="P4274" s="20">
        <v>0.49999999999999989</v>
      </c>
      <c r="Q4274" s="20"/>
      <c r="R4274" s="20"/>
      <c r="S4274" s="20">
        <v>0.33</v>
      </c>
      <c r="T4274" s="20">
        <v>0.17</v>
      </c>
    </row>
    <row r="4275" spans="13:20" x14ac:dyDescent="0.2">
      <c r="M4275" s="20">
        <v>1.1155032780301371E-2</v>
      </c>
      <c r="N4275" s="20">
        <v>6.2527518985282758E-4</v>
      </c>
      <c r="O4275" s="20">
        <v>5.6053191610247764E-2</v>
      </c>
      <c r="P4275" s="20"/>
      <c r="Q4275" s="20"/>
      <c r="R4275" s="20"/>
      <c r="S4275" s="20">
        <v>0.9</v>
      </c>
      <c r="T4275" s="20">
        <v>9.9999999999999978E-2</v>
      </c>
    </row>
    <row r="4276" spans="13:20" x14ac:dyDescent="0.2">
      <c r="M4276" s="20">
        <v>1.660509863071687E-2</v>
      </c>
      <c r="N4276" s="20">
        <v>1.2532258456797517E-3</v>
      </c>
      <c r="O4276" s="20">
        <v>7.5472351808948443E-2</v>
      </c>
      <c r="P4276" s="20"/>
      <c r="Q4276" s="20">
        <v>0.81</v>
      </c>
      <c r="R4276" s="20">
        <v>0.18999999999999984</v>
      </c>
      <c r="S4276" s="20"/>
      <c r="T4276" s="20"/>
    </row>
    <row r="4277" spans="13:20" x14ac:dyDescent="0.2">
      <c r="M4277" s="20">
        <v>1.0291889608022969E-2</v>
      </c>
      <c r="N4277" s="20">
        <v>1.030828002422489E-3</v>
      </c>
      <c r="O4277" s="20">
        <v>0.10015925565494935</v>
      </c>
      <c r="P4277" s="20"/>
      <c r="Q4277" s="20">
        <v>0.13</v>
      </c>
      <c r="R4277" s="20">
        <v>0.17</v>
      </c>
      <c r="S4277" s="20">
        <v>0.4</v>
      </c>
      <c r="T4277" s="20">
        <v>0.29999999999999982</v>
      </c>
    </row>
    <row r="4278" spans="13:20" x14ac:dyDescent="0.2">
      <c r="M4278" s="20">
        <v>1.1043183785594752E-2</v>
      </c>
      <c r="N4278" s="20">
        <v>1.001262315462178E-3</v>
      </c>
      <c r="O4278" s="20">
        <v>9.0667902925628346E-2</v>
      </c>
      <c r="P4278" s="20">
        <v>0.01</v>
      </c>
      <c r="Q4278" s="20">
        <v>0.25</v>
      </c>
      <c r="R4278" s="20">
        <v>0.43</v>
      </c>
      <c r="S4278" s="20">
        <v>0.30999999999999994</v>
      </c>
      <c r="T4278" s="20"/>
    </row>
    <row r="4279" spans="13:20" x14ac:dyDescent="0.2">
      <c r="M4279" s="20">
        <v>1.6360203031018029E-2</v>
      </c>
      <c r="N4279" s="20">
        <v>1.2506038392925494E-3</v>
      </c>
      <c r="O4279" s="20">
        <v>7.6441828803803624E-2</v>
      </c>
      <c r="P4279" s="20"/>
      <c r="Q4279" s="20">
        <v>0.79</v>
      </c>
      <c r="R4279" s="20">
        <v>0.20999999999999985</v>
      </c>
      <c r="S4279" s="20"/>
      <c r="T4279" s="20"/>
    </row>
    <row r="4280" spans="13:20" x14ac:dyDescent="0.2">
      <c r="M4280" s="20">
        <v>1.3223286244170181E-2</v>
      </c>
      <c r="N4280" s="20">
        <v>1.2270499410658702E-3</v>
      </c>
      <c r="O4280" s="20">
        <v>9.279462899072051E-2</v>
      </c>
      <c r="P4280" s="20">
        <v>0.01</v>
      </c>
      <c r="Q4280" s="20">
        <v>0.5</v>
      </c>
      <c r="R4280" s="20">
        <v>0.4900000000000001</v>
      </c>
      <c r="S4280" s="20"/>
      <c r="T4280" s="20"/>
    </row>
    <row r="4281" spans="13:20" x14ac:dyDescent="0.2">
      <c r="M4281" s="20">
        <v>1.4656858912891799E-2</v>
      </c>
      <c r="N4281" s="20">
        <v>1.8832277012892748E-3</v>
      </c>
      <c r="O4281" s="20">
        <v>0.12848780986987846</v>
      </c>
      <c r="P4281" s="20">
        <v>0.46</v>
      </c>
      <c r="Q4281" s="20">
        <v>0.54</v>
      </c>
      <c r="R4281" s="20"/>
      <c r="S4281" s="20"/>
      <c r="T4281" s="20"/>
    </row>
    <row r="4282" spans="13:20" x14ac:dyDescent="0.2">
      <c r="M4282" s="20">
        <v>1.6200182288353199E-2</v>
      </c>
      <c r="N4282" s="20">
        <v>1.5436358875649341E-3</v>
      </c>
      <c r="O4282" s="20">
        <v>9.5285093716180005E-2</v>
      </c>
      <c r="P4282" s="20">
        <v>1.0000000000000009E-2</v>
      </c>
      <c r="Q4282" s="20"/>
      <c r="R4282" s="20"/>
      <c r="S4282" s="20"/>
      <c r="T4282" s="20">
        <v>0.99</v>
      </c>
    </row>
    <row r="4283" spans="13:20" x14ac:dyDescent="0.2">
      <c r="M4283" s="20">
        <v>1.4746925074910277E-2</v>
      </c>
      <c r="N4283" s="20">
        <v>1.6080860975201719E-3</v>
      </c>
      <c r="O4283" s="20">
        <v>0.10904551893710329</v>
      </c>
      <c r="P4283" s="20">
        <v>0.09</v>
      </c>
      <c r="Q4283" s="20">
        <v>8.0000000000000071E-2</v>
      </c>
      <c r="R4283" s="20"/>
      <c r="S4283" s="20"/>
      <c r="T4283" s="20">
        <v>0.83</v>
      </c>
    </row>
    <row r="4284" spans="13:20" x14ac:dyDescent="0.2">
      <c r="M4284" s="20">
        <v>1.561852098904238E-2</v>
      </c>
      <c r="N4284" s="20">
        <v>1.6072672898806109E-3</v>
      </c>
      <c r="O4284" s="20">
        <v>0.10290777795210157</v>
      </c>
      <c r="P4284" s="20">
        <v>6.999999999999984E-2</v>
      </c>
      <c r="Q4284" s="20"/>
      <c r="R4284" s="20"/>
      <c r="S4284" s="20"/>
      <c r="T4284" s="20">
        <v>0.93</v>
      </c>
    </row>
    <row r="4285" spans="13:20" x14ac:dyDescent="0.2">
      <c r="M4285" s="20">
        <v>1.8019843742304132E-2</v>
      </c>
      <c r="N4285" s="20">
        <v>1.2965772695848763E-3</v>
      </c>
      <c r="O4285" s="20">
        <v>7.1952747655684587E-2</v>
      </c>
      <c r="P4285" s="20">
        <v>0.02</v>
      </c>
      <c r="Q4285" s="20">
        <v>0.92</v>
      </c>
      <c r="R4285" s="20">
        <v>5.9999999999999942E-2</v>
      </c>
      <c r="S4285" s="20"/>
      <c r="T4285" s="20"/>
    </row>
    <row r="4286" spans="13:20" x14ac:dyDescent="0.2">
      <c r="M4286" s="20">
        <v>1.0909084634781437E-2</v>
      </c>
      <c r="N4286" s="20">
        <v>1.122129742383388E-3</v>
      </c>
      <c r="O4286" s="20">
        <v>0.10286195221235167</v>
      </c>
      <c r="P4286" s="20"/>
      <c r="Q4286" s="20"/>
      <c r="R4286" s="20">
        <v>0.96</v>
      </c>
      <c r="S4286" s="20">
        <v>4.0000000000000036E-2</v>
      </c>
      <c r="T4286" s="20"/>
    </row>
    <row r="4287" spans="13:20" x14ac:dyDescent="0.2">
      <c r="M4287" s="20">
        <v>1.0766984895090171E-2</v>
      </c>
      <c r="N4287" s="20">
        <v>1.7058104203936213E-3</v>
      </c>
      <c r="O4287" s="20">
        <v>0.15842972169223385</v>
      </c>
      <c r="P4287" s="20">
        <v>0.33</v>
      </c>
      <c r="Q4287" s="20">
        <v>0.15</v>
      </c>
      <c r="R4287" s="20">
        <v>0.35999999999999988</v>
      </c>
      <c r="S4287" s="20"/>
      <c r="T4287" s="20">
        <v>0.16</v>
      </c>
    </row>
    <row r="4288" spans="13:20" x14ac:dyDescent="0.2">
      <c r="M4288" s="20">
        <v>9.8304493406352646E-3</v>
      </c>
      <c r="N4288" s="20">
        <v>1.6381605604282945E-3</v>
      </c>
      <c r="O4288" s="20">
        <v>0.16664147320883635</v>
      </c>
      <c r="P4288" s="20">
        <v>0.37</v>
      </c>
      <c r="Q4288" s="20"/>
      <c r="R4288" s="20">
        <v>0.3</v>
      </c>
      <c r="S4288" s="20">
        <v>0.17</v>
      </c>
      <c r="T4288" s="20">
        <v>0.16</v>
      </c>
    </row>
    <row r="4289" spans="13:20" x14ac:dyDescent="0.2">
      <c r="M4289" s="20">
        <v>1.0666632172008018E-2</v>
      </c>
      <c r="N4289" s="20">
        <v>1.0972248977687219E-3</v>
      </c>
      <c r="O4289" s="20">
        <v>0.1028651668188317</v>
      </c>
      <c r="P4289" s="20"/>
      <c r="Q4289" s="20"/>
      <c r="R4289" s="20">
        <v>0.92</v>
      </c>
      <c r="S4289" s="20">
        <v>7.999999999999996E-2</v>
      </c>
      <c r="T4289" s="20"/>
    </row>
    <row r="4290" spans="13:20" x14ac:dyDescent="0.2">
      <c r="M4290" s="20">
        <v>1.7103671905773405E-2</v>
      </c>
      <c r="N4290" s="20">
        <v>1.2584698584541566E-3</v>
      </c>
      <c r="O4290" s="20">
        <v>7.3578928863184956E-2</v>
      </c>
      <c r="P4290" s="20"/>
      <c r="Q4290" s="20">
        <v>0.85</v>
      </c>
      <c r="R4290" s="20">
        <v>0.14999999999999991</v>
      </c>
      <c r="S4290" s="20"/>
      <c r="T4290" s="20"/>
    </row>
    <row r="4291" spans="13:20" x14ac:dyDescent="0.2">
      <c r="M4291" s="20">
        <v>1.3170729912103678E-2</v>
      </c>
      <c r="N4291" s="20">
        <v>1.5895125672611603E-3</v>
      </c>
      <c r="O4291" s="20">
        <v>0.12068522988998698</v>
      </c>
      <c r="P4291" s="20">
        <v>0.17</v>
      </c>
      <c r="Q4291" s="20">
        <v>0.41</v>
      </c>
      <c r="R4291" s="20">
        <v>5.0000000000000044E-2</v>
      </c>
      <c r="S4291" s="20"/>
      <c r="T4291" s="20">
        <v>0.37</v>
      </c>
    </row>
    <row r="4292" spans="13:20" x14ac:dyDescent="0.2">
      <c r="M4292" s="20">
        <v>1.2505680513539411E-2</v>
      </c>
      <c r="N4292" s="20">
        <v>1.472020206536595E-3</v>
      </c>
      <c r="O4292" s="20">
        <v>0.11770812511505442</v>
      </c>
      <c r="P4292" s="20">
        <v>0.19</v>
      </c>
      <c r="Q4292" s="20">
        <v>0.43</v>
      </c>
      <c r="R4292" s="20">
        <v>0.37</v>
      </c>
      <c r="S4292" s="20">
        <v>1.0000000000000009E-2</v>
      </c>
      <c r="T4292" s="20"/>
    </row>
    <row r="4293" spans="13:20" x14ac:dyDescent="0.2">
      <c r="M4293" s="20">
        <v>1.0657284975144708E-2</v>
      </c>
      <c r="N4293" s="20">
        <v>1.0287220627385287E-3</v>
      </c>
      <c r="O4293" s="20">
        <v>9.6527592640879012E-2</v>
      </c>
      <c r="P4293" s="20"/>
      <c r="Q4293" s="20"/>
      <c r="R4293" s="20"/>
      <c r="S4293" s="20">
        <v>0.5</v>
      </c>
      <c r="T4293" s="20">
        <v>0.50000000000000011</v>
      </c>
    </row>
    <row r="4294" spans="13:20" x14ac:dyDescent="0.2">
      <c r="M4294" s="20">
        <v>1.409250508640581E-2</v>
      </c>
      <c r="N4294" s="20">
        <v>1.8087667305469227E-3</v>
      </c>
      <c r="O4294" s="20">
        <v>0.12834955314592938</v>
      </c>
      <c r="P4294" s="20">
        <v>0.26</v>
      </c>
      <c r="Q4294" s="20"/>
      <c r="R4294" s="20"/>
      <c r="S4294" s="20"/>
      <c r="T4294" s="20">
        <v>0.74</v>
      </c>
    </row>
    <row r="4295" spans="13:20" x14ac:dyDescent="0.2">
      <c r="M4295" s="20">
        <v>1.2235327216762831E-2</v>
      </c>
      <c r="N4295" s="20">
        <v>1.2203593273592364E-3</v>
      </c>
      <c r="O4295" s="20">
        <v>9.974063674302891E-2</v>
      </c>
      <c r="P4295" s="20"/>
      <c r="Q4295" s="20"/>
      <c r="R4295" s="20"/>
      <c r="S4295" s="20">
        <v>0.31</v>
      </c>
      <c r="T4295" s="20">
        <v>0.69</v>
      </c>
    </row>
    <row r="4296" spans="13:20" x14ac:dyDescent="0.2">
      <c r="M4296" s="20">
        <v>1.8369661035481624E-2</v>
      </c>
      <c r="N4296" s="20">
        <v>1.2453640425819017E-3</v>
      </c>
      <c r="O4296" s="20">
        <v>6.7794612005983065E-2</v>
      </c>
      <c r="P4296" s="20"/>
      <c r="Q4296" s="20">
        <v>0.94</v>
      </c>
      <c r="R4296" s="20">
        <v>0.02</v>
      </c>
      <c r="S4296" s="20">
        <v>4.0000000000000147E-2</v>
      </c>
      <c r="T4296" s="20"/>
    </row>
    <row r="4297" spans="13:20" x14ac:dyDescent="0.2">
      <c r="M4297" s="20">
        <v>1.0909084634781437E-2</v>
      </c>
      <c r="N4297" s="20">
        <v>1.122129742383388E-3</v>
      </c>
      <c r="O4297" s="20">
        <v>0.10286195221235167</v>
      </c>
      <c r="P4297" s="20"/>
      <c r="Q4297" s="20"/>
      <c r="R4297" s="20">
        <v>0.96</v>
      </c>
      <c r="S4297" s="20">
        <v>4.0000000000000036E-2</v>
      </c>
      <c r="T4297" s="20"/>
    </row>
    <row r="4298" spans="13:20" x14ac:dyDescent="0.2">
      <c r="M4298" s="20">
        <v>1.0414898724479815E-2</v>
      </c>
      <c r="N4298" s="20">
        <v>8.7203920538960009E-4</v>
      </c>
      <c r="O4298" s="20">
        <v>8.3729974573819504E-2</v>
      </c>
      <c r="P4298" s="20"/>
      <c r="Q4298" s="20">
        <v>7.0000000000000007E-2</v>
      </c>
      <c r="R4298" s="20">
        <v>0.02</v>
      </c>
      <c r="S4298" s="20">
        <v>0.63</v>
      </c>
      <c r="T4298" s="20">
        <v>0.28000000000000003</v>
      </c>
    </row>
    <row r="4299" spans="13:20" x14ac:dyDescent="0.2">
      <c r="M4299" s="20">
        <v>9.5663214340211775E-3</v>
      </c>
      <c r="N4299" s="20">
        <v>8.6685508508306097E-4</v>
      </c>
      <c r="O4299" s="20">
        <v>9.0615299837220789E-2</v>
      </c>
      <c r="P4299" s="20"/>
      <c r="Q4299" s="20"/>
      <c r="R4299" s="20">
        <v>0.55000000000000004</v>
      </c>
      <c r="S4299" s="20">
        <v>0.45000000000000007</v>
      </c>
      <c r="T4299" s="20"/>
    </row>
    <row r="4300" spans="13:20" x14ac:dyDescent="0.2">
      <c r="M4300" s="20">
        <v>1.1884100720154871E-2</v>
      </c>
      <c r="N4300" s="20">
        <v>1.6676491071828271E-3</v>
      </c>
      <c r="O4300" s="20">
        <v>0.14032606643551693</v>
      </c>
      <c r="P4300" s="20">
        <v>0.33</v>
      </c>
      <c r="Q4300" s="20">
        <v>0.33</v>
      </c>
      <c r="R4300" s="20">
        <v>0.33999999999999997</v>
      </c>
      <c r="S4300" s="20"/>
      <c r="T4300" s="20"/>
    </row>
    <row r="4301" spans="13:20" x14ac:dyDescent="0.2">
      <c r="M4301" s="20">
        <v>1.3151710262340825E-2</v>
      </c>
      <c r="N4301" s="20">
        <v>1.2112737434845132E-3</v>
      </c>
      <c r="O4301" s="20">
        <v>9.2100093396440361E-2</v>
      </c>
      <c r="P4301" s="20"/>
      <c r="Q4301" s="20">
        <v>0.49</v>
      </c>
      <c r="R4301" s="20">
        <v>0.51</v>
      </c>
      <c r="S4301" s="20"/>
      <c r="T4301" s="20"/>
    </row>
    <row r="4302" spans="13:20" x14ac:dyDescent="0.2">
      <c r="M4302" s="20">
        <v>1.0283284436038655E-2</v>
      </c>
      <c r="N4302" s="20">
        <v>9.3794651633924571E-4</v>
      </c>
      <c r="O4302" s="20">
        <v>9.1210791860636603E-2</v>
      </c>
      <c r="P4302" s="20"/>
      <c r="Q4302" s="20"/>
      <c r="R4302" s="20"/>
      <c r="S4302" s="20">
        <v>0.59</v>
      </c>
      <c r="T4302" s="20">
        <v>0.40999999999999992</v>
      </c>
    </row>
    <row r="4303" spans="13:20" x14ac:dyDescent="0.2">
      <c r="M4303" s="20">
        <v>1.0972784808687778E-2</v>
      </c>
      <c r="N4303" s="20">
        <v>1.1283559535370546E-3</v>
      </c>
      <c r="O4303" s="20">
        <v>0.10283223203681814</v>
      </c>
      <c r="P4303" s="20"/>
      <c r="Q4303" s="20"/>
      <c r="R4303" s="20">
        <v>0.97</v>
      </c>
      <c r="S4303" s="20">
        <v>2.9999999999999916E-2</v>
      </c>
      <c r="T4303" s="20"/>
    </row>
    <row r="4304" spans="13:20" x14ac:dyDescent="0.2">
      <c r="M4304" s="20">
        <v>1.0569640821757332E-2</v>
      </c>
      <c r="N4304" s="20">
        <v>7.1605073625211025E-4</v>
      </c>
      <c r="O4304" s="20">
        <v>6.7745985727172331E-2</v>
      </c>
      <c r="P4304" s="20"/>
      <c r="Q4304" s="20"/>
      <c r="R4304" s="20"/>
      <c r="S4304" s="20">
        <v>0.81</v>
      </c>
      <c r="T4304" s="20">
        <v>0.18999999999999995</v>
      </c>
    </row>
    <row r="4305" spans="13:20" x14ac:dyDescent="0.2">
      <c r="M4305" s="20">
        <v>1.1234592652910182E-2</v>
      </c>
      <c r="N4305" s="20">
        <v>6.1518901803068484E-4</v>
      </c>
      <c r="O4305" s="20">
        <v>5.4758462281347398E-2</v>
      </c>
      <c r="P4305" s="20"/>
      <c r="Q4305" s="20"/>
      <c r="R4305" s="20"/>
      <c r="S4305" s="20">
        <v>0.91</v>
      </c>
      <c r="T4305" s="20">
        <v>8.9999999999999858E-2</v>
      </c>
    </row>
    <row r="4306" spans="13:20" x14ac:dyDescent="0.2">
      <c r="M4306" s="20">
        <v>1.4043816940215016E-2</v>
      </c>
      <c r="N4306" s="20">
        <v>2.4225495402496028E-3</v>
      </c>
      <c r="O4306" s="20">
        <v>0.17249936755530743</v>
      </c>
      <c r="P4306" s="20">
        <v>0.87</v>
      </c>
      <c r="Q4306" s="20">
        <v>0.13000000000000012</v>
      </c>
      <c r="R4306" s="20"/>
      <c r="S4306" s="20"/>
      <c r="T4306" s="20"/>
    </row>
    <row r="4307" spans="13:20" x14ac:dyDescent="0.2">
      <c r="M4307" s="20">
        <v>9.8113440385898202E-3</v>
      </c>
      <c r="N4307" s="20">
        <v>1.0394439167819135E-3</v>
      </c>
      <c r="O4307" s="20">
        <v>0.10594307086710948</v>
      </c>
      <c r="P4307" s="20"/>
      <c r="Q4307" s="20"/>
      <c r="R4307" s="20">
        <v>0.73</v>
      </c>
      <c r="S4307" s="20">
        <v>0.21</v>
      </c>
      <c r="T4307" s="20">
        <v>6.0000000000000053E-2</v>
      </c>
    </row>
    <row r="4308" spans="13:20" x14ac:dyDescent="0.2">
      <c r="M4308" s="20">
        <v>9.8731435139752608E-3</v>
      </c>
      <c r="N4308" s="20">
        <v>7.7146546675372859E-4</v>
      </c>
      <c r="O4308" s="20">
        <v>7.8137775032008083E-2</v>
      </c>
      <c r="P4308" s="20"/>
      <c r="Q4308" s="20"/>
      <c r="R4308" s="20">
        <v>0.17</v>
      </c>
      <c r="S4308" s="20">
        <v>0.69</v>
      </c>
      <c r="T4308" s="20">
        <v>0.14000000000000012</v>
      </c>
    </row>
    <row r="4309" spans="13:20" x14ac:dyDescent="0.2">
      <c r="M4309" s="20">
        <v>1.4961254683134249E-2</v>
      </c>
      <c r="N4309" s="20">
        <v>1.2348718009693349E-3</v>
      </c>
      <c r="O4309" s="20">
        <v>8.2537984087751676E-2</v>
      </c>
      <c r="P4309" s="20"/>
      <c r="Q4309" s="20">
        <v>0.67</v>
      </c>
      <c r="R4309" s="20">
        <v>0.32999999999999985</v>
      </c>
      <c r="S4309" s="20"/>
      <c r="T4309" s="20"/>
    </row>
    <row r="4310" spans="13:20" x14ac:dyDescent="0.2">
      <c r="M4310" s="20">
        <v>1.1863708145930605E-2</v>
      </c>
      <c r="N4310" s="20">
        <v>5.4458581527568745E-4</v>
      </c>
      <c r="O4310" s="20">
        <v>4.5903507451208414E-2</v>
      </c>
      <c r="P4310" s="20"/>
      <c r="Q4310" s="20"/>
      <c r="R4310" s="20"/>
      <c r="S4310" s="20">
        <v>0.98</v>
      </c>
      <c r="T4310" s="20">
        <v>2.0000000000000018E-2</v>
      </c>
    </row>
    <row r="4311" spans="13:20" x14ac:dyDescent="0.2">
      <c r="M4311" s="20">
        <v>1.3521701753187084E-2</v>
      </c>
      <c r="N4311" s="20">
        <v>1.9148190677397178E-3</v>
      </c>
      <c r="O4311" s="20">
        <v>0.14161080481518476</v>
      </c>
      <c r="P4311" s="20">
        <v>0.35999999999999988</v>
      </c>
      <c r="Q4311" s="20"/>
      <c r="R4311" s="20"/>
      <c r="S4311" s="20"/>
      <c r="T4311" s="20">
        <v>0.64</v>
      </c>
    </row>
    <row r="4312" spans="13:20" x14ac:dyDescent="0.2">
      <c r="M4312" s="20">
        <v>1.0348770597807453E-2</v>
      </c>
      <c r="N4312" s="20">
        <v>1.5522359440397243E-3</v>
      </c>
      <c r="O4312" s="20">
        <v>0.14999230385574397</v>
      </c>
      <c r="P4312" s="20">
        <v>0.37</v>
      </c>
      <c r="Q4312" s="20"/>
      <c r="R4312" s="20"/>
      <c r="S4312" s="20">
        <v>0.37</v>
      </c>
      <c r="T4312" s="20">
        <v>0.26</v>
      </c>
    </row>
    <row r="4313" spans="13:20" x14ac:dyDescent="0.2">
      <c r="M4313" s="20">
        <v>9.5079903746993887E-3</v>
      </c>
      <c r="N4313" s="20">
        <v>8.2214769628496563E-4</v>
      </c>
      <c r="O4313" s="20">
        <v>8.6469134263396766E-2</v>
      </c>
      <c r="P4313" s="20"/>
      <c r="Q4313" s="20"/>
      <c r="R4313" s="20">
        <v>0.3</v>
      </c>
      <c r="S4313" s="20">
        <v>0.59</v>
      </c>
      <c r="T4313" s="20">
        <v>0.10999999999999999</v>
      </c>
    </row>
    <row r="4314" spans="13:20" x14ac:dyDescent="0.2">
      <c r="M4314" s="20">
        <v>1.1268852481476665E-2</v>
      </c>
      <c r="N4314" s="20">
        <v>1.0467660310382247E-3</v>
      </c>
      <c r="O4314" s="20">
        <v>9.2890206235183306E-2</v>
      </c>
      <c r="P4314" s="20"/>
      <c r="Q4314" s="20">
        <v>0.28000000000000003</v>
      </c>
      <c r="R4314" s="20">
        <v>0.5</v>
      </c>
      <c r="S4314" s="20">
        <v>0.21999999999999997</v>
      </c>
      <c r="T4314" s="20"/>
    </row>
    <row r="4315" spans="13:20" x14ac:dyDescent="0.2">
      <c r="M4315" s="20">
        <v>1.4054415181796754E-2</v>
      </c>
      <c r="N4315" s="20">
        <v>2.0542321868132806E-3</v>
      </c>
      <c r="O4315" s="20">
        <v>0.14616276524077054</v>
      </c>
      <c r="P4315" s="20">
        <v>0.59</v>
      </c>
      <c r="Q4315" s="20">
        <v>0.40999999999999992</v>
      </c>
      <c r="R4315" s="20"/>
      <c r="S4315" s="20"/>
      <c r="T4315" s="20"/>
    </row>
    <row r="4316" spans="13:20" x14ac:dyDescent="0.2">
      <c r="M4316" s="20">
        <v>1.7484792450961066E-2</v>
      </c>
      <c r="N4316" s="20">
        <v>1.2624028680349605E-3</v>
      </c>
      <c r="O4316" s="20">
        <v>7.2200048789573784E-2</v>
      </c>
      <c r="P4316" s="20"/>
      <c r="Q4316" s="20">
        <v>0.88</v>
      </c>
      <c r="R4316" s="20">
        <v>0.12</v>
      </c>
      <c r="S4316" s="20"/>
      <c r="T4316" s="20"/>
    </row>
    <row r="4317" spans="13:20" x14ac:dyDescent="0.2">
      <c r="M4317" s="20">
        <v>1.3424167007732982E-2</v>
      </c>
      <c r="N4317" s="20">
        <v>1.2152067530653168E-3</v>
      </c>
      <c r="O4317" s="20">
        <v>9.052381070388188E-2</v>
      </c>
      <c r="P4317" s="20"/>
      <c r="Q4317" s="20">
        <v>0.52</v>
      </c>
      <c r="R4317" s="20">
        <v>0.47999999999999987</v>
      </c>
      <c r="S4317" s="20"/>
      <c r="T4317" s="20"/>
    </row>
    <row r="4318" spans="13:20" x14ac:dyDescent="0.2">
      <c r="M4318" s="20">
        <v>1.0562689881419623E-2</v>
      </c>
      <c r="N4318" s="20">
        <v>8.9747083143609568E-4</v>
      </c>
      <c r="O4318" s="20">
        <v>8.4966125249478205E-2</v>
      </c>
      <c r="P4318" s="20">
        <v>0.1</v>
      </c>
      <c r="Q4318" s="20">
        <v>0.08</v>
      </c>
      <c r="R4318" s="20">
        <v>0.17</v>
      </c>
      <c r="S4318" s="20">
        <v>0.65</v>
      </c>
      <c r="T4318" s="20"/>
    </row>
    <row r="4319" spans="13:20" x14ac:dyDescent="0.2">
      <c r="M4319" s="20">
        <v>1.4227492800594425E-2</v>
      </c>
      <c r="N4319" s="20">
        <v>1.7875562631083637E-3</v>
      </c>
      <c r="O4319" s="20">
        <v>0.12564098876463176</v>
      </c>
      <c r="P4319" s="20">
        <v>0.24</v>
      </c>
      <c r="Q4319" s="20"/>
      <c r="R4319" s="20"/>
      <c r="S4319" s="20"/>
      <c r="T4319" s="20">
        <v>0.76</v>
      </c>
    </row>
    <row r="4320" spans="13:20" x14ac:dyDescent="0.2">
      <c r="M4320" s="20">
        <v>1.0687672972964217E-2</v>
      </c>
      <c r="N4320" s="20">
        <v>9.4562278671894446E-4</v>
      </c>
      <c r="O4320" s="20">
        <v>8.8477893093380902E-2</v>
      </c>
      <c r="P4320" s="20">
        <v>0.15</v>
      </c>
      <c r="Q4320" s="20">
        <v>4.0000000000000036E-2</v>
      </c>
      <c r="R4320" s="20"/>
      <c r="S4320" s="20">
        <v>0.73</v>
      </c>
      <c r="T4320" s="20">
        <v>0.08</v>
      </c>
    </row>
    <row r="4321" spans="13:20" x14ac:dyDescent="0.2">
      <c r="M4321" s="20">
        <v>1.0597697796012072E-2</v>
      </c>
      <c r="N4321" s="20">
        <v>6.9052472175606375E-4</v>
      </c>
      <c r="O4321" s="20">
        <v>6.5157993278116416E-2</v>
      </c>
      <c r="P4321" s="20"/>
      <c r="Q4321" s="20"/>
      <c r="R4321" s="20">
        <v>0.04</v>
      </c>
      <c r="S4321" s="20">
        <v>0.82</v>
      </c>
      <c r="T4321" s="20">
        <v>0.14000000000000001</v>
      </c>
    </row>
    <row r="4322" spans="13:20" x14ac:dyDescent="0.2">
      <c r="M4322" s="20">
        <v>1.0325122104917759E-2</v>
      </c>
      <c r="N4322" s="20">
        <v>1.7224861940377102E-3</v>
      </c>
      <c r="O4322" s="20">
        <v>0.16682477713433588</v>
      </c>
      <c r="P4322" s="20">
        <v>0.37</v>
      </c>
      <c r="Q4322" s="20">
        <v>0.06</v>
      </c>
      <c r="R4322" s="20">
        <v>0.46</v>
      </c>
      <c r="S4322" s="20">
        <v>0.01</v>
      </c>
      <c r="T4322" s="20">
        <v>0.1</v>
      </c>
    </row>
    <row r="4323" spans="13:20" x14ac:dyDescent="0.2">
      <c r="M4323" s="20">
        <v>9.8860185038424503E-3</v>
      </c>
      <c r="N4323" s="20">
        <v>7.5478328431706357E-4</v>
      </c>
      <c r="O4323" s="20">
        <v>7.6348560750083366E-2</v>
      </c>
      <c r="P4323" s="20"/>
      <c r="Q4323" s="20"/>
      <c r="R4323" s="20">
        <v>0.37</v>
      </c>
      <c r="S4323" s="20">
        <v>0.62999999999999989</v>
      </c>
      <c r="T4323" s="20"/>
    </row>
    <row r="4324" spans="13:20" x14ac:dyDescent="0.2">
      <c r="M4324" s="20">
        <v>1.3069308094087951E-2</v>
      </c>
      <c r="N4324" s="20">
        <v>2.283862694259408E-3</v>
      </c>
      <c r="O4324" s="20">
        <v>0.17475008453527383</v>
      </c>
      <c r="P4324" s="20">
        <v>0.72</v>
      </c>
      <c r="Q4324" s="20">
        <v>5.0000000000000044E-2</v>
      </c>
      <c r="R4324" s="20"/>
      <c r="S4324" s="20"/>
      <c r="T4324" s="20">
        <v>0.23</v>
      </c>
    </row>
    <row r="4325" spans="13:20" x14ac:dyDescent="0.2">
      <c r="M4325" s="20">
        <v>1.0280485509901665E-2</v>
      </c>
      <c r="N4325" s="20">
        <v>7.9725917272638726E-4</v>
      </c>
      <c r="O4325" s="20">
        <v>7.7550731622403044E-2</v>
      </c>
      <c r="P4325" s="20">
        <v>9.9999999999998979E-3</v>
      </c>
      <c r="Q4325" s="20"/>
      <c r="R4325" s="20"/>
      <c r="S4325" s="20">
        <v>0.74</v>
      </c>
      <c r="T4325" s="20">
        <v>0.25</v>
      </c>
    </row>
    <row r="4326" spans="13:20" x14ac:dyDescent="0.2">
      <c r="M4326" s="20">
        <v>1.3836012285452634E-2</v>
      </c>
      <c r="N4326" s="20">
        <v>1.25038405953207E-3</v>
      </c>
      <c r="O4326" s="20">
        <v>9.0371707811125634E-2</v>
      </c>
      <c r="P4326" s="20">
        <v>0.03</v>
      </c>
      <c r="Q4326" s="20">
        <v>0.54</v>
      </c>
      <c r="R4326" s="20">
        <v>0.04</v>
      </c>
      <c r="S4326" s="20">
        <v>0.15999999999999992</v>
      </c>
      <c r="T4326" s="20">
        <v>0.23</v>
      </c>
    </row>
    <row r="4327" spans="13:20" x14ac:dyDescent="0.2">
      <c r="M4327" s="20">
        <v>1.003117108484991E-2</v>
      </c>
      <c r="N4327" s="20">
        <v>1.0351996443127196E-3</v>
      </c>
      <c r="O4327" s="20">
        <v>0.10319828418400549</v>
      </c>
      <c r="P4327" s="20"/>
      <c r="Q4327" s="20"/>
      <c r="R4327" s="20">
        <v>0.14000000000000001</v>
      </c>
      <c r="S4327" s="20">
        <v>0.44</v>
      </c>
      <c r="T4327" s="20">
        <v>0.42000000000000004</v>
      </c>
    </row>
    <row r="4328" spans="13:20" x14ac:dyDescent="0.2">
      <c r="M4328" s="20">
        <v>1.1755297866022143E-2</v>
      </c>
      <c r="N4328" s="20">
        <v>1.3359787744770379E-3</v>
      </c>
      <c r="O4328" s="20">
        <v>0.11364907888370826</v>
      </c>
      <c r="P4328" s="20">
        <v>9.0000000000000191E-2</v>
      </c>
      <c r="Q4328" s="20"/>
      <c r="R4328" s="20"/>
      <c r="S4328" s="20">
        <v>0.28999999999999998</v>
      </c>
      <c r="T4328" s="20">
        <v>0.62</v>
      </c>
    </row>
    <row r="4329" spans="13:20" x14ac:dyDescent="0.2">
      <c r="M4329" s="20">
        <v>1.3934878700601628E-2</v>
      </c>
      <c r="N4329" s="20">
        <v>2.3699327754729848E-3</v>
      </c>
      <c r="O4329" s="20">
        <v>0.17007200610728423</v>
      </c>
      <c r="P4329" s="20">
        <v>0.83</v>
      </c>
      <c r="Q4329" s="20">
        <v>0.16999999999999993</v>
      </c>
      <c r="R4329" s="20"/>
      <c r="S4329" s="20"/>
      <c r="T4329" s="20"/>
    </row>
    <row r="4330" spans="13:20" x14ac:dyDescent="0.2">
      <c r="M4330" s="20">
        <v>1.0864898757308374E-2</v>
      </c>
      <c r="N4330" s="20">
        <v>6.656198771413976E-4</v>
      </c>
      <c r="O4330" s="20">
        <v>6.1263329922302524E-2</v>
      </c>
      <c r="P4330" s="20"/>
      <c r="Q4330" s="20"/>
      <c r="R4330" s="20"/>
      <c r="S4330" s="20">
        <v>0.86</v>
      </c>
      <c r="T4330" s="20">
        <v>0.1399999999999999</v>
      </c>
    </row>
    <row r="4331" spans="13:20" x14ac:dyDescent="0.2">
      <c r="M4331" s="20">
        <v>1.5916455935927176E-2</v>
      </c>
      <c r="N4331" s="20">
        <v>1.6030566766312298E-3</v>
      </c>
      <c r="O4331" s="20">
        <v>0.10071693617501587</v>
      </c>
      <c r="P4331" s="20">
        <v>0.25</v>
      </c>
      <c r="Q4331" s="20">
        <v>0.72</v>
      </c>
      <c r="R4331" s="20">
        <v>3.0000000000000027E-2</v>
      </c>
      <c r="S4331" s="20"/>
      <c r="T4331" s="20"/>
    </row>
    <row r="4332" spans="13:20" x14ac:dyDescent="0.2">
      <c r="M4332" s="20">
        <v>1.1545579285161931E-2</v>
      </c>
      <c r="N4332" s="20">
        <v>1.1497561246042386E-3</v>
      </c>
      <c r="O4332" s="20">
        <v>9.9584100217636931E-2</v>
      </c>
      <c r="P4332" s="20"/>
      <c r="Q4332" s="20"/>
      <c r="R4332" s="20"/>
      <c r="S4332" s="20">
        <v>0.38</v>
      </c>
      <c r="T4332" s="20">
        <v>0.62</v>
      </c>
    </row>
    <row r="4333" spans="13:20" x14ac:dyDescent="0.2">
      <c r="M4333" s="20">
        <v>1.3629703180194382E-2</v>
      </c>
      <c r="N4333" s="20">
        <v>1.958785083339765E-3</v>
      </c>
      <c r="O4333" s="20">
        <v>0.14371443438226286</v>
      </c>
      <c r="P4333" s="20">
        <v>0.5</v>
      </c>
      <c r="Q4333" s="20">
        <v>0.41000000000000003</v>
      </c>
      <c r="R4333" s="20"/>
      <c r="S4333" s="20"/>
      <c r="T4333" s="20">
        <v>0.09</v>
      </c>
    </row>
    <row r="4334" spans="13:20" x14ac:dyDescent="0.2">
      <c r="M4334" s="20">
        <v>1.0192156839305607E-2</v>
      </c>
      <c r="N4334" s="20">
        <v>8.4717096993996294E-4</v>
      </c>
      <c r="O4334" s="20">
        <v>8.3119891431898421E-2</v>
      </c>
      <c r="P4334" s="20"/>
      <c r="Q4334" s="20"/>
      <c r="R4334" s="20"/>
      <c r="S4334" s="20">
        <v>0.68</v>
      </c>
      <c r="T4334" s="20">
        <v>0.31999999999999984</v>
      </c>
    </row>
    <row r="4335" spans="13:20" x14ac:dyDescent="0.2">
      <c r="M4335" s="20">
        <v>1.0986309644202977E-2</v>
      </c>
      <c r="N4335" s="20">
        <v>1.2879080512231264E-3</v>
      </c>
      <c r="O4335" s="20">
        <v>0.1172284500376068</v>
      </c>
      <c r="P4335" s="20">
        <v>2.0000000000000018E-2</v>
      </c>
      <c r="Q4335" s="20">
        <v>0.19</v>
      </c>
      <c r="R4335" s="20">
        <v>0.46</v>
      </c>
      <c r="S4335" s="20">
        <v>0.04</v>
      </c>
      <c r="T4335" s="20">
        <v>0.28999999999999998</v>
      </c>
    </row>
    <row r="4336" spans="13:20" x14ac:dyDescent="0.2">
      <c r="M4336" s="20">
        <v>1.0283284436038657E-2</v>
      </c>
      <c r="N4336" s="20">
        <v>9.3794651633924604E-4</v>
      </c>
      <c r="O4336" s="20">
        <v>9.1210791860636631E-2</v>
      </c>
      <c r="P4336" s="20"/>
      <c r="Q4336" s="20"/>
      <c r="R4336" s="20"/>
      <c r="S4336" s="20">
        <v>0.59</v>
      </c>
      <c r="T4336" s="20">
        <v>0.41000000000000014</v>
      </c>
    </row>
    <row r="4337" spans="13:20" x14ac:dyDescent="0.2">
      <c r="M4337" s="20">
        <v>1.2874030432799787E-2</v>
      </c>
      <c r="N4337" s="20">
        <v>1.9845723805198478E-3</v>
      </c>
      <c r="O4337" s="20">
        <v>0.15415315280470809</v>
      </c>
      <c r="P4337" s="20">
        <v>0.55000000000000004</v>
      </c>
      <c r="Q4337" s="20">
        <v>0.32</v>
      </c>
      <c r="R4337" s="20">
        <v>0.12999999999999989</v>
      </c>
      <c r="S4337" s="20"/>
      <c r="T4337" s="20"/>
    </row>
    <row r="4338" spans="13:20" x14ac:dyDescent="0.2">
      <c r="M4338" s="20">
        <v>1.0785346482839398E-2</v>
      </c>
      <c r="N4338" s="20">
        <v>1.109677320076055E-3</v>
      </c>
      <c r="O4338" s="20">
        <v>0.1028874985000868</v>
      </c>
      <c r="P4338" s="20"/>
      <c r="Q4338" s="20"/>
      <c r="R4338" s="20">
        <v>0.94</v>
      </c>
      <c r="S4338" s="20">
        <v>5.9999999999999942E-2</v>
      </c>
      <c r="T4338" s="20"/>
    </row>
    <row r="4339" spans="13:20" x14ac:dyDescent="0.2">
      <c r="M4339" s="20">
        <v>1.0069149483699779E-2</v>
      </c>
      <c r="N4339" s="20">
        <v>8.456772597566773E-4</v>
      </c>
      <c r="O4339" s="20">
        <v>8.3986960480195799E-2</v>
      </c>
      <c r="P4339" s="20"/>
      <c r="Q4339" s="20"/>
      <c r="R4339" s="20">
        <v>0.03</v>
      </c>
      <c r="S4339" s="20">
        <v>0.67</v>
      </c>
      <c r="T4339" s="20">
        <v>0.29999999999999982</v>
      </c>
    </row>
    <row r="4340" spans="13:20" x14ac:dyDescent="0.2">
      <c r="M4340" s="20">
        <v>1.0392937603379624E-2</v>
      </c>
      <c r="N4340" s="20">
        <v>1.0660938420003895E-3</v>
      </c>
      <c r="O4340" s="20">
        <v>0.10257868205171483</v>
      </c>
      <c r="P4340" s="20"/>
      <c r="Q4340" s="20"/>
      <c r="R4340" s="20">
        <v>0.87</v>
      </c>
      <c r="S4340" s="20">
        <v>0.13000000000000012</v>
      </c>
      <c r="T4340" s="20"/>
    </row>
    <row r="4341" spans="13:20" x14ac:dyDescent="0.2">
      <c r="M4341" s="20">
        <v>1.1668151988341318E-2</v>
      </c>
      <c r="N4341" s="20">
        <v>1.1837426764188881E-3</v>
      </c>
      <c r="O4341" s="20">
        <v>0.10145074195139642</v>
      </c>
      <c r="P4341" s="20"/>
      <c r="Q4341" s="20">
        <v>0.28000000000000003</v>
      </c>
      <c r="R4341" s="20">
        <v>0.72</v>
      </c>
      <c r="S4341" s="20"/>
      <c r="T4341" s="20"/>
    </row>
    <row r="4342" spans="13:20" x14ac:dyDescent="0.2">
      <c r="M4342" s="20">
        <v>1.8794551774568874E-2</v>
      </c>
      <c r="N4342" s="20">
        <v>1.2755128999709724E-3</v>
      </c>
      <c r="O4342" s="20">
        <v>6.7866098392241725E-2</v>
      </c>
      <c r="P4342" s="20"/>
      <c r="Q4342" s="20">
        <v>0.98</v>
      </c>
      <c r="R4342" s="20">
        <v>2.0000000000000018E-2</v>
      </c>
      <c r="S4342" s="20"/>
      <c r="T4342" s="20"/>
    </row>
    <row r="4343" spans="13:20" x14ac:dyDescent="0.2">
      <c r="M4343" s="20">
        <v>1.4121291802033952E-2</v>
      </c>
      <c r="N4343" s="20">
        <v>1.6711230269036838E-3</v>
      </c>
      <c r="O4343" s="20">
        <v>0.11834066247841322</v>
      </c>
      <c r="P4343" s="20">
        <v>0.26</v>
      </c>
      <c r="Q4343" s="20">
        <v>0.53999999999999992</v>
      </c>
      <c r="R4343" s="20"/>
      <c r="S4343" s="20"/>
      <c r="T4343" s="20">
        <v>0.2</v>
      </c>
    </row>
    <row r="4344" spans="13:20" x14ac:dyDescent="0.2">
      <c r="M4344" s="20">
        <v>1.4199745078617534E-2</v>
      </c>
      <c r="N4344" s="20">
        <v>1.5064055716591863E-3</v>
      </c>
      <c r="O4344" s="20">
        <v>0.10608680390520417</v>
      </c>
      <c r="P4344" s="20">
        <v>7.0000000000000062E-2</v>
      </c>
      <c r="Q4344" s="20"/>
      <c r="R4344" s="20"/>
      <c r="S4344" s="20">
        <v>0.1</v>
      </c>
      <c r="T4344" s="20">
        <v>0.83</v>
      </c>
    </row>
    <row r="4345" spans="13:20" x14ac:dyDescent="0.2">
      <c r="M4345" s="20">
        <v>1.2894609629780632E-2</v>
      </c>
      <c r="N4345" s="20">
        <v>2.2785113855780452E-3</v>
      </c>
      <c r="O4345" s="20">
        <v>0.17670262621333874</v>
      </c>
      <c r="P4345" s="20">
        <v>0.76000000000000012</v>
      </c>
      <c r="Q4345" s="20"/>
      <c r="R4345" s="20"/>
      <c r="S4345" s="20">
        <v>0.06</v>
      </c>
      <c r="T4345" s="20">
        <v>0.18</v>
      </c>
    </row>
    <row r="4346" spans="13:20" x14ac:dyDescent="0.2">
      <c r="M4346" s="20">
        <v>1.0165978979370889E-2</v>
      </c>
      <c r="N4346" s="20">
        <v>9.5762763631229708E-4</v>
      </c>
      <c r="O4346" s="20">
        <v>9.4199254027137372E-2</v>
      </c>
      <c r="P4346" s="20">
        <v>7.0000000000000007E-2</v>
      </c>
      <c r="Q4346" s="20">
        <v>0.11</v>
      </c>
      <c r="R4346" s="20">
        <v>0.33</v>
      </c>
      <c r="S4346" s="20">
        <v>0.4900000000000001</v>
      </c>
      <c r="T4346" s="20"/>
    </row>
    <row r="4347" spans="13:20" x14ac:dyDescent="0.2">
      <c r="M4347" s="20">
        <v>1.0732432473869223E-2</v>
      </c>
      <c r="N4347" s="20">
        <v>8.8422693141421615E-4</v>
      </c>
      <c r="O4347" s="20">
        <v>8.2388306058956029E-2</v>
      </c>
      <c r="P4347" s="20">
        <v>0</v>
      </c>
      <c r="Q4347" s="20">
        <v>0.18</v>
      </c>
      <c r="R4347" s="20">
        <v>0.36</v>
      </c>
      <c r="S4347" s="20">
        <v>0.46000000000000008</v>
      </c>
      <c r="T4347" s="20"/>
    </row>
    <row r="4348" spans="13:20" x14ac:dyDescent="0.2">
      <c r="M4348" s="20">
        <v>1.5528474120001454E-2</v>
      </c>
      <c r="N4348" s="20">
        <v>1.241426816937341E-3</v>
      </c>
      <c r="O4348" s="20">
        <v>7.9945190193434462E-2</v>
      </c>
      <c r="P4348" s="20"/>
      <c r="Q4348" s="20">
        <v>0.72</v>
      </c>
      <c r="R4348" s="20">
        <v>0.28000000000000003</v>
      </c>
      <c r="S4348" s="20"/>
      <c r="T4348" s="20"/>
    </row>
    <row r="4349" spans="13:20" x14ac:dyDescent="0.2">
      <c r="M4349" s="20">
        <v>1.4367156485985239E-2</v>
      </c>
      <c r="N4349" s="20">
        <v>2.5277830698028371E-3</v>
      </c>
      <c r="O4349" s="20">
        <v>0.17594177889470466</v>
      </c>
      <c r="P4349" s="20">
        <v>0.95</v>
      </c>
      <c r="Q4349" s="20">
        <v>5.0000000000000044E-2</v>
      </c>
      <c r="R4349" s="20"/>
      <c r="S4349" s="20"/>
      <c r="T4349" s="20"/>
    </row>
    <row r="4350" spans="13:20" x14ac:dyDescent="0.2">
      <c r="M4350" s="20">
        <v>1.5184363566364186E-2</v>
      </c>
      <c r="N4350" s="20">
        <v>9.7664633246746595E-4</v>
      </c>
      <c r="O4350" s="20">
        <v>6.4319214183655035E-2</v>
      </c>
      <c r="P4350" s="20"/>
      <c r="Q4350" s="20">
        <v>0.6</v>
      </c>
      <c r="R4350" s="20">
        <v>0</v>
      </c>
      <c r="S4350" s="20">
        <v>0.4</v>
      </c>
      <c r="T4350" s="20"/>
    </row>
    <row r="4351" spans="13:20" x14ac:dyDescent="0.2">
      <c r="M4351" s="20">
        <v>1.552575640228405E-2</v>
      </c>
      <c r="N4351" s="20">
        <v>1.6178725235998907E-3</v>
      </c>
      <c r="O4351" s="20">
        <v>0.10420571350468179</v>
      </c>
      <c r="P4351" s="20">
        <v>7.9999999999999849E-2</v>
      </c>
      <c r="Q4351" s="20"/>
      <c r="R4351" s="20"/>
      <c r="S4351" s="20"/>
      <c r="T4351" s="20">
        <v>0.92</v>
      </c>
    </row>
    <row r="4352" spans="13:20" x14ac:dyDescent="0.2">
      <c r="M4352" s="20">
        <v>1.4470092217232847E-2</v>
      </c>
      <c r="N4352" s="20">
        <v>1.4981640568369683E-3</v>
      </c>
      <c r="O4352" s="20">
        <v>0.10353521141024671</v>
      </c>
      <c r="P4352" s="20">
        <v>0.02</v>
      </c>
      <c r="Q4352" s="20">
        <v>0.21999999999999997</v>
      </c>
      <c r="R4352" s="20"/>
      <c r="S4352" s="20"/>
      <c r="T4352" s="20">
        <v>0.76</v>
      </c>
    </row>
    <row r="4353" spans="13:20" x14ac:dyDescent="0.2">
      <c r="M4353" s="20">
        <v>1.4996259129818388E-2</v>
      </c>
      <c r="N4353" s="20">
        <v>1.6815039259155684E-3</v>
      </c>
      <c r="O4353" s="20">
        <v>0.11212822553673306</v>
      </c>
      <c r="P4353" s="20">
        <v>0.14000000000000001</v>
      </c>
      <c r="Q4353" s="20"/>
      <c r="R4353" s="20"/>
      <c r="S4353" s="20"/>
      <c r="T4353" s="20">
        <v>0.86</v>
      </c>
    </row>
    <row r="4354" spans="13:20" x14ac:dyDescent="0.2">
      <c r="M4354" s="20">
        <v>1.4469126985004868E-2</v>
      </c>
      <c r="N4354" s="20">
        <v>2.5540914521911462E-3</v>
      </c>
      <c r="O4354" s="20">
        <v>0.17652007994940455</v>
      </c>
      <c r="P4354" s="20">
        <v>0.97</v>
      </c>
      <c r="Q4354" s="20">
        <v>2.9999999999999916E-2</v>
      </c>
      <c r="R4354" s="20"/>
      <c r="S4354" s="20"/>
      <c r="T4354" s="20"/>
    </row>
    <row r="4355" spans="13:20" x14ac:dyDescent="0.2">
      <c r="M4355" s="20">
        <v>1.2621102258035253E-2</v>
      </c>
      <c r="N4355" s="20">
        <v>1.9936516803484511E-3</v>
      </c>
      <c r="O4355" s="20">
        <v>0.15796177224371893</v>
      </c>
      <c r="P4355" s="20">
        <v>0.48</v>
      </c>
      <c r="Q4355" s="20">
        <v>0.18999999999999995</v>
      </c>
      <c r="R4355" s="20"/>
      <c r="S4355" s="20"/>
      <c r="T4355" s="20">
        <v>0.33</v>
      </c>
    </row>
    <row r="4356" spans="13:20" x14ac:dyDescent="0.2">
      <c r="M4356" s="20">
        <v>1.0687881166920847E-2</v>
      </c>
      <c r="N4356" s="20">
        <v>1.7006394565315442E-3</v>
      </c>
      <c r="O4356" s="20">
        <v>0.15911848475589802</v>
      </c>
      <c r="P4356" s="20">
        <v>0.33</v>
      </c>
      <c r="Q4356" s="20">
        <v>0.14000000000000001</v>
      </c>
      <c r="R4356" s="20">
        <v>0.38000000000000012</v>
      </c>
      <c r="S4356" s="20"/>
      <c r="T4356" s="20">
        <v>0.15</v>
      </c>
    </row>
    <row r="4357" spans="13:20" x14ac:dyDescent="0.2">
      <c r="M4357" s="20">
        <v>1.0954984856222613E-2</v>
      </c>
      <c r="N4357" s="20">
        <v>1.9584933959674949E-3</v>
      </c>
      <c r="O4357" s="20">
        <v>0.17877645854115792</v>
      </c>
      <c r="P4357" s="20">
        <v>0.57999999999999996</v>
      </c>
      <c r="Q4357" s="20"/>
      <c r="R4357" s="20">
        <v>0.23</v>
      </c>
      <c r="S4357" s="20">
        <v>0.1</v>
      </c>
      <c r="T4357" s="20">
        <v>0.09</v>
      </c>
    </row>
    <row r="4358" spans="13:20" x14ac:dyDescent="0.2">
      <c r="M4358" s="20">
        <v>1.7230052311804852E-2</v>
      </c>
      <c r="N4358" s="20">
        <v>1.2597808616477582E-3</v>
      </c>
      <c r="O4358" s="20">
        <v>7.3115324251490671E-2</v>
      </c>
      <c r="P4358" s="20"/>
      <c r="Q4358" s="20">
        <v>0.86</v>
      </c>
      <c r="R4358" s="20">
        <v>0.14000000000000012</v>
      </c>
      <c r="S4358" s="20"/>
      <c r="T4358" s="20"/>
    </row>
    <row r="4359" spans="13:20" x14ac:dyDescent="0.2">
      <c r="M4359" s="20">
        <v>1.6360203031018032E-2</v>
      </c>
      <c r="N4359" s="20">
        <v>1.2506038392925494E-3</v>
      </c>
      <c r="O4359" s="20">
        <v>7.6441828803803624E-2</v>
      </c>
      <c r="P4359" s="20"/>
      <c r="Q4359" s="20">
        <v>0.79</v>
      </c>
      <c r="R4359" s="20">
        <v>0.20999999999999996</v>
      </c>
      <c r="S4359" s="20"/>
      <c r="T4359" s="20"/>
    </row>
    <row r="4360" spans="13:20" x14ac:dyDescent="0.2">
      <c r="M4360" s="20">
        <v>1.1279636193247258E-2</v>
      </c>
      <c r="N4360" s="20">
        <v>1.6180678439304927E-3</v>
      </c>
      <c r="O4360" s="20">
        <v>0.14345035745915066</v>
      </c>
      <c r="P4360" s="20">
        <v>0.41</v>
      </c>
      <c r="Q4360" s="20">
        <v>0.17</v>
      </c>
      <c r="R4360" s="20">
        <v>1.000000000000012E-2</v>
      </c>
      <c r="S4360" s="20">
        <v>0.3</v>
      </c>
      <c r="T4360" s="20">
        <v>0.11</v>
      </c>
    </row>
    <row r="4361" spans="13:20" x14ac:dyDescent="0.2">
      <c r="M4361" s="20">
        <v>1.0184375299108497E-2</v>
      </c>
      <c r="N4361" s="20">
        <v>7.1873702058866565E-4</v>
      </c>
      <c r="O4361" s="20">
        <v>7.0572519126586117E-2</v>
      </c>
      <c r="P4361" s="20"/>
      <c r="Q4361" s="20">
        <v>0.01</v>
      </c>
      <c r="R4361" s="20">
        <v>0.3</v>
      </c>
      <c r="S4361" s="20">
        <v>0.69</v>
      </c>
      <c r="T4361" s="20"/>
    </row>
    <row r="4362" spans="13:20" x14ac:dyDescent="0.2">
      <c r="M4362" s="20">
        <v>1.1126261192309094E-2</v>
      </c>
      <c r="N4362" s="20">
        <v>1.0993252654935262E-3</v>
      </c>
      <c r="O4362" s="20">
        <v>9.8804553164132336E-2</v>
      </c>
      <c r="P4362" s="20"/>
      <c r="Q4362" s="20"/>
      <c r="R4362" s="20"/>
      <c r="S4362" s="20">
        <v>0.43</v>
      </c>
      <c r="T4362" s="20">
        <v>0.57000000000000006</v>
      </c>
    </row>
    <row r="4363" spans="13:20" x14ac:dyDescent="0.2">
      <c r="M4363" s="20">
        <v>1.3651596080295916E-2</v>
      </c>
      <c r="N4363" s="20">
        <v>1.7408562209210564E-3</v>
      </c>
      <c r="O4363" s="20">
        <v>0.1275203434588669</v>
      </c>
      <c r="P4363" s="20">
        <v>0.22</v>
      </c>
      <c r="Q4363" s="20">
        <v>9.9999999999999867E-2</v>
      </c>
      <c r="R4363" s="20"/>
      <c r="S4363" s="20"/>
      <c r="T4363" s="20">
        <v>0.68</v>
      </c>
    </row>
    <row r="4364" spans="13:20" x14ac:dyDescent="0.2">
      <c r="M4364" s="20">
        <v>1.0187204148936788E-2</v>
      </c>
      <c r="N4364" s="20">
        <v>8.6734331358424811E-4</v>
      </c>
      <c r="O4364" s="20">
        <v>8.5140466501279502E-2</v>
      </c>
      <c r="P4364" s="20"/>
      <c r="Q4364" s="20"/>
      <c r="R4364" s="20"/>
      <c r="S4364" s="20">
        <v>0.66</v>
      </c>
      <c r="T4364" s="20">
        <v>0.33999999999999997</v>
      </c>
    </row>
    <row r="4365" spans="13:20" x14ac:dyDescent="0.2">
      <c r="M4365" s="20">
        <v>1.4828604718384333E-2</v>
      </c>
      <c r="N4365" s="20">
        <v>1.7740611621552367E-3</v>
      </c>
      <c r="O4365" s="20">
        <v>0.11963776739936806</v>
      </c>
      <c r="P4365" s="20">
        <v>0.38</v>
      </c>
      <c r="Q4365" s="20">
        <v>0.59</v>
      </c>
      <c r="R4365" s="20">
        <v>3.0000000000000138E-2</v>
      </c>
      <c r="S4365" s="20"/>
      <c r="T4365" s="20"/>
    </row>
    <row r="4366" spans="13:20" x14ac:dyDescent="0.2">
      <c r="M4366" s="20">
        <v>1.2642369635567235E-2</v>
      </c>
      <c r="N4366" s="20">
        <v>1.1042040337539906E-3</v>
      </c>
      <c r="O4366" s="20">
        <v>8.734154004226341E-2</v>
      </c>
      <c r="P4366" s="20">
        <v>0.16</v>
      </c>
      <c r="Q4366" s="20">
        <v>0.33000000000000007</v>
      </c>
      <c r="R4366" s="20"/>
      <c r="S4366" s="20">
        <v>0.51</v>
      </c>
      <c r="T4366" s="20">
        <v>0</v>
      </c>
    </row>
    <row r="4367" spans="13:20" x14ac:dyDescent="0.2">
      <c r="M4367" s="20">
        <v>9.5662104058997343E-3</v>
      </c>
      <c r="N4367" s="20">
        <v>8.7930750739039388E-4</v>
      </c>
      <c r="O4367" s="20">
        <v>9.1918060556989395E-2</v>
      </c>
      <c r="P4367" s="20"/>
      <c r="Q4367" s="20"/>
      <c r="R4367" s="20">
        <v>0.56999999999999995</v>
      </c>
      <c r="S4367" s="20">
        <v>0.42999999999999994</v>
      </c>
      <c r="T4367" s="20"/>
    </row>
    <row r="4368" spans="13:20" x14ac:dyDescent="0.2">
      <c r="M4368" s="20">
        <v>9.1658287543347518E-3</v>
      </c>
      <c r="N4368" s="20">
        <v>1.2773809296162816E-3</v>
      </c>
      <c r="O4368" s="20">
        <v>0.13936338588173774</v>
      </c>
      <c r="P4368" s="20">
        <v>0.17000000000000015</v>
      </c>
      <c r="Q4368" s="20"/>
      <c r="R4368" s="20">
        <v>0.45</v>
      </c>
      <c r="S4368" s="20">
        <v>0.26</v>
      </c>
      <c r="T4368" s="20">
        <v>0.12</v>
      </c>
    </row>
    <row r="4369" spans="13:20" x14ac:dyDescent="0.2">
      <c r="M4369" s="20">
        <v>1.0666632172008018E-2</v>
      </c>
      <c r="N4369" s="20">
        <v>1.0972248977687219E-3</v>
      </c>
      <c r="O4369" s="20">
        <v>0.1028651668188317</v>
      </c>
      <c r="P4369" s="20"/>
      <c r="Q4369" s="20"/>
      <c r="R4369" s="20">
        <v>0.92</v>
      </c>
      <c r="S4369" s="20">
        <v>7.999999999999996E-2</v>
      </c>
      <c r="T4369" s="20"/>
    </row>
    <row r="4370" spans="13:20" x14ac:dyDescent="0.2">
      <c r="M4370" s="20">
        <v>9.6555161853307987E-3</v>
      </c>
      <c r="N4370" s="20">
        <v>8.1081918470006216E-4</v>
      </c>
      <c r="O4370" s="20">
        <v>8.3974711360528198E-2</v>
      </c>
      <c r="P4370" s="20"/>
      <c r="Q4370" s="20"/>
      <c r="R4370" s="20">
        <v>0.46</v>
      </c>
      <c r="S4370" s="20">
        <v>0.53999999999999992</v>
      </c>
      <c r="T4370" s="20"/>
    </row>
    <row r="4371" spans="13:20" x14ac:dyDescent="0.2">
      <c r="M4371" s="20">
        <v>1.230633445419657E-2</v>
      </c>
      <c r="N4371" s="20">
        <v>1.9811068928788076E-3</v>
      </c>
      <c r="O4371" s="20">
        <v>0.1609826955583214</v>
      </c>
      <c r="P4371" s="20">
        <v>0.46</v>
      </c>
      <c r="Q4371" s="20">
        <v>0.05</v>
      </c>
      <c r="R4371" s="20">
        <v>6.999999999999984E-2</v>
      </c>
      <c r="S4371" s="20"/>
      <c r="T4371" s="20">
        <v>0.42</v>
      </c>
    </row>
    <row r="4372" spans="13:20" x14ac:dyDescent="0.2">
      <c r="M4372" s="20">
        <v>9.6544161042757554E-3</v>
      </c>
      <c r="N4372" s="20">
        <v>9.3534340777339268E-4</v>
      </c>
      <c r="O4372" s="20">
        <v>9.6882441948938483E-2</v>
      </c>
      <c r="P4372" s="20"/>
      <c r="Q4372" s="20"/>
      <c r="R4372" s="20">
        <v>0.66</v>
      </c>
      <c r="S4372" s="20">
        <v>0.33999999999999997</v>
      </c>
      <c r="T4372" s="20"/>
    </row>
    <row r="4373" spans="13:20" x14ac:dyDescent="0.2">
      <c r="M4373" s="20">
        <v>9.6375102621556533E-3</v>
      </c>
      <c r="N4373" s="20">
        <v>9.2911719661972606E-4</v>
      </c>
      <c r="O4373" s="20">
        <v>9.6406350950220154E-2</v>
      </c>
      <c r="P4373" s="20"/>
      <c r="Q4373" s="20"/>
      <c r="R4373" s="20">
        <v>0.65</v>
      </c>
      <c r="S4373" s="20">
        <v>0.34999999999999987</v>
      </c>
      <c r="T4373" s="20"/>
    </row>
    <row r="4374" spans="13:20" x14ac:dyDescent="0.2">
      <c r="M4374" s="20">
        <v>1.3674008432626252E-2</v>
      </c>
      <c r="N4374" s="20">
        <v>1.8830033665818793E-3</v>
      </c>
      <c r="O4374" s="20">
        <v>0.13770675774113345</v>
      </c>
      <c r="P4374" s="20">
        <v>0.32999999999999985</v>
      </c>
      <c r="Q4374" s="20"/>
      <c r="R4374" s="20"/>
      <c r="S4374" s="20">
        <v>0</v>
      </c>
      <c r="T4374" s="20">
        <v>0.67</v>
      </c>
    </row>
    <row r="4375" spans="13:20" x14ac:dyDescent="0.2">
      <c r="M4375" s="20">
        <v>1.2936475694375437E-2</v>
      </c>
      <c r="N4375" s="20">
        <v>1.6509629576933089E-3</v>
      </c>
      <c r="O4375" s="20">
        <v>0.12762076756431584</v>
      </c>
      <c r="P4375" s="20">
        <v>0.35</v>
      </c>
      <c r="Q4375" s="20">
        <v>0.4</v>
      </c>
      <c r="R4375" s="20"/>
      <c r="S4375" s="20">
        <v>0.15</v>
      </c>
      <c r="T4375" s="20">
        <v>0.1</v>
      </c>
    </row>
    <row r="4376" spans="13:20" x14ac:dyDescent="0.2">
      <c r="M4376" s="20">
        <v>1.082186683766298E-2</v>
      </c>
      <c r="N4376" s="20">
        <v>1.6849133634189882E-3</v>
      </c>
      <c r="O4376" s="20">
        <v>0.15569525930175382</v>
      </c>
      <c r="P4376" s="20">
        <v>0.39999999999999991</v>
      </c>
      <c r="Q4376" s="20"/>
      <c r="R4376" s="20"/>
      <c r="S4376" s="20">
        <v>0.27</v>
      </c>
      <c r="T4376" s="20">
        <v>0.33</v>
      </c>
    </row>
    <row r="4377" spans="13:20" x14ac:dyDescent="0.2">
      <c r="M4377" s="20">
        <v>1.1234592652910182E-2</v>
      </c>
      <c r="N4377" s="20">
        <v>6.1518901803068505E-4</v>
      </c>
      <c r="O4377" s="20">
        <v>5.4758462281347418E-2</v>
      </c>
      <c r="P4377" s="20"/>
      <c r="Q4377" s="20"/>
      <c r="R4377" s="20"/>
      <c r="S4377" s="20">
        <v>0.91</v>
      </c>
      <c r="T4377" s="20">
        <v>8.9999999999999969E-2</v>
      </c>
    </row>
    <row r="4378" spans="13:20" x14ac:dyDescent="0.2">
      <c r="M4378" s="20">
        <v>1.3065123935181408E-2</v>
      </c>
      <c r="N4378" s="20">
        <v>2.0526871060903527E-3</v>
      </c>
      <c r="O4378" s="20">
        <v>0.15711195058494112</v>
      </c>
      <c r="P4378" s="20">
        <v>0.4900000000000001</v>
      </c>
      <c r="Q4378" s="20"/>
      <c r="R4378" s="20"/>
      <c r="S4378" s="20"/>
      <c r="T4378" s="20">
        <v>0.51</v>
      </c>
    </row>
    <row r="4379" spans="13:20" x14ac:dyDescent="0.2">
      <c r="M4379" s="20">
        <v>1.1161624080957082E-2</v>
      </c>
      <c r="N4379" s="20">
        <v>1.5107775524564235E-3</v>
      </c>
      <c r="O4379" s="20">
        <v>0.13535463490783306</v>
      </c>
      <c r="P4379" s="20">
        <v>0.31</v>
      </c>
      <c r="Q4379" s="20">
        <v>0.18999999999999995</v>
      </c>
      <c r="R4379" s="20"/>
      <c r="S4379" s="20">
        <v>0.3</v>
      </c>
      <c r="T4379" s="20">
        <v>0.2</v>
      </c>
    </row>
    <row r="4380" spans="13:20" x14ac:dyDescent="0.2">
      <c r="M4380" s="20">
        <v>9.6555161853307987E-3</v>
      </c>
      <c r="N4380" s="20">
        <v>8.1081918470006227E-4</v>
      </c>
      <c r="O4380" s="20">
        <v>8.3974711360528212E-2</v>
      </c>
      <c r="P4380" s="20"/>
      <c r="Q4380" s="20"/>
      <c r="R4380" s="20">
        <v>0.46</v>
      </c>
      <c r="S4380" s="20">
        <v>0.54</v>
      </c>
      <c r="T4380" s="20"/>
    </row>
    <row r="4381" spans="13:20" x14ac:dyDescent="0.2">
      <c r="M4381" s="20">
        <v>1.0860578606190309E-2</v>
      </c>
      <c r="N4381" s="20">
        <v>9.5795926687895273E-4</v>
      </c>
      <c r="O4381" s="20">
        <v>8.8205177791626621E-2</v>
      </c>
      <c r="P4381" s="20"/>
      <c r="Q4381" s="20">
        <v>0.22</v>
      </c>
      <c r="R4381" s="20">
        <v>0.43</v>
      </c>
      <c r="S4381" s="20">
        <v>0.35</v>
      </c>
      <c r="T4381" s="20"/>
    </row>
    <row r="4382" spans="13:20" x14ac:dyDescent="0.2">
      <c r="M4382" s="20">
        <v>1.3364933883600744E-2</v>
      </c>
      <c r="N4382" s="20">
        <v>1.9503538197117899E-3</v>
      </c>
      <c r="O4382" s="20">
        <v>0.14593067475664392</v>
      </c>
      <c r="P4382" s="20">
        <v>0.52</v>
      </c>
      <c r="Q4382" s="20">
        <v>0.39</v>
      </c>
      <c r="R4382" s="20">
        <v>8.9999999999999858E-2</v>
      </c>
      <c r="S4382" s="20"/>
      <c r="T4382" s="20"/>
    </row>
    <row r="4383" spans="13:20" x14ac:dyDescent="0.2">
      <c r="M4383" s="20">
        <v>9.3437750459012623E-3</v>
      </c>
      <c r="N4383" s="20">
        <v>1.0873146401310942E-3</v>
      </c>
      <c r="O4383" s="20">
        <v>0.11636781009706086</v>
      </c>
      <c r="P4383" s="20">
        <v>8.9999999999999969E-2</v>
      </c>
      <c r="Q4383" s="20"/>
      <c r="R4383" s="20">
        <v>0.2</v>
      </c>
      <c r="S4383" s="20">
        <v>0.46</v>
      </c>
      <c r="T4383" s="20">
        <v>0.25</v>
      </c>
    </row>
    <row r="4384" spans="13:20" x14ac:dyDescent="0.2">
      <c r="M4384" s="20">
        <v>1.0890432190654093E-2</v>
      </c>
      <c r="N4384" s="20">
        <v>6.8268556893755303E-4</v>
      </c>
      <c r="O4384" s="20">
        <v>6.2686728771280287E-2</v>
      </c>
      <c r="P4384" s="20">
        <v>0.03</v>
      </c>
      <c r="Q4384" s="20">
        <v>0.01</v>
      </c>
      <c r="R4384" s="20">
        <v>0.11</v>
      </c>
      <c r="S4384" s="20">
        <v>0.83</v>
      </c>
      <c r="T4384" s="20">
        <v>2.0000000000000018E-2</v>
      </c>
    </row>
    <row r="4385" spans="13:20" x14ac:dyDescent="0.2">
      <c r="M4385" s="20">
        <v>1.0199118291272596E-2</v>
      </c>
      <c r="N4385" s="20">
        <v>1.0411889973857235E-3</v>
      </c>
      <c r="O4385" s="20">
        <v>0.10208617722148304</v>
      </c>
      <c r="P4385" s="20"/>
      <c r="Q4385" s="20"/>
      <c r="R4385" s="20">
        <v>0.83</v>
      </c>
      <c r="S4385" s="20">
        <v>0.17000000000000004</v>
      </c>
      <c r="T4385" s="20"/>
    </row>
    <row r="4386" spans="13:20" x14ac:dyDescent="0.2">
      <c r="M4386" s="20">
        <v>1.2888615543452751E-2</v>
      </c>
      <c r="N4386" s="20">
        <v>1.4373504447733154E-3</v>
      </c>
      <c r="O4386" s="20">
        <v>0.11152093410866543</v>
      </c>
      <c r="P4386" s="20">
        <v>0.02</v>
      </c>
      <c r="Q4386" s="20">
        <v>0.08</v>
      </c>
      <c r="R4386" s="20">
        <v>0.25000000000000011</v>
      </c>
      <c r="S4386" s="20"/>
      <c r="T4386" s="20">
        <v>0.65</v>
      </c>
    </row>
    <row r="4387" spans="13:20" x14ac:dyDescent="0.2">
      <c r="M4387" s="20">
        <v>1.0907497346881831E-2</v>
      </c>
      <c r="N4387" s="20">
        <v>1.0690667500270984E-3</v>
      </c>
      <c r="O4387" s="20">
        <v>9.8012102687580913E-2</v>
      </c>
      <c r="P4387" s="20"/>
      <c r="Q4387" s="20"/>
      <c r="R4387" s="20"/>
      <c r="S4387" s="20">
        <v>0.46</v>
      </c>
      <c r="T4387" s="20">
        <v>0.53999999999999992</v>
      </c>
    </row>
    <row r="4388" spans="13:20" x14ac:dyDescent="0.2">
      <c r="M4388" s="20">
        <v>1.2573978720675961E-2</v>
      </c>
      <c r="N4388" s="20">
        <v>1.3191334954648585E-3</v>
      </c>
      <c r="O4388" s="20">
        <v>0.10490979225976799</v>
      </c>
      <c r="P4388" s="20">
        <v>0</v>
      </c>
      <c r="Q4388" s="20">
        <v>0.4</v>
      </c>
      <c r="R4388" s="20">
        <v>0.29000000000000004</v>
      </c>
      <c r="S4388" s="20"/>
      <c r="T4388" s="20">
        <v>0.31</v>
      </c>
    </row>
    <row r="4389" spans="13:20" x14ac:dyDescent="0.2">
      <c r="M4389" s="20">
        <v>9.7175070948108261E-3</v>
      </c>
      <c r="N4389" s="20">
        <v>8.5833567235653156E-4</v>
      </c>
      <c r="O4389" s="20">
        <v>8.8328792969431955E-2</v>
      </c>
      <c r="P4389" s="20"/>
      <c r="Q4389" s="20">
        <v>0.03</v>
      </c>
      <c r="R4389" s="20">
        <v>0.5</v>
      </c>
      <c r="S4389" s="20">
        <v>0.47000000000000008</v>
      </c>
      <c r="T4389" s="20"/>
    </row>
    <row r="4390" spans="13:20" x14ac:dyDescent="0.2">
      <c r="M4390" s="20">
        <v>1.3012941374871174E-2</v>
      </c>
      <c r="N4390" s="20">
        <v>2.1870948447703584E-3</v>
      </c>
      <c r="O4390" s="20">
        <v>0.1680707521662842</v>
      </c>
      <c r="P4390" s="20">
        <v>0.66</v>
      </c>
      <c r="Q4390" s="20">
        <v>0.18</v>
      </c>
      <c r="R4390" s="20">
        <v>1.1102230246251565E-16</v>
      </c>
      <c r="S4390" s="20"/>
      <c r="T4390" s="20">
        <v>0.16</v>
      </c>
    </row>
    <row r="4391" spans="13:20" x14ac:dyDescent="0.2">
      <c r="M4391" s="20">
        <v>1.3900120420019861E-2</v>
      </c>
      <c r="N4391" s="20">
        <v>2.1331573339782072E-3</v>
      </c>
      <c r="O4391" s="20">
        <v>0.15346322690168171</v>
      </c>
      <c r="P4391" s="20">
        <v>0.65</v>
      </c>
      <c r="Q4391" s="20">
        <v>0.35</v>
      </c>
      <c r="R4391" s="20"/>
      <c r="S4391" s="20"/>
      <c r="T4391" s="20"/>
    </row>
    <row r="4392" spans="13:20" x14ac:dyDescent="0.2">
      <c r="M4392" s="20">
        <v>1.3599387788441792E-2</v>
      </c>
      <c r="N4392" s="20">
        <v>2.4238702862651364E-3</v>
      </c>
      <c r="O4392" s="20">
        <v>0.17823377963566855</v>
      </c>
      <c r="P4392" s="20">
        <v>0.84000000000000008</v>
      </c>
      <c r="Q4392" s="20"/>
      <c r="R4392" s="20"/>
      <c r="S4392" s="20"/>
      <c r="T4392" s="20">
        <v>0.16</v>
      </c>
    </row>
    <row r="4393" spans="13:20" x14ac:dyDescent="0.2">
      <c r="M4393" s="20">
        <v>1.1602063520216919E-2</v>
      </c>
      <c r="N4393" s="20">
        <v>1.6124684541389902E-3</v>
      </c>
      <c r="O4393" s="20">
        <v>0.138981177902467</v>
      </c>
      <c r="P4393" s="20">
        <v>0.19</v>
      </c>
      <c r="Q4393" s="20">
        <v>7.0000000000000007E-2</v>
      </c>
      <c r="R4393" s="20">
        <v>0.27</v>
      </c>
      <c r="S4393" s="20"/>
      <c r="T4393" s="20">
        <v>0.47</v>
      </c>
    </row>
    <row r="4394" spans="13:20" x14ac:dyDescent="0.2">
      <c r="M4394" s="20">
        <v>1.3289001004459197E-2</v>
      </c>
      <c r="N4394" s="20">
        <v>1.6749927303940921E-3</v>
      </c>
      <c r="O4394" s="20">
        <v>0.12604354005481971</v>
      </c>
      <c r="P4394" s="20">
        <v>0.23</v>
      </c>
      <c r="Q4394" s="20">
        <v>0.39999999999999991</v>
      </c>
      <c r="R4394" s="20"/>
      <c r="S4394" s="20"/>
      <c r="T4394" s="20">
        <v>0.37</v>
      </c>
    </row>
    <row r="4395" spans="13:20" x14ac:dyDescent="0.2">
      <c r="M4395" s="20">
        <v>9.5663214340211758E-3</v>
      </c>
      <c r="N4395" s="20">
        <v>8.6685508508306086E-4</v>
      </c>
      <c r="O4395" s="20">
        <v>9.0615299837220803E-2</v>
      </c>
      <c r="P4395" s="20"/>
      <c r="Q4395" s="20"/>
      <c r="R4395" s="20">
        <v>0.55000000000000004</v>
      </c>
      <c r="S4395" s="20">
        <v>0.44999999999999996</v>
      </c>
      <c r="T4395" s="20"/>
    </row>
    <row r="4396" spans="13:20" x14ac:dyDescent="0.2">
      <c r="M4396" s="20">
        <v>1.0526989278335511E-2</v>
      </c>
      <c r="N4396" s="20">
        <v>1.0841190818964667E-3</v>
      </c>
      <c r="O4396" s="20">
        <v>0.10298472366905304</v>
      </c>
      <c r="P4396" s="20"/>
      <c r="Q4396" s="20">
        <v>0.09</v>
      </c>
      <c r="R4396" s="20">
        <v>0.79</v>
      </c>
      <c r="S4396" s="20">
        <v>0.11999999999999988</v>
      </c>
      <c r="T4396" s="20"/>
    </row>
    <row r="4397" spans="13:20" x14ac:dyDescent="0.2">
      <c r="M4397" s="20">
        <v>1.2417150173716677E-2</v>
      </c>
      <c r="N4397" s="20">
        <v>2.2134818028530187E-3</v>
      </c>
      <c r="O4397" s="20">
        <v>0.17826004935804715</v>
      </c>
      <c r="P4397" s="20">
        <v>0.73</v>
      </c>
      <c r="Q4397" s="20">
        <v>0.08</v>
      </c>
      <c r="R4397" s="20">
        <v>0.19000000000000006</v>
      </c>
      <c r="S4397" s="20"/>
      <c r="T4397" s="20"/>
    </row>
    <row r="4398" spans="13:20" x14ac:dyDescent="0.2">
      <c r="M4398" s="20">
        <v>1.5185250871918809E-2</v>
      </c>
      <c r="N4398" s="20">
        <v>1.2374938073565376E-3</v>
      </c>
      <c r="O4398" s="20">
        <v>8.149314211495591E-2</v>
      </c>
      <c r="P4398" s="20"/>
      <c r="Q4398" s="20">
        <v>0.69</v>
      </c>
      <c r="R4398" s="20">
        <v>0.31000000000000005</v>
      </c>
      <c r="S4398" s="20"/>
      <c r="T4398" s="20"/>
    </row>
    <row r="4399" spans="13:20" x14ac:dyDescent="0.2">
      <c r="M4399" s="20">
        <v>1.4593023709096226E-2</v>
      </c>
      <c r="N4399" s="20">
        <v>1.7345300945119659E-3</v>
      </c>
      <c r="O4399" s="20">
        <v>0.1188602258921012</v>
      </c>
      <c r="P4399" s="20">
        <v>0.18999999999999995</v>
      </c>
      <c r="Q4399" s="20"/>
      <c r="R4399" s="20"/>
      <c r="S4399" s="20"/>
      <c r="T4399" s="20">
        <v>0.81</v>
      </c>
    </row>
    <row r="4400" spans="13:20" x14ac:dyDescent="0.2">
      <c r="M4400" s="20">
        <v>9.448595151311235E-3</v>
      </c>
      <c r="N4400" s="20">
        <v>8.3547265889420382E-4</v>
      </c>
      <c r="O4400" s="20">
        <v>8.8422950239143289E-2</v>
      </c>
      <c r="P4400" s="20"/>
      <c r="Q4400" s="20"/>
      <c r="R4400" s="20">
        <v>0.37</v>
      </c>
      <c r="S4400" s="20">
        <v>0.55000000000000004</v>
      </c>
      <c r="T4400" s="20">
        <v>7.999999999999996E-2</v>
      </c>
    </row>
    <row r="4401" spans="13:20" x14ac:dyDescent="0.2">
      <c r="M4401" s="20">
        <v>1.3219134076746113E-2</v>
      </c>
      <c r="N4401" s="20">
        <v>2.1634428852054617E-3</v>
      </c>
      <c r="O4401" s="20">
        <v>0.16365995477806614</v>
      </c>
      <c r="P4401" s="20">
        <v>0.68</v>
      </c>
      <c r="Q4401" s="20">
        <v>0.25</v>
      </c>
      <c r="R4401" s="20">
        <v>6.9999999999999951E-2</v>
      </c>
      <c r="S4401" s="20"/>
      <c r="T4401" s="20"/>
    </row>
    <row r="4402" spans="13:20" x14ac:dyDescent="0.2">
      <c r="M4402" s="20">
        <v>1.8794551774568874E-2</v>
      </c>
      <c r="N4402" s="20">
        <v>1.2755128999709724E-3</v>
      </c>
      <c r="O4402" s="20">
        <v>6.7866098392241725E-2</v>
      </c>
      <c r="P4402" s="20"/>
      <c r="Q4402" s="20">
        <v>0.98</v>
      </c>
      <c r="R4402" s="20">
        <v>2.0000000000000018E-2</v>
      </c>
      <c r="S4402" s="20"/>
      <c r="T4402" s="20"/>
    </row>
    <row r="4403" spans="13:20" x14ac:dyDescent="0.2">
      <c r="M4403" s="20">
        <v>9.5799798832001421E-3</v>
      </c>
      <c r="N4403" s="20">
        <v>8.4817645162206144E-4</v>
      </c>
      <c r="O4403" s="20">
        <v>8.853634996765071E-2</v>
      </c>
      <c r="P4403" s="20"/>
      <c r="Q4403" s="20"/>
      <c r="R4403" s="20">
        <v>0.52</v>
      </c>
      <c r="S4403" s="20">
        <v>0.48000000000000009</v>
      </c>
      <c r="T4403" s="20"/>
    </row>
    <row r="4404" spans="13:20" x14ac:dyDescent="0.2">
      <c r="M4404" s="20">
        <v>1.2118142238853153E-2</v>
      </c>
      <c r="N4404" s="20">
        <v>1.7266887489646361E-3</v>
      </c>
      <c r="O4404" s="20">
        <v>0.1424879090318425</v>
      </c>
      <c r="P4404" s="20">
        <v>0.26</v>
      </c>
      <c r="Q4404" s="20">
        <v>0.11</v>
      </c>
      <c r="R4404" s="20">
        <v>0.14000000000000012</v>
      </c>
      <c r="S4404" s="20"/>
      <c r="T4404" s="20">
        <v>0.49</v>
      </c>
    </row>
    <row r="4405" spans="13:20" x14ac:dyDescent="0.2">
      <c r="M4405" s="20">
        <v>9.5799798832001421E-3</v>
      </c>
      <c r="N4405" s="20">
        <v>8.4817645162206133E-4</v>
      </c>
      <c r="O4405" s="20">
        <v>8.853634996765071E-2</v>
      </c>
      <c r="P4405" s="20"/>
      <c r="Q4405" s="20"/>
      <c r="R4405" s="20">
        <v>0.52</v>
      </c>
      <c r="S4405" s="20">
        <v>0.48</v>
      </c>
      <c r="T4405" s="20"/>
    </row>
    <row r="4406" spans="13:20" x14ac:dyDescent="0.2">
      <c r="M4406" s="20">
        <v>1.0602495561197557E-2</v>
      </c>
      <c r="N4406" s="20">
        <v>1.0186358909163862E-3</v>
      </c>
      <c r="O4406" s="20">
        <v>9.6075106566828938E-2</v>
      </c>
      <c r="P4406" s="20"/>
      <c r="Q4406" s="20"/>
      <c r="R4406" s="20"/>
      <c r="S4406" s="20">
        <v>0.51</v>
      </c>
      <c r="T4406" s="20">
        <v>0.4900000000000001</v>
      </c>
    </row>
    <row r="4407" spans="13:20" x14ac:dyDescent="0.2">
      <c r="M4407" s="20">
        <v>1.0111038660449708E-2</v>
      </c>
      <c r="N4407" s="20">
        <v>1.0287365750783904E-3</v>
      </c>
      <c r="O4407" s="20">
        <v>0.10174390679588553</v>
      </c>
      <c r="P4407" s="20"/>
      <c r="Q4407" s="20"/>
      <c r="R4407" s="20">
        <v>0.81</v>
      </c>
      <c r="S4407" s="20">
        <v>0.18999999999999995</v>
      </c>
      <c r="T4407" s="20"/>
    </row>
    <row r="4408" spans="13:20" x14ac:dyDescent="0.2">
      <c r="M4408" s="20">
        <v>1.1286654108406747E-2</v>
      </c>
      <c r="N4408" s="20">
        <v>1.1571980237962815E-3</v>
      </c>
      <c r="O4408" s="20">
        <v>0.10252799569133199</v>
      </c>
      <c r="P4408" s="20"/>
      <c r="Q4408" s="20">
        <v>0.22</v>
      </c>
      <c r="R4408" s="20">
        <v>0.75</v>
      </c>
      <c r="S4408" s="20">
        <v>3.0000000000000138E-2</v>
      </c>
      <c r="T4408" s="20"/>
    </row>
    <row r="4409" spans="13:20" x14ac:dyDescent="0.2">
      <c r="M4409" s="20">
        <v>1.2406435795538628E-2</v>
      </c>
      <c r="N4409" s="20">
        <v>2.0617012460067488E-3</v>
      </c>
      <c r="O4409" s="20">
        <v>0.16617997948678698</v>
      </c>
      <c r="P4409" s="20">
        <v>0.67</v>
      </c>
      <c r="Q4409" s="20">
        <v>0.12</v>
      </c>
      <c r="R4409" s="20"/>
      <c r="S4409" s="20">
        <v>0.15</v>
      </c>
      <c r="T4409" s="20">
        <v>0.06</v>
      </c>
    </row>
    <row r="4410" spans="13:20" x14ac:dyDescent="0.2">
      <c r="M4410" s="20">
        <v>1.4244000335516106E-2</v>
      </c>
      <c r="N4410" s="20">
        <v>1.9884612308425096E-3</v>
      </c>
      <c r="O4410" s="20">
        <v>0.13959991463103691</v>
      </c>
      <c r="P4410" s="20">
        <v>0.54</v>
      </c>
      <c r="Q4410" s="20">
        <v>0.45999999999999996</v>
      </c>
      <c r="R4410" s="20"/>
      <c r="S4410" s="20"/>
      <c r="T4410" s="20"/>
    </row>
    <row r="4411" spans="13:20" x14ac:dyDescent="0.2">
      <c r="M4411" s="20">
        <v>1.0355187992500054E-2</v>
      </c>
      <c r="N4411" s="20">
        <v>7.6648159536282291E-4</v>
      </c>
      <c r="O4411" s="20">
        <v>7.401909032631393E-2</v>
      </c>
      <c r="P4411" s="20"/>
      <c r="Q4411" s="20"/>
      <c r="R4411" s="20"/>
      <c r="S4411" s="20">
        <v>0.76</v>
      </c>
      <c r="T4411" s="20">
        <v>0.24</v>
      </c>
    </row>
    <row r="4412" spans="13:20" x14ac:dyDescent="0.2">
      <c r="M4412" s="20">
        <v>1.3866891629986425E-2</v>
      </c>
      <c r="N4412" s="20">
        <v>2.1594657163665158E-3</v>
      </c>
      <c r="O4412" s="20">
        <v>0.15572817427207583</v>
      </c>
      <c r="P4412" s="20">
        <v>0.67</v>
      </c>
      <c r="Q4412" s="20">
        <v>0.32999999999999985</v>
      </c>
      <c r="R4412" s="20"/>
      <c r="S4412" s="20"/>
      <c r="T4412" s="20"/>
    </row>
    <row r="4413" spans="13:20" x14ac:dyDescent="0.2">
      <c r="M4413" s="20">
        <v>9.7887249025119197E-3</v>
      </c>
      <c r="N4413" s="20">
        <v>8.2739170905937048E-4</v>
      </c>
      <c r="O4413" s="20">
        <v>8.4524973099106143E-2</v>
      </c>
      <c r="P4413" s="20">
        <v>0</v>
      </c>
      <c r="Q4413" s="20">
        <v>0.04</v>
      </c>
      <c r="R4413" s="20">
        <v>0.26</v>
      </c>
      <c r="S4413" s="20">
        <v>0.59</v>
      </c>
      <c r="T4413" s="20">
        <v>0.10999999999999999</v>
      </c>
    </row>
    <row r="4414" spans="13:20" x14ac:dyDescent="0.2">
      <c r="M4414" s="20">
        <v>1.1703676126723813E-2</v>
      </c>
      <c r="N4414" s="20">
        <v>1.2152950715816015E-3</v>
      </c>
      <c r="O4414" s="20">
        <v>0.10383874762277762</v>
      </c>
      <c r="P4414" s="20">
        <v>0.02</v>
      </c>
      <c r="Q4414" s="20">
        <v>0.3</v>
      </c>
      <c r="R4414" s="20">
        <v>0.67999999999999994</v>
      </c>
      <c r="S4414" s="20"/>
      <c r="T4414" s="20"/>
    </row>
    <row r="4415" spans="13:20" x14ac:dyDescent="0.2">
      <c r="M4415" s="20">
        <v>1.4952216299818577E-2</v>
      </c>
      <c r="N4415" s="20">
        <v>1.1775248973927351E-3</v>
      </c>
      <c r="O4415" s="20">
        <v>7.8752532319039725E-2</v>
      </c>
      <c r="P4415" s="20"/>
      <c r="Q4415" s="20">
        <v>0.66</v>
      </c>
      <c r="R4415" s="20">
        <v>0.25</v>
      </c>
      <c r="S4415" s="20">
        <v>8.9999999999999969E-2</v>
      </c>
      <c r="T4415" s="20"/>
    </row>
    <row r="4416" spans="13:20" x14ac:dyDescent="0.2">
      <c r="M4416" s="20">
        <v>9.3157820228693417E-3</v>
      </c>
      <c r="N4416" s="20">
        <v>9.9560906828572316E-4</v>
      </c>
      <c r="O4416" s="20">
        <v>0.10687337529384001</v>
      </c>
      <c r="P4416" s="20"/>
      <c r="Q4416" s="20">
        <v>0</v>
      </c>
      <c r="R4416" s="20">
        <v>0.53</v>
      </c>
      <c r="S4416" s="20">
        <v>0.33</v>
      </c>
      <c r="T4416" s="20">
        <v>0.1399999999999999</v>
      </c>
    </row>
    <row r="4417" spans="13:20" x14ac:dyDescent="0.2">
      <c r="M4417" s="20">
        <v>1.4912738377618208E-2</v>
      </c>
      <c r="N4417" s="20">
        <v>1.6921091596348479E-3</v>
      </c>
      <c r="O4417" s="20">
        <v>0.11346736707823232</v>
      </c>
      <c r="P4417" s="20">
        <v>0.15000000000000002</v>
      </c>
      <c r="Q4417" s="20"/>
      <c r="R4417" s="20"/>
      <c r="S4417" s="20"/>
      <c r="T4417" s="20">
        <v>0.85</v>
      </c>
    </row>
    <row r="4418" spans="13:20" x14ac:dyDescent="0.2">
      <c r="M4418" s="20">
        <v>1.1316847661369096E-2</v>
      </c>
      <c r="N4418" s="20">
        <v>6.0510284620854231E-4</v>
      </c>
      <c r="O4418" s="20">
        <v>5.34692048806229E-2</v>
      </c>
      <c r="P4418" s="20"/>
      <c r="Q4418" s="20"/>
      <c r="R4418" s="20"/>
      <c r="S4418" s="20">
        <v>0.92</v>
      </c>
      <c r="T4418" s="20">
        <v>7.9999999999999849E-2</v>
      </c>
    </row>
    <row r="4419" spans="13:20" x14ac:dyDescent="0.2">
      <c r="M4419" s="20">
        <v>1.8661079521685268E-2</v>
      </c>
      <c r="N4419" s="20">
        <v>1.2742018967773713E-3</v>
      </c>
      <c r="O4419" s="20">
        <v>6.8281253252078691E-2</v>
      </c>
      <c r="P4419" s="20"/>
      <c r="Q4419" s="20">
        <v>0.97</v>
      </c>
      <c r="R4419" s="20">
        <v>3.0000000000000027E-2</v>
      </c>
      <c r="S4419" s="20"/>
      <c r="T4419" s="20"/>
    </row>
    <row r="4420" spans="13:20" x14ac:dyDescent="0.2">
      <c r="M4420" s="20">
        <v>1.3849894403893377E-2</v>
      </c>
      <c r="N4420" s="20">
        <v>2.3041618195022134E-3</v>
      </c>
      <c r="O4420" s="20">
        <v>0.16636674275686067</v>
      </c>
      <c r="P4420" s="20">
        <v>0.78</v>
      </c>
      <c r="Q4420" s="20">
        <v>0.21999999999999986</v>
      </c>
      <c r="R4420" s="20"/>
      <c r="S4420" s="20"/>
      <c r="T4420" s="20"/>
    </row>
    <row r="4421" spans="13:20" x14ac:dyDescent="0.2">
      <c r="M4421" s="20">
        <v>1.1579199744869626E-2</v>
      </c>
      <c r="N4421" s="20">
        <v>5.7484433074211504E-4</v>
      </c>
      <c r="O4421" s="20">
        <v>4.9644564685639027E-2</v>
      </c>
      <c r="P4421" s="20"/>
      <c r="Q4421" s="20"/>
      <c r="R4421" s="20"/>
      <c r="S4421" s="20">
        <v>0.95</v>
      </c>
      <c r="T4421" s="20">
        <v>5.0000000000000044E-2</v>
      </c>
    </row>
    <row r="4422" spans="13:20" x14ac:dyDescent="0.2">
      <c r="M4422" s="20">
        <v>1.0199118291272596E-2</v>
      </c>
      <c r="N4422" s="20">
        <v>1.0411889973857235E-3</v>
      </c>
      <c r="O4422" s="20">
        <v>0.10208617722148304</v>
      </c>
      <c r="P4422" s="20"/>
      <c r="Q4422" s="20"/>
      <c r="R4422" s="20">
        <v>0.83</v>
      </c>
      <c r="S4422" s="20">
        <v>0.17000000000000004</v>
      </c>
      <c r="T4422" s="20"/>
    </row>
    <row r="4423" spans="13:20" x14ac:dyDescent="0.2">
      <c r="M4423" s="20">
        <v>1.0218522226017952E-2</v>
      </c>
      <c r="N4423" s="20">
        <v>1.4505403631457955E-3</v>
      </c>
      <c r="O4423" s="20">
        <v>0.14195206812316691</v>
      </c>
      <c r="P4423" s="20">
        <v>0.2</v>
      </c>
      <c r="Q4423" s="20">
        <v>0.02</v>
      </c>
      <c r="R4423" s="20">
        <v>0.74999999999999989</v>
      </c>
      <c r="S4423" s="20"/>
      <c r="T4423" s="20">
        <v>0.03</v>
      </c>
    </row>
    <row r="4424" spans="13:20" x14ac:dyDescent="0.2">
      <c r="M4424" s="20">
        <v>1.4224359786008599E-2</v>
      </c>
      <c r="N4424" s="20">
        <v>1.4478599793009276E-3</v>
      </c>
      <c r="O4424" s="20">
        <v>0.10178735641410558</v>
      </c>
      <c r="P4424" s="20"/>
      <c r="Q4424" s="20">
        <v>0.17</v>
      </c>
      <c r="R4424" s="20">
        <v>0.03</v>
      </c>
      <c r="S4424" s="20">
        <v>0.03</v>
      </c>
      <c r="T4424" s="20">
        <v>0.77</v>
      </c>
    </row>
    <row r="4425" spans="13:20" x14ac:dyDescent="0.2">
      <c r="M4425" s="20">
        <v>1.6360203031018032E-2</v>
      </c>
      <c r="N4425" s="20">
        <v>1.2506038392925494E-3</v>
      </c>
      <c r="O4425" s="20">
        <v>7.6441828803803624E-2</v>
      </c>
      <c r="P4425" s="20"/>
      <c r="Q4425" s="20">
        <v>0.79</v>
      </c>
      <c r="R4425" s="20">
        <v>0.20999999999999996</v>
      </c>
      <c r="S4425" s="20"/>
      <c r="T4425" s="20"/>
    </row>
    <row r="4426" spans="13:20" x14ac:dyDescent="0.2">
      <c r="M4426" s="20">
        <v>1.5528474120001454E-2</v>
      </c>
      <c r="N4426" s="20">
        <v>1.2414268169373412E-3</v>
      </c>
      <c r="O4426" s="20">
        <v>7.9945190193434476E-2</v>
      </c>
      <c r="P4426" s="20"/>
      <c r="Q4426" s="20">
        <v>0.72</v>
      </c>
      <c r="R4426" s="20">
        <v>0.28000000000000014</v>
      </c>
      <c r="S4426" s="20"/>
      <c r="T4426" s="20"/>
    </row>
    <row r="4427" spans="13:20" x14ac:dyDescent="0.2">
      <c r="M4427" s="20">
        <v>6.7121432716622711E-3</v>
      </c>
      <c r="N4427" s="20">
        <v>9.7728233187988219E-4</v>
      </c>
      <c r="O4427" s="20">
        <v>0.14559914655067502</v>
      </c>
      <c r="P4427" s="20">
        <v>0.28000000000000003</v>
      </c>
      <c r="Q4427" s="20">
        <v>0.05</v>
      </c>
      <c r="R4427" s="20">
        <v>0</v>
      </c>
      <c r="S4427" s="20">
        <v>0.24</v>
      </c>
      <c r="T4427" s="20">
        <v>0.04</v>
      </c>
    </row>
    <row r="4428" spans="13:20" x14ac:dyDescent="0.2">
      <c r="M4428" s="20">
        <v>1.8395715759419593E-2</v>
      </c>
      <c r="N4428" s="20">
        <v>1.2715798903901688E-3</v>
      </c>
      <c r="O4428" s="20">
        <v>6.9123697442381477E-2</v>
      </c>
      <c r="P4428" s="20"/>
      <c r="Q4428" s="20">
        <v>0.95</v>
      </c>
      <c r="R4428" s="20">
        <v>5.0000000000000044E-2</v>
      </c>
      <c r="S4428" s="20"/>
      <c r="T4428" s="20"/>
    </row>
    <row r="4429" spans="13:20" x14ac:dyDescent="0.2">
      <c r="M4429" s="20">
        <v>1.5072756399316824E-2</v>
      </c>
      <c r="N4429" s="20">
        <v>1.2361828041629363E-3</v>
      </c>
      <c r="O4429" s="20">
        <v>8.2014382201451005E-2</v>
      </c>
      <c r="P4429" s="20"/>
      <c r="Q4429" s="20">
        <v>0.68</v>
      </c>
      <c r="R4429" s="20">
        <v>0.31999999999999995</v>
      </c>
      <c r="S4429" s="20"/>
      <c r="T4429" s="20"/>
    </row>
    <row r="4430" spans="13:20" x14ac:dyDescent="0.2">
      <c r="M4430" s="20">
        <v>1.0200049368475052E-2</v>
      </c>
      <c r="N4430" s="20">
        <v>8.3708479811782084E-4</v>
      </c>
      <c r="O4430" s="20">
        <v>8.2066739863531496E-2</v>
      </c>
      <c r="P4430" s="20"/>
      <c r="Q4430" s="20"/>
      <c r="R4430" s="20"/>
      <c r="S4430" s="20">
        <v>0.69</v>
      </c>
      <c r="T4430" s="20">
        <v>0.31000000000000016</v>
      </c>
    </row>
    <row r="4431" spans="13:20" x14ac:dyDescent="0.2">
      <c r="M4431" s="20">
        <v>1.4131033776610676E-2</v>
      </c>
      <c r="N4431" s="20">
        <v>1.4558268856246144E-3</v>
      </c>
      <c r="O4431" s="20">
        <v>0.10302338163215359</v>
      </c>
      <c r="P4431" s="20">
        <v>0.16</v>
      </c>
      <c r="Q4431" s="20">
        <v>0.59</v>
      </c>
      <c r="R4431" s="20">
        <v>0.24999999999999989</v>
      </c>
      <c r="S4431" s="20"/>
      <c r="T4431" s="20"/>
    </row>
    <row r="4432" spans="13:20" x14ac:dyDescent="0.2">
      <c r="M4432" s="20">
        <v>1.6605098630716873E-2</v>
      </c>
      <c r="N4432" s="20">
        <v>1.2532258456797521E-3</v>
      </c>
      <c r="O4432" s="20">
        <v>7.5472351808948457E-2</v>
      </c>
      <c r="P4432" s="20"/>
      <c r="Q4432" s="20">
        <v>0.81</v>
      </c>
      <c r="R4432" s="20">
        <v>0.19000000000000006</v>
      </c>
      <c r="S4432" s="20"/>
      <c r="T4432" s="20"/>
    </row>
    <row r="4433" spans="13:20" x14ac:dyDescent="0.2">
      <c r="M4433" s="20">
        <v>1.3005566087976737E-2</v>
      </c>
      <c r="N4433" s="20">
        <v>2.0026192987886095E-3</v>
      </c>
      <c r="O4433" s="20">
        <v>0.15398170946514755</v>
      </c>
      <c r="P4433" s="20">
        <v>0.45</v>
      </c>
      <c r="Q4433" s="20">
        <v>2.9999999999999916E-2</v>
      </c>
      <c r="R4433" s="20"/>
      <c r="S4433" s="20"/>
      <c r="T4433" s="20">
        <v>0.52</v>
      </c>
    </row>
    <row r="4434" spans="13:20" x14ac:dyDescent="0.2">
      <c r="M4434" s="20">
        <v>1.4319271568267726E-2</v>
      </c>
      <c r="N4434" s="20">
        <v>2.5146288786086829E-3</v>
      </c>
      <c r="O4434" s="20">
        <v>0.175611508352229</v>
      </c>
      <c r="P4434" s="20">
        <v>0.94</v>
      </c>
      <c r="Q4434" s="20">
        <v>6.0000000000000164E-2</v>
      </c>
      <c r="R4434" s="20"/>
      <c r="S4434" s="20"/>
      <c r="T4434" s="20"/>
    </row>
    <row r="4435" spans="13:20" x14ac:dyDescent="0.2">
      <c r="M4435" s="20">
        <v>9.3187560275488669E-3</v>
      </c>
      <c r="N4435" s="20">
        <v>9.1641340389186845E-4</v>
      </c>
      <c r="O4435" s="20">
        <v>9.8340744320668153E-2</v>
      </c>
      <c r="P4435" s="20"/>
      <c r="Q4435" s="20"/>
      <c r="R4435" s="20">
        <v>0.5</v>
      </c>
      <c r="S4435" s="20">
        <v>0.42</v>
      </c>
      <c r="T4435" s="20">
        <v>7.999999999999996E-2</v>
      </c>
    </row>
    <row r="4436" spans="13:20" x14ac:dyDescent="0.2">
      <c r="M4436" s="20">
        <v>1.0529371939342509E-2</v>
      </c>
      <c r="N4436" s="20">
        <v>1.6873484467765983E-3</v>
      </c>
      <c r="O4436" s="20">
        <v>0.16025157592466641</v>
      </c>
      <c r="P4436" s="20">
        <v>0.48</v>
      </c>
      <c r="Q4436" s="20">
        <v>0.06</v>
      </c>
      <c r="R4436" s="20">
        <v>0.2</v>
      </c>
      <c r="S4436" s="20">
        <v>0.26</v>
      </c>
      <c r="T4436" s="20"/>
    </row>
    <row r="4437" spans="13:20" x14ac:dyDescent="0.2">
      <c r="M4437" s="20">
        <v>1.2340821257156472E-2</v>
      </c>
      <c r="N4437" s="20">
        <v>1.6321195431811678E-3</v>
      </c>
      <c r="O4437" s="20">
        <v>0.13225372195020632</v>
      </c>
      <c r="P4437" s="20">
        <v>0.3</v>
      </c>
      <c r="Q4437" s="20">
        <v>0.39</v>
      </c>
      <c r="R4437" s="20">
        <v>0.31000000000000005</v>
      </c>
      <c r="S4437" s="20"/>
      <c r="T4437" s="20"/>
    </row>
    <row r="4438" spans="13:20" x14ac:dyDescent="0.2">
      <c r="M4438" s="20">
        <v>1.3424167007732985E-2</v>
      </c>
      <c r="N4438" s="20">
        <v>1.2152067530653171E-3</v>
      </c>
      <c r="O4438" s="20">
        <v>9.052381070388188E-2</v>
      </c>
      <c r="P4438" s="20"/>
      <c r="Q4438" s="20">
        <v>0.52</v>
      </c>
      <c r="R4438" s="20">
        <v>0.48000000000000009</v>
      </c>
      <c r="S4438" s="20"/>
      <c r="T4438" s="20"/>
    </row>
    <row r="4439" spans="13:20" x14ac:dyDescent="0.2">
      <c r="M4439" s="20">
        <v>1.2956551174077428E-2</v>
      </c>
      <c r="N4439" s="20">
        <v>2.1799499107217069E-3</v>
      </c>
      <c r="O4439" s="20">
        <v>0.16825078536973634</v>
      </c>
      <c r="P4439" s="20">
        <v>0.61</v>
      </c>
      <c r="Q4439" s="20"/>
      <c r="R4439" s="20"/>
      <c r="S4439" s="20"/>
      <c r="T4439" s="20">
        <v>0.39</v>
      </c>
    </row>
    <row r="4440" spans="13:20" x14ac:dyDescent="0.2">
      <c r="M4440" s="20">
        <v>1.4210476746707952E-2</v>
      </c>
      <c r="N4440" s="20">
        <v>1.2256947786141266E-3</v>
      </c>
      <c r="O4440" s="20">
        <v>8.625289639899486E-2</v>
      </c>
      <c r="P4440" s="20"/>
      <c r="Q4440" s="20">
        <v>0.6</v>
      </c>
      <c r="R4440" s="20">
        <v>0.39999999999999991</v>
      </c>
      <c r="S4440" s="20"/>
      <c r="T4440" s="20"/>
    </row>
    <row r="4441" spans="13:20" x14ac:dyDescent="0.2">
      <c r="M4441" s="20">
        <v>9.5732977198468207E-3</v>
      </c>
      <c r="N4441" s="20">
        <v>8.917599296977269E-4</v>
      </c>
      <c r="O4441" s="20">
        <v>9.3150757011241855E-2</v>
      </c>
      <c r="P4441" s="20"/>
      <c r="Q4441" s="20"/>
      <c r="R4441" s="20">
        <v>0.59</v>
      </c>
      <c r="S4441" s="20">
        <v>0.41000000000000003</v>
      </c>
      <c r="T4441" s="20"/>
    </row>
    <row r="4442" spans="13:20" x14ac:dyDescent="0.2">
      <c r="M4442" s="20">
        <v>1.0444953040813672E-2</v>
      </c>
      <c r="N4442" s="20">
        <v>1.0723200531540561E-3</v>
      </c>
      <c r="O4442" s="20">
        <v>0.10266394199801222</v>
      </c>
      <c r="P4442" s="20"/>
      <c r="Q4442" s="20"/>
      <c r="R4442" s="20">
        <v>0.88</v>
      </c>
      <c r="S4442" s="20">
        <v>0.12</v>
      </c>
      <c r="T4442" s="20"/>
    </row>
    <row r="4443" spans="13:20" x14ac:dyDescent="0.2">
      <c r="M4443" s="20">
        <v>1.4932426661820441E-2</v>
      </c>
      <c r="N4443" s="20">
        <v>1.7332875853791718E-3</v>
      </c>
      <c r="O4443" s="20">
        <v>0.11607541256578743</v>
      </c>
      <c r="P4443" s="20">
        <v>0.35</v>
      </c>
      <c r="Q4443" s="20">
        <v>0.61</v>
      </c>
      <c r="R4443" s="20">
        <v>0.04</v>
      </c>
      <c r="S4443" s="20">
        <v>0</v>
      </c>
      <c r="T4443" s="20"/>
    </row>
    <row r="4444" spans="13:20" x14ac:dyDescent="0.2">
      <c r="M4444" s="20">
        <v>1.3806985054193305E-2</v>
      </c>
      <c r="N4444" s="20">
        <v>1.2204507658397218E-3</v>
      </c>
      <c r="O4444" s="20">
        <v>8.8393719631720755E-2</v>
      </c>
      <c r="P4444" s="20"/>
      <c r="Q4444" s="20">
        <v>0.56000000000000005</v>
      </c>
      <c r="R4444" s="20">
        <v>0.43999999999999995</v>
      </c>
      <c r="S4444" s="20"/>
      <c r="T4444" s="20"/>
    </row>
    <row r="4445" spans="13:20" x14ac:dyDescent="0.2">
      <c r="M4445" s="20">
        <v>1.1618843258280597E-2</v>
      </c>
      <c r="N4445" s="20">
        <v>1.1824316732252866E-3</v>
      </c>
      <c r="O4445" s="20">
        <v>0.10176845034746321</v>
      </c>
      <c r="P4445" s="20"/>
      <c r="Q4445" s="20">
        <v>0.27</v>
      </c>
      <c r="R4445" s="20">
        <v>0.72999999999999987</v>
      </c>
      <c r="S4445" s="20"/>
      <c r="T4445" s="20"/>
    </row>
    <row r="4446" spans="13:20" x14ac:dyDescent="0.2">
      <c r="M4446" s="20">
        <v>9.5973862690342821E-3</v>
      </c>
      <c r="N4446" s="20">
        <v>9.1043856315872643E-4</v>
      </c>
      <c r="O4446" s="20">
        <v>9.486317812342647E-2</v>
      </c>
      <c r="P4446" s="20"/>
      <c r="Q4446" s="20"/>
      <c r="R4446" s="20">
        <v>0.62</v>
      </c>
      <c r="S4446" s="20">
        <v>0.37999999999999989</v>
      </c>
      <c r="T4446" s="20"/>
    </row>
    <row r="4447" spans="13:20" x14ac:dyDescent="0.2">
      <c r="M4447" s="20">
        <v>1.5081169588307183E-2</v>
      </c>
      <c r="N4447" s="20">
        <v>1.6708986921962891E-3</v>
      </c>
      <c r="O4447" s="20">
        <v>0.1107937075047402</v>
      </c>
      <c r="P4447" s="20">
        <v>0.13000000000000012</v>
      </c>
      <c r="Q4447" s="20"/>
      <c r="R4447" s="20"/>
      <c r="S4447" s="20"/>
      <c r="T4447" s="20">
        <v>0.87</v>
      </c>
    </row>
    <row r="4448" spans="13:20" x14ac:dyDescent="0.2">
      <c r="M4448" s="20">
        <v>1.3137086450399392E-2</v>
      </c>
      <c r="N4448" s="20">
        <v>2.1489776908177063E-3</v>
      </c>
      <c r="O4448" s="20">
        <v>0.16358099635953702</v>
      </c>
      <c r="P4448" s="20">
        <v>0.67</v>
      </c>
      <c r="Q4448" s="20">
        <v>0.25</v>
      </c>
      <c r="R4448" s="20">
        <v>7.999999999999996E-2</v>
      </c>
      <c r="S4448" s="20"/>
      <c r="T4448" s="20"/>
    </row>
    <row r="4449" spans="13:20" x14ac:dyDescent="0.2">
      <c r="M4449" s="20">
        <v>9.7939735866188482E-3</v>
      </c>
      <c r="N4449" s="20">
        <v>7.7346191777806321E-4</v>
      </c>
      <c r="O4449" s="20">
        <v>7.8973249308617322E-2</v>
      </c>
      <c r="P4449" s="20"/>
      <c r="Q4449" s="20"/>
      <c r="R4449" s="20">
        <v>0.4</v>
      </c>
      <c r="S4449" s="20">
        <v>0.60000000000000009</v>
      </c>
      <c r="T4449" s="20"/>
    </row>
    <row r="4450" spans="13:20" x14ac:dyDescent="0.2">
      <c r="M4450" s="20">
        <v>1.1963976034063286E-2</v>
      </c>
      <c r="N4450" s="20">
        <v>1.4269848153653877E-3</v>
      </c>
      <c r="O4450" s="20">
        <v>0.11927345986840342</v>
      </c>
      <c r="P4450" s="20">
        <v>0.16</v>
      </c>
      <c r="Q4450" s="20">
        <v>0.37</v>
      </c>
      <c r="R4450" s="20">
        <v>0.47</v>
      </c>
      <c r="S4450" s="20"/>
      <c r="T4450" s="20"/>
    </row>
    <row r="4451" spans="13:20" x14ac:dyDescent="0.2">
      <c r="M4451" s="20">
        <v>1.2336244119357681E-2</v>
      </c>
      <c r="N4451" s="20">
        <v>1.8543856310300482E-3</v>
      </c>
      <c r="O4451" s="20">
        <v>0.15032011470332363</v>
      </c>
      <c r="P4451" s="20">
        <v>0.46</v>
      </c>
      <c r="Q4451" s="20">
        <v>0.32</v>
      </c>
      <c r="R4451" s="20">
        <v>0.21999999999999997</v>
      </c>
      <c r="S4451" s="20"/>
      <c r="T4451" s="20"/>
    </row>
    <row r="4452" spans="13:20" x14ac:dyDescent="0.2">
      <c r="M4452" s="20">
        <v>9.6213570649024503E-3</v>
      </c>
      <c r="N4452" s="20">
        <v>1.397042241951015E-3</v>
      </c>
      <c r="O4452" s="20">
        <v>0.14520220302884887</v>
      </c>
      <c r="P4452" s="20">
        <v>0.29000000000000004</v>
      </c>
      <c r="Q4452" s="20"/>
      <c r="R4452" s="20">
        <v>0.13</v>
      </c>
      <c r="S4452" s="20">
        <v>0.39</v>
      </c>
      <c r="T4452" s="20">
        <v>0.19</v>
      </c>
    </row>
    <row r="4453" spans="13:20" x14ac:dyDescent="0.2">
      <c r="M4453" s="20">
        <v>1.6100360939876667E-2</v>
      </c>
      <c r="N4453" s="20">
        <v>1.5542411212842138E-3</v>
      </c>
      <c r="O4453" s="20">
        <v>9.6534551435722024E-2</v>
      </c>
      <c r="P4453" s="20">
        <v>2.0000000000000018E-2</v>
      </c>
      <c r="Q4453" s="20"/>
      <c r="R4453" s="20"/>
      <c r="S4453" s="20"/>
      <c r="T4453" s="20">
        <v>0.98</v>
      </c>
    </row>
    <row r="4454" spans="13:20" x14ac:dyDescent="0.2">
      <c r="M4454" s="20">
        <v>1.3168675081074038E-2</v>
      </c>
      <c r="N4454" s="20">
        <v>1.8426586792933096E-3</v>
      </c>
      <c r="O4454" s="20">
        <v>0.13992741623199212</v>
      </c>
      <c r="P4454" s="20">
        <v>0.33000000000000007</v>
      </c>
      <c r="Q4454" s="20"/>
      <c r="R4454" s="20"/>
      <c r="S4454" s="20">
        <v>0.04</v>
      </c>
      <c r="T4454" s="20">
        <v>0.63</v>
      </c>
    </row>
    <row r="4455" spans="13:20" x14ac:dyDescent="0.2">
      <c r="M4455" s="20">
        <v>9.5218121088985318E-3</v>
      </c>
      <c r="N4455" s="20">
        <v>8.1679402543320451E-4</v>
      </c>
      <c r="O4455" s="20">
        <v>8.5781363472807487E-2</v>
      </c>
      <c r="P4455" s="20"/>
      <c r="Q4455" s="20"/>
      <c r="R4455" s="20">
        <v>0.34</v>
      </c>
      <c r="S4455" s="20">
        <v>0.57999999999999996</v>
      </c>
      <c r="T4455" s="20">
        <v>8.0000000000000182E-2</v>
      </c>
    </row>
    <row r="4456" spans="13:20" x14ac:dyDescent="0.2">
      <c r="M4456" s="20">
        <v>1.8019843742304132E-2</v>
      </c>
      <c r="N4456" s="20">
        <v>1.2965772695848763E-3</v>
      </c>
      <c r="O4456" s="20">
        <v>7.1952747655684587E-2</v>
      </c>
      <c r="P4456" s="20">
        <v>0.02</v>
      </c>
      <c r="Q4456" s="20">
        <v>0.92</v>
      </c>
      <c r="R4456" s="20">
        <v>5.9999999999999942E-2</v>
      </c>
      <c r="S4456" s="20"/>
      <c r="T4456" s="20"/>
    </row>
    <row r="4457" spans="13:20" x14ac:dyDescent="0.2">
      <c r="M4457" s="20">
        <v>9.6732236482298221E-3</v>
      </c>
      <c r="N4457" s="20">
        <v>1.0246252439893896E-3</v>
      </c>
      <c r="O4457" s="20">
        <v>0.10592386584351263</v>
      </c>
      <c r="P4457" s="20"/>
      <c r="Q4457" s="20"/>
      <c r="R4457" s="20">
        <v>0.69</v>
      </c>
      <c r="S4457" s="20">
        <v>0.24</v>
      </c>
      <c r="T4457" s="20">
        <v>6.9999999999999951E-2</v>
      </c>
    </row>
    <row r="4458" spans="13:20" x14ac:dyDescent="0.2">
      <c r="M4458" s="20">
        <v>1.8263847217394925E-2</v>
      </c>
      <c r="N4458" s="20">
        <v>1.2702688871965675E-3</v>
      </c>
      <c r="O4458" s="20">
        <v>6.9551002703676423E-2</v>
      </c>
      <c r="P4458" s="20"/>
      <c r="Q4458" s="20">
        <v>0.94</v>
      </c>
      <c r="R4458" s="20">
        <v>5.9999999999999942E-2</v>
      </c>
      <c r="S4458" s="20"/>
      <c r="T4458" s="20"/>
    </row>
    <row r="4459" spans="13:20" x14ac:dyDescent="0.2">
      <c r="M4459" s="20">
        <v>1.8794551774568874E-2</v>
      </c>
      <c r="N4459" s="20">
        <v>1.2755128999709724E-3</v>
      </c>
      <c r="O4459" s="20">
        <v>6.7866098392241725E-2</v>
      </c>
      <c r="P4459" s="20"/>
      <c r="Q4459" s="20">
        <v>0.98</v>
      </c>
      <c r="R4459" s="20">
        <v>2.0000000000000018E-2</v>
      </c>
      <c r="S4459" s="20"/>
      <c r="T4459" s="20"/>
    </row>
    <row r="4460" spans="13:20" x14ac:dyDescent="0.2">
      <c r="M4460" s="20">
        <v>1.395873396845901E-2</v>
      </c>
      <c r="N4460" s="20">
        <v>2.3830869666671395E-3</v>
      </c>
      <c r="O4460" s="20">
        <v>0.17072371835812147</v>
      </c>
      <c r="P4460" s="20">
        <v>0.84</v>
      </c>
      <c r="Q4460" s="20">
        <v>0.16000000000000003</v>
      </c>
      <c r="R4460" s="20"/>
      <c r="S4460" s="20"/>
      <c r="T4460" s="20"/>
    </row>
    <row r="4461" spans="13:20" x14ac:dyDescent="0.2">
      <c r="M4461" s="20">
        <v>1.3900120420019861E-2</v>
      </c>
      <c r="N4461" s="20">
        <v>2.1331573339782072E-3</v>
      </c>
      <c r="O4461" s="20">
        <v>0.15346322690168171</v>
      </c>
      <c r="P4461" s="20">
        <v>0.65</v>
      </c>
      <c r="Q4461" s="20">
        <v>0.35</v>
      </c>
      <c r="R4461" s="20"/>
      <c r="S4461" s="20"/>
      <c r="T4461" s="20"/>
    </row>
    <row r="4462" spans="13:20" x14ac:dyDescent="0.2">
      <c r="M4462" s="20">
        <v>1.4087966762898614E-2</v>
      </c>
      <c r="N4462" s="20">
        <v>2.0410779956191267E-3</v>
      </c>
      <c r="O4462" s="20">
        <v>0.14488094910859745</v>
      </c>
      <c r="P4462" s="20">
        <v>0.57999999999999996</v>
      </c>
      <c r="Q4462" s="20">
        <v>0.41999999999999993</v>
      </c>
      <c r="R4462" s="20"/>
      <c r="S4462" s="20"/>
      <c r="T4462" s="20"/>
    </row>
    <row r="4463" spans="13:20" x14ac:dyDescent="0.2">
      <c r="M4463" s="20">
        <v>1.3937612922088958E-2</v>
      </c>
      <c r="N4463" s="20">
        <v>2.4875016885808135E-3</v>
      </c>
      <c r="O4463" s="20">
        <v>0.17847401147426825</v>
      </c>
      <c r="P4463" s="20">
        <v>0.9</v>
      </c>
      <c r="Q4463" s="20"/>
      <c r="R4463" s="20"/>
      <c r="S4463" s="20"/>
      <c r="T4463" s="20">
        <v>0.1</v>
      </c>
    </row>
    <row r="4464" spans="13:20" x14ac:dyDescent="0.2">
      <c r="M4464" s="20">
        <v>1.0617977917769928E-2</v>
      </c>
      <c r="N4464" s="20">
        <v>1.438615604256995E-3</v>
      </c>
      <c r="O4464" s="20">
        <v>0.13548866040203109</v>
      </c>
      <c r="P4464" s="20">
        <v>0.13</v>
      </c>
      <c r="Q4464" s="20">
        <v>0.01</v>
      </c>
      <c r="R4464" s="20">
        <v>0.36</v>
      </c>
      <c r="S4464" s="20">
        <v>9.000000000000008E-2</v>
      </c>
      <c r="T4464" s="20">
        <v>0.41</v>
      </c>
    </row>
    <row r="4465" spans="13:20" x14ac:dyDescent="0.2">
      <c r="M4465" s="20">
        <v>1.3826620564832231E-2</v>
      </c>
      <c r="N4465" s="20">
        <v>2.2646992459197505E-3</v>
      </c>
      <c r="O4465" s="20">
        <v>0.16379268059759836</v>
      </c>
      <c r="P4465" s="20">
        <v>0.75</v>
      </c>
      <c r="Q4465" s="20">
        <v>0.24999999999999989</v>
      </c>
      <c r="R4465" s="20"/>
      <c r="S4465" s="20"/>
      <c r="T4465" s="20"/>
    </row>
    <row r="4466" spans="13:20" x14ac:dyDescent="0.2">
      <c r="M4466" s="20">
        <v>9.5663214340211758E-3</v>
      </c>
      <c r="N4466" s="20">
        <v>8.6685508508306086E-4</v>
      </c>
      <c r="O4466" s="20">
        <v>9.0615299837220803E-2</v>
      </c>
      <c r="P4466" s="20"/>
      <c r="Q4466" s="20"/>
      <c r="R4466" s="20">
        <v>0.55000000000000004</v>
      </c>
      <c r="S4466" s="20">
        <v>0.44999999999999996</v>
      </c>
      <c r="T4466" s="20"/>
    </row>
    <row r="4467" spans="13:20" x14ac:dyDescent="0.2">
      <c r="M4467" s="20">
        <v>9.8880402040913088E-3</v>
      </c>
      <c r="N4467" s="20">
        <v>9.8777510338992724E-4</v>
      </c>
      <c r="O4467" s="20">
        <v>9.9895943281179442E-2</v>
      </c>
      <c r="P4467" s="20"/>
      <c r="Q4467" s="20">
        <v>0.02</v>
      </c>
      <c r="R4467" s="20">
        <v>0.72</v>
      </c>
      <c r="S4467" s="20">
        <v>0.26</v>
      </c>
      <c r="T4467" s="20"/>
    </row>
    <row r="4468" spans="13:20" x14ac:dyDescent="0.2">
      <c r="M4468" s="20">
        <v>1.1642007531275412E-2</v>
      </c>
      <c r="N4468" s="20">
        <v>2.1188246173648785E-3</v>
      </c>
      <c r="O4468" s="20">
        <v>0.18199821737555225</v>
      </c>
      <c r="P4468" s="20">
        <v>0.67</v>
      </c>
      <c r="Q4468" s="20">
        <v>0.02</v>
      </c>
      <c r="R4468" s="20">
        <v>0.30999999999999994</v>
      </c>
      <c r="S4468" s="20"/>
      <c r="T4468" s="20"/>
    </row>
    <row r="4469" spans="13:20" x14ac:dyDescent="0.2">
      <c r="M4469" s="20">
        <v>1.4419436350020146E-2</v>
      </c>
      <c r="N4469" s="20">
        <v>1.228316785001329E-3</v>
      </c>
      <c r="O4469" s="20">
        <v>8.5184798849617521E-2</v>
      </c>
      <c r="P4469" s="20"/>
      <c r="Q4469" s="20">
        <v>0.62</v>
      </c>
      <c r="R4469" s="20">
        <v>0.38</v>
      </c>
      <c r="S4469" s="20"/>
      <c r="T4469" s="20"/>
    </row>
    <row r="4470" spans="13:20" x14ac:dyDescent="0.2">
      <c r="M4470" s="20">
        <v>1.409250508640581E-2</v>
      </c>
      <c r="N4470" s="20">
        <v>1.8087667305469227E-3</v>
      </c>
      <c r="O4470" s="20">
        <v>0.12834955314592938</v>
      </c>
      <c r="P4470" s="20">
        <v>0.26</v>
      </c>
      <c r="Q4470" s="20"/>
      <c r="R4470" s="20"/>
      <c r="S4470" s="20"/>
      <c r="T4470" s="20">
        <v>0.74</v>
      </c>
    </row>
    <row r="4471" spans="13:20" x14ac:dyDescent="0.2">
      <c r="M4471" s="20">
        <v>9.4312372224460879E-3</v>
      </c>
      <c r="N4471" s="20">
        <v>8.3933261956267951E-4</v>
      </c>
      <c r="O4471" s="20">
        <v>8.8994964262492607E-2</v>
      </c>
      <c r="P4471" s="20"/>
      <c r="Q4471" s="20"/>
      <c r="R4471" s="20">
        <v>0.36</v>
      </c>
      <c r="S4471" s="20">
        <v>0.55000000000000004</v>
      </c>
      <c r="T4471" s="20">
        <v>8.9999999999999858E-2</v>
      </c>
    </row>
    <row r="4472" spans="13:20" x14ac:dyDescent="0.2">
      <c r="M4472" s="20">
        <v>1.2197129918631033E-2</v>
      </c>
      <c r="N4472" s="20">
        <v>2.0543205053295656E-3</v>
      </c>
      <c r="O4472" s="20">
        <v>0.16842654944517765</v>
      </c>
      <c r="P4472" s="20">
        <v>0.61</v>
      </c>
      <c r="Q4472" s="20">
        <v>0.19</v>
      </c>
      <c r="R4472" s="20">
        <v>0.19999999999999996</v>
      </c>
      <c r="S4472" s="20"/>
      <c r="T4472" s="20"/>
    </row>
    <row r="4473" spans="13:20" x14ac:dyDescent="0.2">
      <c r="M4473" s="20">
        <v>1.4229806726489979E-2</v>
      </c>
      <c r="N4473" s="20">
        <v>2.4883204962203747E-3</v>
      </c>
      <c r="O4473" s="20">
        <v>0.17486678097940414</v>
      </c>
      <c r="P4473" s="20">
        <v>0.92</v>
      </c>
      <c r="Q4473" s="20">
        <v>7.999999999999996E-2</v>
      </c>
      <c r="R4473" s="20"/>
      <c r="S4473" s="20"/>
      <c r="T4473" s="20"/>
    </row>
    <row r="4474" spans="13:20" x14ac:dyDescent="0.2">
      <c r="M4474" s="20">
        <v>9.6555161853307987E-3</v>
      </c>
      <c r="N4474" s="20">
        <v>8.1081918470006216E-4</v>
      </c>
      <c r="O4474" s="20">
        <v>8.3974711360528198E-2</v>
      </c>
      <c r="P4474" s="20"/>
      <c r="Q4474" s="20"/>
      <c r="R4474" s="20">
        <v>0.46</v>
      </c>
      <c r="S4474" s="20">
        <v>0.53999999999999992</v>
      </c>
      <c r="T4474" s="20"/>
    </row>
    <row r="4475" spans="13:20" x14ac:dyDescent="0.2">
      <c r="M4475" s="20">
        <v>1.2002879915162856E-2</v>
      </c>
      <c r="N4475" s="20">
        <v>1.7083635939084047E-3</v>
      </c>
      <c r="O4475" s="20">
        <v>0.14232947475799398</v>
      </c>
      <c r="P4475" s="20">
        <v>0.25</v>
      </c>
      <c r="Q4475" s="20">
        <v>0.11</v>
      </c>
      <c r="R4475" s="20">
        <v>0.16000000000000014</v>
      </c>
      <c r="S4475" s="20"/>
      <c r="T4475" s="20">
        <v>0.48</v>
      </c>
    </row>
    <row r="4476" spans="13:20" x14ac:dyDescent="0.2">
      <c r="M4476" s="20">
        <v>9.6555161853307987E-3</v>
      </c>
      <c r="N4476" s="20">
        <v>8.1081918470006216E-4</v>
      </c>
      <c r="O4476" s="20">
        <v>8.3974711360528198E-2</v>
      </c>
      <c r="P4476" s="20"/>
      <c r="Q4476" s="20"/>
      <c r="R4476" s="20">
        <v>0.46</v>
      </c>
      <c r="S4476" s="20">
        <v>0.53999999999999992</v>
      </c>
      <c r="T4476" s="20"/>
    </row>
    <row r="4477" spans="13:20" x14ac:dyDescent="0.2">
      <c r="M4477" s="20">
        <v>9.6742806607821898E-3</v>
      </c>
      <c r="N4477" s="20">
        <v>8.0459297354639576E-4</v>
      </c>
      <c r="O4477" s="20">
        <v>8.3168248033993086E-2</v>
      </c>
      <c r="P4477" s="20"/>
      <c r="Q4477" s="20"/>
      <c r="R4477" s="20">
        <v>0.45</v>
      </c>
      <c r="S4477" s="20">
        <v>0.55000000000000004</v>
      </c>
      <c r="T4477" s="20"/>
    </row>
    <row r="4478" spans="13:20" x14ac:dyDescent="0.2">
      <c r="M4478" s="20">
        <v>9.8517444126806422E-3</v>
      </c>
      <c r="N4478" s="20">
        <v>9.8515309700272476E-4</v>
      </c>
      <c r="O4478" s="20">
        <v>9.9997833453199209E-2</v>
      </c>
      <c r="P4478" s="20"/>
      <c r="Q4478" s="20"/>
      <c r="R4478" s="20">
        <v>0.74</v>
      </c>
      <c r="S4478" s="20">
        <v>0.2599999999999999</v>
      </c>
      <c r="T4478" s="20"/>
    </row>
    <row r="4479" spans="13:20" x14ac:dyDescent="0.2">
      <c r="M4479" s="20">
        <v>1.5163825745194537E-2</v>
      </c>
      <c r="N4479" s="20">
        <v>1.4531607199792693E-3</v>
      </c>
      <c r="O4479" s="20">
        <v>9.5830745116533708E-2</v>
      </c>
      <c r="P4479" s="20">
        <v>0.15</v>
      </c>
      <c r="Q4479" s="20">
        <v>0.68</v>
      </c>
      <c r="R4479" s="20">
        <v>0.16999999999999982</v>
      </c>
      <c r="S4479" s="20"/>
      <c r="T4479" s="20"/>
    </row>
    <row r="4480" spans="13:20" x14ac:dyDescent="0.2">
      <c r="M4480" s="20">
        <v>1.2468965226223755E-2</v>
      </c>
      <c r="N4480" s="20">
        <v>2.0692384603540163E-3</v>
      </c>
      <c r="O4480" s="20">
        <v>0.16595109720910561</v>
      </c>
      <c r="P4480" s="20">
        <v>0.67</v>
      </c>
      <c r="Q4480" s="20">
        <v>0.13</v>
      </c>
      <c r="R4480" s="20">
        <v>0</v>
      </c>
      <c r="S4480" s="20">
        <v>0.14000000000000001</v>
      </c>
      <c r="T4480" s="20">
        <v>0.06</v>
      </c>
    </row>
    <row r="4481" spans="13:20" x14ac:dyDescent="0.2">
      <c r="M4481" s="20">
        <v>1.1037677669451181E-2</v>
      </c>
      <c r="N4481" s="20">
        <v>1.1345821646907212E-3</v>
      </c>
      <c r="O4481" s="20">
        <v>0.10279174647678721</v>
      </c>
      <c r="P4481" s="20"/>
      <c r="Q4481" s="20"/>
      <c r="R4481" s="20">
        <v>0.98</v>
      </c>
      <c r="S4481" s="20">
        <v>2.0000000000000018E-2</v>
      </c>
      <c r="T4481" s="20"/>
    </row>
    <row r="4482" spans="13:20" x14ac:dyDescent="0.2">
      <c r="M4482" s="20">
        <v>1.3268784103789988E-2</v>
      </c>
      <c r="N4482" s="20">
        <v>1.9784504700553953E-3</v>
      </c>
      <c r="O4482" s="20">
        <v>0.14910563429020499</v>
      </c>
      <c r="P4482" s="20">
        <v>0.42000000000000004</v>
      </c>
      <c r="Q4482" s="20"/>
      <c r="R4482" s="20"/>
      <c r="S4482" s="20"/>
      <c r="T4482" s="20">
        <v>0.57999999999999996</v>
      </c>
    </row>
    <row r="4483" spans="13:20" x14ac:dyDescent="0.2">
      <c r="M4483" s="20">
        <v>1.5511284098905344E-2</v>
      </c>
      <c r="N4483" s="20">
        <v>1.5138964339956437E-3</v>
      </c>
      <c r="O4483" s="20">
        <v>9.7599684484051319E-2</v>
      </c>
      <c r="P4483" s="20">
        <v>2.0000000000000018E-2</v>
      </c>
      <c r="Q4483" s="20"/>
      <c r="R4483" s="20"/>
      <c r="S4483" s="20">
        <v>0.04</v>
      </c>
      <c r="T4483" s="20">
        <v>0.94</v>
      </c>
    </row>
    <row r="4484" spans="13:20" x14ac:dyDescent="0.2">
      <c r="M4484" s="20">
        <v>9.7052461331794283E-3</v>
      </c>
      <c r="N4484" s="20">
        <v>9.1437157273953004E-4</v>
      </c>
      <c r="O4484" s="20">
        <v>9.4214155951548528E-2</v>
      </c>
      <c r="P4484" s="20"/>
      <c r="Q4484" s="20">
        <v>0.03</v>
      </c>
      <c r="R4484" s="20">
        <v>0.59</v>
      </c>
      <c r="S4484" s="20">
        <v>0.38</v>
      </c>
      <c r="T4484" s="20"/>
    </row>
    <row r="4485" spans="13:20" x14ac:dyDescent="0.2">
      <c r="M4485" s="20">
        <v>1.1150785629704592E-2</v>
      </c>
      <c r="N4485" s="20">
        <v>1.168760782304394E-3</v>
      </c>
      <c r="O4485" s="20">
        <v>0.10481420960967366</v>
      </c>
      <c r="P4485" s="20">
        <v>0.02</v>
      </c>
      <c r="Q4485" s="20">
        <v>0.23</v>
      </c>
      <c r="R4485" s="20">
        <v>0.69</v>
      </c>
      <c r="S4485" s="20">
        <v>6.0000000000000164E-2</v>
      </c>
      <c r="T4485" s="20"/>
    </row>
    <row r="4486" spans="13:20" x14ac:dyDescent="0.2">
      <c r="M4486" s="20">
        <v>1.6925294805887697E-2</v>
      </c>
      <c r="N4486" s="20">
        <v>1.4715147646896865E-3</v>
      </c>
      <c r="O4486" s="20">
        <v>8.6941750886241564E-2</v>
      </c>
      <c r="P4486" s="20">
        <v>0.15</v>
      </c>
      <c r="Q4486" s="20">
        <v>0.82</v>
      </c>
      <c r="R4486" s="20">
        <v>3.0000000000000027E-2</v>
      </c>
      <c r="S4486" s="20"/>
      <c r="T4486" s="20"/>
    </row>
    <row r="4487" spans="13:20" x14ac:dyDescent="0.2">
      <c r="M4487" s="20">
        <v>1.0275359886113562E-2</v>
      </c>
      <c r="N4487" s="20">
        <v>1.1549913664156686E-3</v>
      </c>
      <c r="O4487" s="20">
        <v>0.11240398187673792</v>
      </c>
      <c r="P4487" s="20"/>
      <c r="Q4487" s="20"/>
      <c r="R4487" s="20">
        <v>0.3</v>
      </c>
      <c r="S4487" s="20">
        <v>0.26</v>
      </c>
      <c r="T4487" s="20">
        <v>0.43999999999999984</v>
      </c>
    </row>
    <row r="4488" spans="13:20" x14ac:dyDescent="0.2">
      <c r="M4488" s="20">
        <v>1.4830630810695749E-2</v>
      </c>
      <c r="N4488" s="20">
        <v>1.7027143933541272E-3</v>
      </c>
      <c r="O4488" s="20">
        <v>0.11481065202743375</v>
      </c>
      <c r="P4488" s="20">
        <v>0.16000000000000003</v>
      </c>
      <c r="Q4488" s="20"/>
      <c r="R4488" s="20"/>
      <c r="S4488" s="20"/>
      <c r="T4488" s="20">
        <v>0.84</v>
      </c>
    </row>
    <row r="4489" spans="13:20" x14ac:dyDescent="0.2">
      <c r="M4489" s="20">
        <v>1.1316847661369096E-2</v>
      </c>
      <c r="N4489" s="20">
        <v>6.0510284620854231E-4</v>
      </c>
      <c r="O4489" s="20">
        <v>5.34692048806229E-2</v>
      </c>
      <c r="P4489" s="20"/>
      <c r="Q4489" s="20"/>
      <c r="R4489" s="20"/>
      <c r="S4489" s="20">
        <v>0.92</v>
      </c>
      <c r="T4489" s="20">
        <v>7.9999999999999849E-2</v>
      </c>
    </row>
    <row r="4490" spans="13:20" x14ac:dyDescent="0.2">
      <c r="M4490" s="20">
        <v>1.774207684011481E-2</v>
      </c>
      <c r="N4490" s="20">
        <v>1.2650248744221632E-3</v>
      </c>
      <c r="O4490" s="20">
        <v>7.1300833934049027E-2</v>
      </c>
      <c r="P4490" s="20"/>
      <c r="Q4490" s="20">
        <v>0.9</v>
      </c>
      <c r="R4490" s="20">
        <v>0.10000000000000009</v>
      </c>
      <c r="S4490" s="20"/>
      <c r="T4490" s="20"/>
    </row>
    <row r="4491" spans="13:20" x14ac:dyDescent="0.2">
      <c r="M4491" s="20">
        <v>1.3824281704775376E-2</v>
      </c>
      <c r="N4491" s="20">
        <v>2.2252366723372876E-3</v>
      </c>
      <c r="O4491" s="20">
        <v>0.16096580783424108</v>
      </c>
      <c r="P4491" s="20">
        <v>0.72</v>
      </c>
      <c r="Q4491" s="20">
        <v>0.28000000000000014</v>
      </c>
      <c r="R4491" s="20"/>
      <c r="S4491" s="20"/>
      <c r="T4491" s="20"/>
    </row>
    <row r="4492" spans="13:20" x14ac:dyDescent="0.2">
      <c r="M4492" s="20">
        <v>1.1078226110210934E-2</v>
      </c>
      <c r="N4492" s="20">
        <v>6.353613616749699E-4</v>
      </c>
      <c r="O4492" s="20">
        <v>5.7352265187054607E-2</v>
      </c>
      <c r="P4492" s="20"/>
      <c r="Q4492" s="20"/>
      <c r="R4492" s="20"/>
      <c r="S4492" s="20">
        <v>0.89</v>
      </c>
      <c r="T4492" s="20">
        <v>0.10999999999999988</v>
      </c>
    </row>
    <row r="4493" spans="13:20" x14ac:dyDescent="0.2">
      <c r="M4493" s="20">
        <v>1.6118413230157853E-2</v>
      </c>
      <c r="N4493" s="20">
        <v>1.2479818329053469E-3</v>
      </c>
      <c r="O4493" s="20">
        <v>7.7425849249872156E-2</v>
      </c>
      <c r="P4493" s="20"/>
      <c r="Q4493" s="20">
        <v>0.77</v>
      </c>
      <c r="R4493" s="20">
        <v>0.22999999999999987</v>
      </c>
      <c r="S4493" s="20"/>
      <c r="T4493" s="20"/>
    </row>
    <row r="4494" spans="13:20" x14ac:dyDescent="0.2">
      <c r="M4494" s="20">
        <v>1.0234777413205347E-2</v>
      </c>
      <c r="N4494" s="20">
        <v>1.4453693992837182E-3</v>
      </c>
      <c r="O4494" s="20">
        <v>0.14122138087916214</v>
      </c>
      <c r="P4494" s="20">
        <v>0.2</v>
      </c>
      <c r="Q4494" s="20">
        <v>0.01</v>
      </c>
      <c r="R4494" s="20">
        <v>0.76999999999999991</v>
      </c>
      <c r="S4494" s="20"/>
      <c r="T4494" s="20">
        <v>0.02</v>
      </c>
    </row>
    <row r="4495" spans="13:20" x14ac:dyDescent="0.2">
      <c r="M4495" s="20">
        <v>1.1130790395669004E-2</v>
      </c>
      <c r="N4495" s="20">
        <v>1.1601446189340662E-3</v>
      </c>
      <c r="O4495" s="20">
        <v>0.10422841305011719</v>
      </c>
      <c r="P4495" s="20"/>
      <c r="Q4495" s="20">
        <v>0.1</v>
      </c>
      <c r="R4495" s="20">
        <v>0.89999999999999991</v>
      </c>
      <c r="S4495" s="20"/>
      <c r="T4495" s="20"/>
    </row>
    <row r="4496" spans="13:20" x14ac:dyDescent="0.2">
      <c r="M4496" s="20">
        <v>1.1766506833316757E-2</v>
      </c>
      <c r="N4496" s="20">
        <v>5.5467198709782998E-4</v>
      </c>
      <c r="O4496" s="20">
        <v>4.713990268779527E-2</v>
      </c>
      <c r="P4496" s="20"/>
      <c r="Q4496" s="20"/>
      <c r="R4496" s="20"/>
      <c r="S4496" s="20">
        <v>0.97</v>
      </c>
      <c r="T4496" s="20">
        <v>3.0000000000000027E-2</v>
      </c>
    </row>
    <row r="4497" spans="13:20" x14ac:dyDescent="0.2">
      <c r="M4497" s="20">
        <v>9.7775108894510715E-3</v>
      </c>
      <c r="N4497" s="20">
        <v>7.708442968723478E-4</v>
      </c>
      <c r="O4497" s="20">
        <v>7.883850047193601E-2</v>
      </c>
      <c r="P4497" s="20"/>
      <c r="Q4497" s="20"/>
      <c r="R4497" s="20">
        <v>0.25</v>
      </c>
      <c r="S4497" s="20">
        <v>0.66</v>
      </c>
      <c r="T4497" s="20">
        <v>8.9999999999999858E-2</v>
      </c>
    </row>
    <row r="4498" spans="13:20" x14ac:dyDescent="0.2">
      <c r="M4498" s="20">
        <v>1.4632932006181711E-2</v>
      </c>
      <c r="N4498" s="20">
        <v>1.2309387913885315E-3</v>
      </c>
      <c r="O4498" s="20">
        <v>8.4121131080805878E-2</v>
      </c>
      <c r="P4498" s="20"/>
      <c r="Q4498" s="20">
        <v>0.64</v>
      </c>
      <c r="R4498" s="20">
        <v>0.3600000000000001</v>
      </c>
      <c r="S4498" s="20"/>
      <c r="T4498" s="20"/>
    </row>
    <row r="4499" spans="13:20" x14ac:dyDescent="0.2">
      <c r="M4499" s="20">
        <v>1.1817784525220375E-2</v>
      </c>
      <c r="N4499" s="20">
        <v>5.7946717363513932E-4</v>
      </c>
      <c r="O4499" s="20">
        <v>4.9033486132573863E-2</v>
      </c>
      <c r="P4499" s="20"/>
      <c r="Q4499" s="20">
        <v>0.04</v>
      </c>
      <c r="R4499" s="20">
        <v>0.04</v>
      </c>
      <c r="S4499" s="20">
        <v>0.91999999999999993</v>
      </c>
      <c r="T4499" s="20"/>
    </row>
    <row r="4500" spans="13:20" x14ac:dyDescent="0.2">
      <c r="M4500" s="20">
        <v>1.7484792450961066E-2</v>
      </c>
      <c r="N4500" s="20">
        <v>1.2624028680349605E-3</v>
      </c>
      <c r="O4500" s="20">
        <v>7.2200048789573784E-2</v>
      </c>
      <c r="P4500" s="20"/>
      <c r="Q4500" s="20">
        <v>0.88</v>
      </c>
      <c r="R4500" s="20">
        <v>0.12</v>
      </c>
      <c r="S4500" s="20"/>
      <c r="T4500" s="20"/>
    </row>
    <row r="4501" spans="13:20" x14ac:dyDescent="0.2">
      <c r="M4501" s="20">
        <v>1.4314377025050456E-2</v>
      </c>
      <c r="N4501" s="20">
        <v>1.2270057818077277E-3</v>
      </c>
      <c r="O4501" s="20">
        <v>8.5718419995536102E-2</v>
      </c>
      <c r="P4501" s="20"/>
      <c r="Q4501" s="20">
        <v>0.61</v>
      </c>
      <c r="R4501" s="20">
        <v>0.3899999999999999</v>
      </c>
      <c r="S4501" s="20"/>
      <c r="T4501" s="20"/>
    </row>
    <row r="4502" spans="13:20" x14ac:dyDescent="0.2">
      <c r="M4502" s="20">
        <v>9.5973862690342821E-3</v>
      </c>
      <c r="N4502" s="20">
        <v>9.1043856315872643E-4</v>
      </c>
      <c r="O4502" s="20">
        <v>9.486317812342647E-2</v>
      </c>
      <c r="P4502" s="20"/>
      <c r="Q4502" s="20"/>
      <c r="R4502" s="20">
        <v>0.62</v>
      </c>
      <c r="S4502" s="20">
        <v>0.37999999999999989</v>
      </c>
      <c r="T4502" s="20"/>
    </row>
    <row r="4503" spans="13:20" x14ac:dyDescent="0.2">
      <c r="M4503" s="20">
        <v>1.4131033776610676E-2</v>
      </c>
      <c r="N4503" s="20">
        <v>1.4558268856246144E-3</v>
      </c>
      <c r="O4503" s="20">
        <v>0.10302338163215359</v>
      </c>
      <c r="P4503" s="20">
        <v>0.16</v>
      </c>
      <c r="Q4503" s="20">
        <v>0.59</v>
      </c>
      <c r="R4503" s="20">
        <v>0.24999999999999989</v>
      </c>
      <c r="S4503" s="20"/>
      <c r="T4503" s="20"/>
    </row>
    <row r="4504" spans="13:20" x14ac:dyDescent="0.2">
      <c r="M4504" s="20">
        <v>1.6482271217304095E-2</v>
      </c>
      <c r="N4504" s="20">
        <v>1.2519148424861507E-3</v>
      </c>
      <c r="O4504" s="20">
        <v>7.5955238570022704E-2</v>
      </c>
      <c r="P4504" s="20"/>
      <c r="Q4504" s="20">
        <v>0.8</v>
      </c>
      <c r="R4504" s="20">
        <v>0.20000000000000007</v>
      </c>
      <c r="S4504" s="20"/>
      <c r="T4504" s="20"/>
    </row>
    <row r="4505" spans="13:20" x14ac:dyDescent="0.2">
      <c r="M4505" s="20">
        <v>1.0159325322859023E-2</v>
      </c>
      <c r="N4505" s="20">
        <v>1.2387504895355712E-3</v>
      </c>
      <c r="O4505" s="20">
        <v>0.12193235772736961</v>
      </c>
      <c r="P4505" s="20">
        <v>0.15999999999999992</v>
      </c>
      <c r="Q4505" s="20"/>
      <c r="R4505" s="20"/>
      <c r="S4505" s="20">
        <v>0.46</v>
      </c>
      <c r="T4505" s="20">
        <v>0.38</v>
      </c>
    </row>
    <row r="4506" spans="13:20" x14ac:dyDescent="0.2">
      <c r="M4506" s="20">
        <v>1.4076638263943286E-2</v>
      </c>
      <c r="N4506" s="20">
        <v>2.4357037314437571E-3</v>
      </c>
      <c r="O4506" s="20">
        <v>0.17303163481033032</v>
      </c>
      <c r="P4506" s="20">
        <v>0.88</v>
      </c>
      <c r="Q4506" s="20">
        <v>0.12</v>
      </c>
      <c r="R4506" s="20"/>
      <c r="S4506" s="20"/>
      <c r="T4506" s="20"/>
    </row>
    <row r="4507" spans="13:20" x14ac:dyDescent="0.2">
      <c r="M4507" s="20">
        <v>1.2709317111296293E-2</v>
      </c>
      <c r="N4507" s="20">
        <v>1.0739682932895105E-3</v>
      </c>
      <c r="O4507" s="20">
        <v>8.4502438949685676E-2</v>
      </c>
      <c r="P4507" s="20"/>
      <c r="Q4507" s="20">
        <v>0.44</v>
      </c>
      <c r="R4507" s="20">
        <v>0.35</v>
      </c>
      <c r="S4507" s="20">
        <v>0.20999999999999996</v>
      </c>
      <c r="T4507" s="20"/>
    </row>
    <row r="4508" spans="13:20" x14ac:dyDescent="0.2">
      <c r="M4508" s="20">
        <v>1.0489722334954776E-2</v>
      </c>
      <c r="N4508" s="20">
        <v>1.673585021275664E-3</v>
      </c>
      <c r="O4508" s="20">
        <v>0.15954521653054596</v>
      </c>
      <c r="P4508" s="20">
        <v>0.48</v>
      </c>
      <c r="Q4508" s="20">
        <v>0.05</v>
      </c>
      <c r="R4508" s="20">
        <v>0.19</v>
      </c>
      <c r="S4508" s="20">
        <v>0.28000000000000003</v>
      </c>
      <c r="T4508" s="20"/>
    </row>
    <row r="4509" spans="13:20" x14ac:dyDescent="0.2">
      <c r="M4509" s="20">
        <v>1.1695158743048405E-2</v>
      </c>
      <c r="N4509" s="20">
        <v>1.6084773264382038E-3</v>
      </c>
      <c r="O4509" s="20">
        <v>0.13753360358569583</v>
      </c>
      <c r="P4509" s="20">
        <v>0.28999999999999998</v>
      </c>
      <c r="Q4509" s="20">
        <v>0.32</v>
      </c>
      <c r="R4509" s="20">
        <v>0.39</v>
      </c>
      <c r="S4509" s="20"/>
      <c r="T4509" s="20"/>
    </row>
    <row r="4510" spans="13:20" x14ac:dyDescent="0.2">
      <c r="M4510" s="20">
        <v>1.280950118159367E-2</v>
      </c>
      <c r="N4510" s="20">
        <v>1.2060297307101087E-3</v>
      </c>
      <c r="O4510" s="20">
        <v>9.4151186186944305E-2</v>
      </c>
      <c r="P4510" s="20"/>
      <c r="Q4510" s="20">
        <v>0.45</v>
      </c>
      <c r="R4510" s="20">
        <v>0.55000000000000004</v>
      </c>
      <c r="S4510" s="20"/>
      <c r="T4510" s="20"/>
    </row>
    <row r="4511" spans="13:20" x14ac:dyDescent="0.2">
      <c r="M4511" s="20">
        <v>1.2827425767470623E-2</v>
      </c>
      <c r="N4511" s="20">
        <v>2.1778103570666125E-3</v>
      </c>
      <c r="O4511" s="20">
        <v>0.16977766206134468</v>
      </c>
      <c r="P4511" s="20">
        <v>0.62</v>
      </c>
      <c r="Q4511" s="20">
        <v>5.0000000000000044E-2</v>
      </c>
      <c r="R4511" s="20"/>
      <c r="S4511" s="20"/>
      <c r="T4511" s="20">
        <v>0.33</v>
      </c>
    </row>
    <row r="4512" spans="13:20" x14ac:dyDescent="0.2">
      <c r="M4512" s="20">
        <v>1.1274999294063035E-2</v>
      </c>
      <c r="N4512" s="20">
        <v>1.2128684650227787E-3</v>
      </c>
      <c r="O4512" s="20">
        <v>0.10757148922052942</v>
      </c>
      <c r="P4512" s="20">
        <v>4.9999999999999933E-2</v>
      </c>
      <c r="Q4512" s="20"/>
      <c r="R4512" s="20"/>
      <c r="S4512" s="20">
        <v>0.37</v>
      </c>
      <c r="T4512" s="20">
        <v>0.57999999999999996</v>
      </c>
    </row>
    <row r="4513" spans="13:20" x14ac:dyDescent="0.2">
      <c r="M4513" s="20">
        <v>1.3674008432626254E-2</v>
      </c>
      <c r="N4513" s="20">
        <v>1.8830033665818799E-3</v>
      </c>
      <c r="O4513" s="20">
        <v>0.1377067577411335</v>
      </c>
      <c r="P4513" s="20">
        <v>0.33000000000000007</v>
      </c>
      <c r="Q4513" s="20"/>
      <c r="R4513" s="20"/>
      <c r="S4513" s="20"/>
      <c r="T4513" s="20">
        <v>0.67</v>
      </c>
    </row>
    <row r="4514" spans="13:20" x14ac:dyDescent="0.2">
      <c r="M4514" s="20">
        <v>1.4516225571417792E-2</v>
      </c>
      <c r="N4514" s="20">
        <v>9.3633825434392482E-4</v>
      </c>
      <c r="O4514" s="20">
        <v>6.4502872991141671E-2</v>
      </c>
      <c r="P4514" s="20"/>
      <c r="Q4514" s="20">
        <v>0.53</v>
      </c>
      <c r="R4514" s="20">
        <v>0.02</v>
      </c>
      <c r="S4514" s="20">
        <v>0.44999999999999996</v>
      </c>
      <c r="T4514" s="20"/>
    </row>
    <row r="4515" spans="13:20" x14ac:dyDescent="0.2">
      <c r="M4515" s="20">
        <v>1.8794551774568874E-2</v>
      </c>
      <c r="N4515" s="20">
        <v>1.2755128999709724E-3</v>
      </c>
      <c r="O4515" s="20">
        <v>6.7866098392241725E-2</v>
      </c>
      <c r="P4515" s="20"/>
      <c r="Q4515" s="20">
        <v>0.98</v>
      </c>
      <c r="R4515" s="20">
        <v>2.0000000000000018E-2</v>
      </c>
      <c r="S4515" s="20"/>
      <c r="T4515" s="20"/>
    </row>
    <row r="4516" spans="13:20" x14ac:dyDescent="0.2">
      <c r="M4516" s="20">
        <v>1.0427048330630994E-2</v>
      </c>
      <c r="N4516" s="20">
        <v>1.694731843764518E-3</v>
      </c>
      <c r="O4516" s="20">
        <v>0.16253227088110764</v>
      </c>
      <c r="P4516" s="20">
        <v>0.38999999999999979</v>
      </c>
      <c r="Q4516" s="20"/>
      <c r="R4516" s="20">
        <v>0.13</v>
      </c>
      <c r="S4516" s="20">
        <v>0.2</v>
      </c>
      <c r="T4516" s="20">
        <v>0.28000000000000003</v>
      </c>
    </row>
    <row r="4517" spans="13:20" x14ac:dyDescent="0.2">
      <c r="M4517" s="20">
        <v>9.5875674124176469E-3</v>
      </c>
      <c r="N4517" s="20">
        <v>9.0421235200505992E-4</v>
      </c>
      <c r="O4517" s="20">
        <v>9.4310925087623385E-2</v>
      </c>
      <c r="P4517" s="20"/>
      <c r="Q4517" s="20"/>
      <c r="R4517" s="20">
        <v>0.61</v>
      </c>
      <c r="S4517" s="20">
        <v>0.3899999999999999</v>
      </c>
      <c r="T4517" s="20"/>
    </row>
    <row r="4518" spans="13:20" x14ac:dyDescent="0.2">
      <c r="M4518" s="20">
        <v>1.0521097322520765E-2</v>
      </c>
      <c r="N4518" s="20">
        <v>7.4734737551281169E-4</v>
      </c>
      <c r="O4518" s="20">
        <v>7.1033215700142732E-2</v>
      </c>
      <c r="P4518" s="20">
        <v>1.9999999999999907E-2</v>
      </c>
      <c r="Q4518" s="20"/>
      <c r="R4518" s="20"/>
      <c r="S4518" s="20">
        <v>0.8</v>
      </c>
      <c r="T4518" s="20">
        <v>0.18</v>
      </c>
    </row>
    <row r="4519" spans="13:20" x14ac:dyDescent="0.2">
      <c r="M4519" s="20">
        <v>9.8211411261484478E-3</v>
      </c>
      <c r="N4519" s="20">
        <v>1.0484031827115796E-3</v>
      </c>
      <c r="O4519" s="20">
        <v>0.10674963013414425</v>
      </c>
      <c r="P4519" s="20">
        <v>7.0000000000000007E-2</v>
      </c>
      <c r="Q4519" s="20">
        <v>0.11</v>
      </c>
      <c r="R4519" s="20">
        <v>0.33</v>
      </c>
      <c r="S4519" s="20">
        <v>0.4</v>
      </c>
      <c r="T4519" s="20">
        <v>8.9999999999999969E-2</v>
      </c>
    </row>
    <row r="4520" spans="13:20" x14ac:dyDescent="0.2">
      <c r="M4520" s="20">
        <v>1.1315413003646817E-2</v>
      </c>
      <c r="N4520" s="20">
        <v>1.2418368984518922E-3</v>
      </c>
      <c r="O4520" s="20">
        <v>0.109747377144048</v>
      </c>
      <c r="P4520" s="20">
        <v>0.09</v>
      </c>
      <c r="Q4520" s="20">
        <v>0.3</v>
      </c>
      <c r="R4520" s="20">
        <v>0.49</v>
      </c>
      <c r="S4520" s="20">
        <v>0.12</v>
      </c>
      <c r="T4520" s="20"/>
    </row>
    <row r="4521" spans="13:20" x14ac:dyDescent="0.2">
      <c r="M4521" s="20">
        <v>1.0314187891232576E-2</v>
      </c>
      <c r="N4521" s="20">
        <v>1.1909922500160631E-3</v>
      </c>
      <c r="O4521" s="20">
        <v>0.11547125789985352</v>
      </c>
      <c r="P4521" s="20"/>
      <c r="Q4521" s="20">
        <v>0.02</v>
      </c>
      <c r="R4521" s="20">
        <v>0.69</v>
      </c>
      <c r="S4521" s="20">
        <v>7.0000000000000007E-2</v>
      </c>
      <c r="T4521" s="20">
        <v>0.21999999999999997</v>
      </c>
    </row>
    <row r="4522" spans="13:20" x14ac:dyDescent="0.2">
      <c r="M4522" s="20">
        <v>1.5588506853553261E-2</v>
      </c>
      <c r="N4522" s="20">
        <v>1.7122232157652682E-3</v>
      </c>
      <c r="O4522" s="20">
        <v>0.1098388211167885</v>
      </c>
      <c r="P4522" s="20">
        <v>0.33</v>
      </c>
      <c r="Q4522" s="20">
        <v>0.66999999999999993</v>
      </c>
      <c r="R4522" s="20"/>
      <c r="S4522" s="20"/>
      <c r="T4522" s="20"/>
    </row>
    <row r="4523" spans="13:20" x14ac:dyDescent="0.2">
      <c r="M4523" s="20">
        <v>1.5434244138739563E-2</v>
      </c>
      <c r="N4523" s="20">
        <v>1.6284777573191704E-3</v>
      </c>
      <c r="O4523" s="20">
        <v>0.10551069055799968</v>
      </c>
      <c r="P4523" s="20">
        <v>8.9999999999999969E-2</v>
      </c>
      <c r="Q4523" s="20"/>
      <c r="R4523" s="20"/>
      <c r="S4523" s="20"/>
      <c r="T4523" s="20">
        <v>0.91</v>
      </c>
    </row>
    <row r="4524" spans="13:20" x14ac:dyDescent="0.2">
      <c r="M4524" s="20">
        <v>1.1963198236748265E-2</v>
      </c>
      <c r="N4524" s="20">
        <v>5.3449964345354492E-4</v>
      </c>
      <c r="O4524" s="20">
        <v>4.467865807085615E-2</v>
      </c>
      <c r="P4524" s="20"/>
      <c r="Q4524" s="20"/>
      <c r="R4524" s="20"/>
      <c r="S4524" s="20">
        <v>0.99</v>
      </c>
      <c r="T4524" s="20">
        <v>1.0000000000000009E-2</v>
      </c>
    </row>
    <row r="4525" spans="13:20" x14ac:dyDescent="0.2">
      <c r="M4525" s="20">
        <v>1.5298716201155594E-2</v>
      </c>
      <c r="N4525" s="20">
        <v>1.2388048105501388E-3</v>
      </c>
      <c r="O4525" s="20">
        <v>8.0974429112984345E-2</v>
      </c>
      <c r="P4525" s="20"/>
      <c r="Q4525" s="20">
        <v>0.7</v>
      </c>
      <c r="R4525" s="20">
        <v>0.30000000000000016</v>
      </c>
      <c r="S4525" s="20"/>
      <c r="T4525" s="20"/>
    </row>
    <row r="4526" spans="13:20" x14ac:dyDescent="0.2">
      <c r="M4526" s="20">
        <v>1.8001796391182507E-2</v>
      </c>
      <c r="N4526" s="20">
        <v>1.2676468808093654E-3</v>
      </c>
      <c r="O4526" s="20">
        <v>7.0417799049781155E-2</v>
      </c>
      <c r="P4526" s="20"/>
      <c r="Q4526" s="20">
        <v>0.92</v>
      </c>
      <c r="R4526" s="20">
        <v>8.0000000000000071E-2</v>
      </c>
      <c r="S4526" s="20"/>
      <c r="T4526" s="20"/>
    </row>
    <row r="4527" spans="13:20" x14ac:dyDescent="0.2">
      <c r="M4527" s="20">
        <v>1.5425894668362873E-2</v>
      </c>
      <c r="N4527" s="20">
        <v>1.7385315981535768E-3</v>
      </c>
      <c r="O4527" s="20">
        <v>0.11270215670013289</v>
      </c>
      <c r="P4527" s="20">
        <v>0.35</v>
      </c>
      <c r="Q4527" s="20">
        <v>0.65</v>
      </c>
      <c r="R4527" s="20"/>
      <c r="S4527" s="20"/>
      <c r="T4527" s="20"/>
    </row>
    <row r="4528" spans="13:20" x14ac:dyDescent="0.2">
      <c r="M4528" s="20">
        <v>1.6001662566933018E-2</v>
      </c>
      <c r="N4528" s="20">
        <v>1.5648463550034933E-3</v>
      </c>
      <c r="O4528" s="20">
        <v>9.7792735502197373E-2</v>
      </c>
      <c r="P4528" s="20">
        <v>3.0000000000000027E-2</v>
      </c>
      <c r="Q4528" s="20"/>
      <c r="R4528" s="20"/>
      <c r="S4528" s="20"/>
      <c r="T4528" s="20">
        <v>0.97</v>
      </c>
    </row>
    <row r="4529" spans="13:20" x14ac:dyDescent="0.2">
      <c r="M4529" s="20">
        <v>1.0432472633287067E-2</v>
      </c>
      <c r="N4529" s="20">
        <v>1.1054971561384834E-3</v>
      </c>
      <c r="O4529" s="20">
        <v>0.10596693564391964</v>
      </c>
      <c r="P4529" s="20"/>
      <c r="Q4529" s="20">
        <v>0.16</v>
      </c>
      <c r="R4529" s="20">
        <v>0.61</v>
      </c>
      <c r="S4529" s="20">
        <v>0.15</v>
      </c>
      <c r="T4529" s="20">
        <v>7.9999999999999849E-2</v>
      </c>
    </row>
    <row r="4530" spans="13:20" x14ac:dyDescent="0.2">
      <c r="M4530" s="20">
        <v>1.001423593038704E-2</v>
      </c>
      <c r="N4530" s="20">
        <v>1.2338549366847991E-3</v>
      </c>
      <c r="O4530" s="20">
        <v>0.12321009263830195</v>
      </c>
      <c r="P4530" s="20">
        <v>0.26</v>
      </c>
      <c r="Q4530" s="20"/>
      <c r="R4530" s="20"/>
      <c r="S4530" s="20">
        <v>0.56999999999999995</v>
      </c>
      <c r="T4530" s="20">
        <v>0.17</v>
      </c>
    </row>
    <row r="4531" spans="13:20" x14ac:dyDescent="0.2">
      <c r="M4531" s="20">
        <v>1.3196116820853487E-2</v>
      </c>
      <c r="N4531" s="20">
        <v>1.9159547446428666E-3</v>
      </c>
      <c r="O4531" s="20">
        <v>0.14519079897922182</v>
      </c>
      <c r="P4531" s="20">
        <v>0.45</v>
      </c>
      <c r="Q4531" s="20">
        <v>0.37</v>
      </c>
      <c r="R4531" s="20"/>
      <c r="S4531" s="20"/>
      <c r="T4531" s="20">
        <v>0.18</v>
      </c>
    </row>
    <row r="4532" spans="13:20" x14ac:dyDescent="0.2">
      <c r="M4532" s="20">
        <v>1.7510001937665859E-2</v>
      </c>
      <c r="N4532" s="20">
        <v>1.1912925389574265E-3</v>
      </c>
      <c r="O4532" s="20">
        <v>6.8034974707503068E-2</v>
      </c>
      <c r="P4532" s="20"/>
      <c r="Q4532" s="20">
        <v>0.86</v>
      </c>
      <c r="R4532" s="20">
        <v>0.03</v>
      </c>
      <c r="S4532" s="20">
        <v>0.10999999999999999</v>
      </c>
      <c r="T4532" s="20"/>
    </row>
    <row r="4533" spans="13:20" x14ac:dyDescent="0.2">
      <c r="M4533" s="20">
        <v>1.5156765882168693E-2</v>
      </c>
      <c r="N4533" s="20">
        <v>1.355929903425826E-3</v>
      </c>
      <c r="O4533" s="20">
        <v>8.9460371293391905E-2</v>
      </c>
      <c r="P4533" s="20">
        <v>0.1</v>
      </c>
      <c r="Q4533" s="20">
        <v>0.68</v>
      </c>
      <c r="R4533" s="20">
        <v>0.18</v>
      </c>
      <c r="S4533" s="20">
        <v>4.0000000000000147E-2</v>
      </c>
      <c r="T4533" s="20"/>
    </row>
    <row r="4534" spans="13:20" x14ac:dyDescent="0.2">
      <c r="M4534" s="20">
        <v>1.1699733043287452E-2</v>
      </c>
      <c r="N4534" s="20">
        <v>1.3070117765364973E-3</v>
      </c>
      <c r="O4534" s="20">
        <v>0.11171295718464071</v>
      </c>
      <c r="P4534" s="20">
        <v>7.0000000000000007E-2</v>
      </c>
      <c r="Q4534" s="20">
        <v>7.0000000000000062E-2</v>
      </c>
      <c r="R4534" s="20"/>
      <c r="S4534" s="20">
        <v>0.28000000000000003</v>
      </c>
      <c r="T4534" s="20">
        <v>0.57999999999999996</v>
      </c>
    </row>
    <row r="4535" spans="13:20" x14ac:dyDescent="0.2">
      <c r="M4535" s="20">
        <v>1.6100360939876667E-2</v>
      </c>
      <c r="N4535" s="20">
        <v>1.5542411212842138E-3</v>
      </c>
      <c r="O4535" s="20">
        <v>9.6534551435722024E-2</v>
      </c>
      <c r="P4535" s="20">
        <v>2.0000000000000018E-2</v>
      </c>
      <c r="Q4535" s="20"/>
      <c r="R4535" s="20"/>
      <c r="S4535" s="20"/>
      <c r="T4535" s="20">
        <v>0.98</v>
      </c>
    </row>
    <row r="4536" spans="13:20" x14ac:dyDescent="0.2">
      <c r="M4536" s="20">
        <v>1.8661079521685268E-2</v>
      </c>
      <c r="N4536" s="20">
        <v>1.2742018967773715E-3</v>
      </c>
      <c r="O4536" s="20">
        <v>6.8281253252078705E-2</v>
      </c>
      <c r="P4536" s="20"/>
      <c r="Q4536" s="20">
        <v>0.97</v>
      </c>
      <c r="R4536" s="20">
        <v>3.0000000000000138E-2</v>
      </c>
      <c r="S4536" s="20"/>
      <c r="T4536" s="20"/>
    </row>
    <row r="4537" spans="13:20" x14ac:dyDescent="0.2">
      <c r="M4537" s="20">
        <v>1.206492048453863E-2</v>
      </c>
      <c r="N4537" s="20">
        <v>5.2441347163140238E-4</v>
      </c>
      <c r="O4537" s="20">
        <v>4.3465969983262284E-2</v>
      </c>
      <c r="P4537" s="20"/>
      <c r="Q4537" s="20"/>
      <c r="R4537" s="20"/>
      <c r="S4537" s="20">
        <v>1</v>
      </c>
      <c r="T4537" s="20">
        <v>0</v>
      </c>
    </row>
    <row r="4538" spans="13:20" x14ac:dyDescent="0.2">
      <c r="M4538" s="20">
        <v>1.23453440931807E-2</v>
      </c>
      <c r="N4538" s="20">
        <v>1.1981637115485012E-3</v>
      </c>
      <c r="O4538" s="20">
        <v>9.7053893557356649E-2</v>
      </c>
      <c r="P4538" s="20"/>
      <c r="Q4538" s="20">
        <v>0.39</v>
      </c>
      <c r="R4538" s="20">
        <v>0.61</v>
      </c>
      <c r="S4538" s="20"/>
      <c r="T4538" s="20"/>
    </row>
    <row r="4539" spans="13:20" x14ac:dyDescent="0.2">
      <c r="M4539" s="20">
        <v>1.05531112465891E-2</v>
      </c>
      <c r="N4539" s="20">
        <v>1.0847724754613889E-3</v>
      </c>
      <c r="O4539" s="20">
        <v>0.10279172180734862</v>
      </c>
      <c r="P4539" s="20"/>
      <c r="Q4539" s="20"/>
      <c r="R4539" s="20">
        <v>0.9</v>
      </c>
      <c r="S4539" s="20">
        <v>9.9999999999999867E-2</v>
      </c>
      <c r="T4539" s="20"/>
    </row>
    <row r="4540" spans="13:20" x14ac:dyDescent="0.2">
      <c r="M4540" s="20">
        <v>1.0429352240312708E-2</v>
      </c>
      <c r="N4540" s="20">
        <v>8.6195303356745756E-4</v>
      </c>
      <c r="O4540" s="20">
        <v>8.264684265200474E-2</v>
      </c>
      <c r="P4540" s="20"/>
      <c r="Q4540" s="20">
        <v>7.0000000000000007E-2</v>
      </c>
      <c r="R4540" s="20">
        <v>0.02</v>
      </c>
      <c r="S4540" s="20">
        <v>0.64</v>
      </c>
      <c r="T4540" s="20">
        <v>0.27</v>
      </c>
    </row>
    <row r="4541" spans="13:20" x14ac:dyDescent="0.2">
      <c r="M4541" s="20">
        <v>1.0622417067170098E-2</v>
      </c>
      <c r="N4541" s="20">
        <v>7.0596456442996783E-4</v>
      </c>
      <c r="O4541" s="20">
        <v>6.6459880078691247E-2</v>
      </c>
      <c r="P4541" s="20"/>
      <c r="Q4541" s="20"/>
      <c r="R4541" s="20"/>
      <c r="S4541" s="20">
        <v>0.82</v>
      </c>
      <c r="T4541" s="20">
        <v>0.18000000000000005</v>
      </c>
    </row>
    <row r="4542" spans="13:20" x14ac:dyDescent="0.2">
      <c r="M4542" s="20">
        <v>9.5978250892483231E-3</v>
      </c>
      <c r="N4542" s="20">
        <v>8.0048164245739525E-4</v>
      </c>
      <c r="O4542" s="20">
        <v>8.3402399503415714E-2</v>
      </c>
      <c r="P4542" s="20"/>
      <c r="Q4542" s="20"/>
      <c r="R4542" s="20">
        <v>0.33</v>
      </c>
      <c r="S4542" s="20">
        <v>0.6</v>
      </c>
      <c r="T4542" s="20">
        <v>7.0000000000000062E-2</v>
      </c>
    </row>
    <row r="4543" spans="13:20" x14ac:dyDescent="0.2">
      <c r="M4543" s="20">
        <v>9.717019206749786E-3</v>
      </c>
      <c r="N4543" s="20">
        <v>7.9214055123906274E-4</v>
      </c>
      <c r="O4543" s="20">
        <v>8.152094118418679E-2</v>
      </c>
      <c r="P4543" s="20"/>
      <c r="Q4543" s="20"/>
      <c r="R4543" s="20">
        <v>0.43</v>
      </c>
      <c r="S4543" s="20">
        <v>0.57000000000000006</v>
      </c>
      <c r="T4543" s="20"/>
    </row>
    <row r="4544" spans="13:20" x14ac:dyDescent="0.2">
      <c r="M4544" s="20">
        <v>1.4996259129818388E-2</v>
      </c>
      <c r="N4544" s="20">
        <v>1.6815039259155679E-3</v>
      </c>
      <c r="O4544" s="20">
        <v>0.11212822553673302</v>
      </c>
      <c r="P4544" s="20">
        <v>0.1399999999999999</v>
      </c>
      <c r="Q4544" s="20"/>
      <c r="R4544" s="20"/>
      <c r="S4544" s="20"/>
      <c r="T4544" s="20">
        <v>0.86</v>
      </c>
    </row>
    <row r="4545" spans="13:20" x14ac:dyDescent="0.2">
      <c r="M4545" s="20">
        <v>9.4941699412726139E-3</v>
      </c>
      <c r="N4545" s="20">
        <v>1.4003445082462361E-3</v>
      </c>
      <c r="O4545" s="20">
        <v>0.14749520146660988</v>
      </c>
      <c r="P4545" s="20">
        <v>0.32000000000000006</v>
      </c>
      <c r="Q4545" s="20"/>
      <c r="R4545" s="20">
        <v>0.23</v>
      </c>
      <c r="S4545" s="20">
        <v>0.38</v>
      </c>
      <c r="T4545" s="20">
        <v>7.0000000000000007E-2</v>
      </c>
    </row>
    <row r="4546" spans="13:20" x14ac:dyDescent="0.2">
      <c r="M4546" s="20">
        <v>1.3849894403893379E-2</v>
      </c>
      <c r="N4546" s="20">
        <v>2.3041618195022134E-3</v>
      </c>
      <c r="O4546" s="20">
        <v>0.16636674275686061</v>
      </c>
      <c r="P4546" s="20">
        <v>0.78</v>
      </c>
      <c r="Q4546" s="20">
        <v>0.21999999999999997</v>
      </c>
      <c r="R4546" s="20"/>
      <c r="S4546" s="20"/>
      <c r="T4546" s="20"/>
    </row>
    <row r="4547" spans="13:20" x14ac:dyDescent="0.2">
      <c r="M4547" s="20">
        <v>1.2717176604064104E-2</v>
      </c>
      <c r="N4547" s="20">
        <v>2.3187153324062538E-3</v>
      </c>
      <c r="O4547" s="20">
        <v>0.18232941199112138</v>
      </c>
      <c r="P4547" s="20">
        <v>0.81</v>
      </c>
      <c r="Q4547" s="20">
        <v>0</v>
      </c>
      <c r="R4547" s="20">
        <v>0.18999999999999984</v>
      </c>
      <c r="S4547" s="20"/>
      <c r="T4547" s="20"/>
    </row>
    <row r="4548" spans="13:20" x14ac:dyDescent="0.2">
      <c r="M4548" s="20">
        <v>1.0785346482839398E-2</v>
      </c>
      <c r="N4548" s="20">
        <v>1.109677320076055E-3</v>
      </c>
      <c r="O4548" s="20">
        <v>0.1028874985000868</v>
      </c>
      <c r="P4548" s="20"/>
      <c r="Q4548" s="20"/>
      <c r="R4548" s="20">
        <v>0.94</v>
      </c>
      <c r="S4548" s="20">
        <v>6.0000000000000053E-2</v>
      </c>
      <c r="T4548" s="20"/>
    </row>
    <row r="4549" spans="13:20" x14ac:dyDescent="0.2">
      <c r="M4549" s="20">
        <v>1.2545114866620695E-2</v>
      </c>
      <c r="N4549" s="20">
        <v>1.2165619155170605E-3</v>
      </c>
      <c r="O4549" s="20">
        <v>9.6974952278357923E-2</v>
      </c>
      <c r="P4549" s="20">
        <v>0.01</v>
      </c>
      <c r="Q4549" s="20">
        <v>0.42</v>
      </c>
      <c r="R4549" s="20">
        <v>0.57000000000000006</v>
      </c>
      <c r="S4549" s="20"/>
      <c r="T4549" s="20"/>
    </row>
    <row r="4550" spans="13:20" x14ac:dyDescent="0.2">
      <c r="M4550" s="20">
        <v>1.2706267916788671E-2</v>
      </c>
      <c r="N4550" s="20">
        <v>1.8909671082700918E-3</v>
      </c>
      <c r="O4550" s="20">
        <v>0.14882159896625308</v>
      </c>
      <c r="P4550" s="20">
        <v>0.4</v>
      </c>
      <c r="Q4550" s="20">
        <v>0.26</v>
      </c>
      <c r="R4550" s="20"/>
      <c r="S4550" s="20"/>
      <c r="T4550" s="20">
        <v>0.34</v>
      </c>
    </row>
    <row r="4551" spans="13:20" x14ac:dyDescent="0.2">
      <c r="M4551" s="20">
        <v>1.3027473597566359E-2</v>
      </c>
      <c r="N4551" s="20">
        <v>1.2909625301142341E-3</v>
      </c>
      <c r="O4551" s="20">
        <v>9.9095386411329714E-2</v>
      </c>
      <c r="P4551" s="20"/>
      <c r="Q4551" s="20"/>
      <c r="R4551" s="20"/>
      <c r="S4551" s="20">
        <v>0.24</v>
      </c>
      <c r="T4551" s="20">
        <v>0.76</v>
      </c>
    </row>
    <row r="4552" spans="13:20" x14ac:dyDescent="0.2">
      <c r="M4552" s="20">
        <v>1.7103671905773405E-2</v>
      </c>
      <c r="N4552" s="20">
        <v>1.2584698584541568E-3</v>
      </c>
      <c r="O4552" s="20">
        <v>7.357892886318497E-2</v>
      </c>
      <c r="P4552" s="20"/>
      <c r="Q4552" s="20">
        <v>0.85</v>
      </c>
      <c r="R4552" s="20">
        <v>0.15000000000000002</v>
      </c>
      <c r="S4552" s="20"/>
      <c r="T4552" s="20"/>
    </row>
    <row r="4553" spans="13:20" x14ac:dyDescent="0.2">
      <c r="M4553" s="20">
        <v>1.1553522049655381E-2</v>
      </c>
      <c r="N4553" s="20">
        <v>1.7321090599599978E-3</v>
      </c>
      <c r="O4553" s="20">
        <v>0.14992043573514996</v>
      </c>
      <c r="P4553" s="20">
        <v>0.38</v>
      </c>
      <c r="Q4553" s="20">
        <v>0.27</v>
      </c>
      <c r="R4553" s="20">
        <v>0.35</v>
      </c>
      <c r="S4553" s="20"/>
      <c r="T4553" s="20"/>
    </row>
    <row r="4554" spans="13:20" x14ac:dyDescent="0.2">
      <c r="M4554" s="20">
        <v>1.0113664470399615E-2</v>
      </c>
      <c r="N4554" s="20">
        <v>7.1742601739506451E-4</v>
      </c>
      <c r="O4554" s="20">
        <v>7.0936307951960098E-2</v>
      </c>
      <c r="P4554" s="20"/>
      <c r="Q4554" s="20"/>
      <c r="R4554" s="20">
        <v>0.31</v>
      </c>
      <c r="S4554" s="20">
        <v>0.69000000000000006</v>
      </c>
      <c r="T4554" s="20"/>
    </row>
    <row r="4555" spans="13:20" x14ac:dyDescent="0.2">
      <c r="M4555" s="20">
        <v>1.0404454971843374E-2</v>
      </c>
      <c r="N4555" s="20">
        <v>8.6951791669904934E-4</v>
      </c>
      <c r="O4555" s="20">
        <v>8.3571692996139271E-2</v>
      </c>
      <c r="P4555" s="20"/>
      <c r="Q4555" s="20">
        <v>0.14000000000000001</v>
      </c>
      <c r="R4555" s="20">
        <v>0.32</v>
      </c>
      <c r="S4555" s="20">
        <v>0.5</v>
      </c>
      <c r="T4555" s="20">
        <v>4.0000000000000036E-2</v>
      </c>
    </row>
    <row r="4556" spans="13:20" x14ac:dyDescent="0.2">
      <c r="M4556" s="20">
        <v>1.0342325803158046E-2</v>
      </c>
      <c r="N4556" s="20">
        <v>1.0598676308467231E-3</v>
      </c>
      <c r="O4556" s="20">
        <v>0.10247865432000708</v>
      </c>
      <c r="P4556" s="20"/>
      <c r="Q4556" s="20"/>
      <c r="R4556" s="20">
        <v>0.86</v>
      </c>
      <c r="S4556" s="20">
        <v>0.1399999999999999</v>
      </c>
      <c r="T4556" s="20"/>
    </row>
    <row r="4557" spans="13:20" x14ac:dyDescent="0.2">
      <c r="M4557" s="20">
        <v>9.9517832840157142E-3</v>
      </c>
      <c r="N4557" s="20">
        <v>9.4583143332220218E-4</v>
      </c>
      <c r="O4557" s="20">
        <v>9.5041401759760086E-2</v>
      </c>
      <c r="P4557" s="20"/>
      <c r="Q4557" s="20">
        <v>0.08</v>
      </c>
      <c r="R4557" s="20">
        <v>0.57999999999999996</v>
      </c>
      <c r="S4557" s="20">
        <v>0.34000000000000008</v>
      </c>
      <c r="T4557" s="20"/>
    </row>
    <row r="4558" spans="13:20" x14ac:dyDescent="0.2">
      <c r="M4558" s="20">
        <v>1.422474026965917E-2</v>
      </c>
      <c r="N4558" s="20">
        <v>1.325200870801891E-3</v>
      </c>
      <c r="O4558" s="20">
        <v>9.3161691931099383E-2</v>
      </c>
      <c r="P4558" s="20">
        <v>0.10000000000000009</v>
      </c>
      <c r="Q4558" s="20">
        <v>0.59</v>
      </c>
      <c r="R4558" s="20">
        <v>0.11</v>
      </c>
      <c r="S4558" s="20">
        <v>0.12</v>
      </c>
      <c r="T4558" s="20">
        <v>0.08</v>
      </c>
    </row>
    <row r="4559" spans="13:20" x14ac:dyDescent="0.2">
      <c r="M4559" s="20">
        <v>1.4148879873072288E-2</v>
      </c>
      <c r="N4559" s="20">
        <v>2.4620121138320657E-3</v>
      </c>
      <c r="O4559" s="20">
        <v>0.17400756356110503</v>
      </c>
      <c r="P4559" s="20">
        <v>0.9</v>
      </c>
      <c r="Q4559" s="20">
        <v>9.9999999999999978E-2</v>
      </c>
      <c r="R4559" s="20"/>
      <c r="S4559" s="20"/>
      <c r="T4559" s="20"/>
    </row>
    <row r="4560" spans="13:20" x14ac:dyDescent="0.2">
      <c r="M4560" s="20">
        <v>1.3009110546230461E-2</v>
      </c>
      <c r="N4560" s="20">
        <v>2.0845028072481913E-3</v>
      </c>
      <c r="O4560" s="20">
        <v>0.16023407594550726</v>
      </c>
      <c r="P4560" s="20">
        <v>0.52</v>
      </c>
      <c r="Q4560" s="20"/>
      <c r="R4560" s="20"/>
      <c r="S4560" s="20"/>
      <c r="T4560" s="20">
        <v>0.48</v>
      </c>
    </row>
    <row r="4561" spans="13:20" x14ac:dyDescent="0.2">
      <c r="M4561" s="20">
        <v>1.0579562012371212E-2</v>
      </c>
      <c r="N4561" s="20">
        <v>1.5861902721469832E-3</v>
      </c>
      <c r="O4561" s="20">
        <v>0.14992967291955672</v>
      </c>
      <c r="P4561" s="20">
        <v>0.28999999999999998</v>
      </c>
      <c r="Q4561" s="20">
        <v>0.15</v>
      </c>
      <c r="R4561" s="20">
        <v>0.56000000000000005</v>
      </c>
      <c r="S4561" s="20"/>
      <c r="T4561" s="20"/>
    </row>
    <row r="4562" spans="13:20" x14ac:dyDescent="0.2">
      <c r="M4562" s="20">
        <v>1.4244000335516106E-2</v>
      </c>
      <c r="N4562" s="20">
        <v>1.9884612308425096E-3</v>
      </c>
      <c r="O4562" s="20">
        <v>0.13959991463103691</v>
      </c>
      <c r="P4562" s="20">
        <v>0.54</v>
      </c>
      <c r="Q4562" s="20">
        <v>0.45999999999999996</v>
      </c>
      <c r="R4562" s="20"/>
      <c r="S4562" s="20"/>
      <c r="T4562" s="20"/>
    </row>
    <row r="4563" spans="13:20" x14ac:dyDescent="0.2">
      <c r="M4563" s="20">
        <v>1.5334777520948459E-2</v>
      </c>
      <c r="N4563" s="20">
        <v>1.0579158822794702E-3</v>
      </c>
      <c r="O4563" s="20">
        <v>6.8988016346130721E-2</v>
      </c>
      <c r="P4563" s="20"/>
      <c r="Q4563" s="20">
        <v>0.65</v>
      </c>
      <c r="R4563" s="20">
        <v>7.0000000000000007E-2</v>
      </c>
      <c r="S4563" s="20">
        <v>0.28000000000000003</v>
      </c>
      <c r="T4563" s="20"/>
    </row>
    <row r="4564" spans="13:20" x14ac:dyDescent="0.2">
      <c r="M4564" s="20">
        <v>1.2220605861326714E-2</v>
      </c>
      <c r="N4564" s="20">
        <v>1.616343345599811E-3</v>
      </c>
      <c r="O4564" s="20">
        <v>0.13226376531092338</v>
      </c>
      <c r="P4564" s="20">
        <v>0.28999999999999998</v>
      </c>
      <c r="Q4564" s="20">
        <v>0.38</v>
      </c>
      <c r="R4564" s="20">
        <v>0.32999999999999996</v>
      </c>
      <c r="S4564" s="20"/>
      <c r="T4564" s="20"/>
    </row>
    <row r="4565" spans="13:20" x14ac:dyDescent="0.2">
      <c r="M4565" s="20">
        <v>1.1484025901896058E-2</v>
      </c>
      <c r="N4565" s="20">
        <v>1.1784986636444832E-3</v>
      </c>
      <c r="O4565" s="20">
        <v>0.10262069014054631</v>
      </c>
      <c r="P4565" s="20"/>
      <c r="Q4565" s="20">
        <v>0.24</v>
      </c>
      <c r="R4565" s="20">
        <v>0.76</v>
      </c>
      <c r="S4565" s="20"/>
      <c r="T4565" s="20"/>
    </row>
    <row r="4566" spans="13:20" x14ac:dyDescent="0.2">
      <c r="M4566" s="20">
        <v>1.1170957929046488E-2</v>
      </c>
      <c r="N4566" s="20">
        <v>1.1470345869980542E-3</v>
      </c>
      <c r="O4566" s="20">
        <v>0.10268005611368021</v>
      </c>
      <c r="P4566" s="20"/>
      <c r="Q4566" s="20"/>
      <c r="R4566" s="20">
        <v>1</v>
      </c>
      <c r="S4566" s="20">
        <v>0</v>
      </c>
      <c r="T4566" s="20"/>
    </row>
    <row r="4567" spans="13:20" x14ac:dyDescent="0.2">
      <c r="M4567" s="20">
        <v>1.1103742306070523E-2</v>
      </c>
      <c r="N4567" s="20">
        <v>1.1408083758443876E-3</v>
      </c>
      <c r="O4567" s="20">
        <v>0.10274089080946129</v>
      </c>
      <c r="P4567" s="20"/>
      <c r="Q4567" s="20"/>
      <c r="R4567" s="20">
        <v>0.99</v>
      </c>
      <c r="S4567" s="20">
        <v>1.000000000000012E-2</v>
      </c>
      <c r="T4567" s="20"/>
    </row>
    <row r="4568" spans="13:20" x14ac:dyDescent="0.2">
      <c r="M4568" s="20">
        <v>1.2890514367866566E-2</v>
      </c>
      <c r="N4568" s="20">
        <v>1.815911664595574E-3</v>
      </c>
      <c r="O4568" s="20">
        <v>0.14087193208692064</v>
      </c>
      <c r="P4568" s="20">
        <v>0.31</v>
      </c>
      <c r="Q4568" s="20">
        <v>0.17999999999999994</v>
      </c>
      <c r="R4568" s="20"/>
      <c r="S4568" s="20"/>
      <c r="T4568" s="20">
        <v>0.51</v>
      </c>
    </row>
    <row r="4569" spans="13:20" x14ac:dyDescent="0.2">
      <c r="M4569" s="20">
        <v>1.2186301579098497E-2</v>
      </c>
      <c r="N4569" s="20">
        <v>8.8925601351539491E-4</v>
      </c>
      <c r="O4569" s="20">
        <v>7.2971771438892871E-2</v>
      </c>
      <c r="P4569" s="20"/>
      <c r="Q4569" s="20">
        <v>0.32</v>
      </c>
      <c r="R4569" s="20">
        <v>0.15</v>
      </c>
      <c r="S4569" s="20">
        <v>0.5</v>
      </c>
      <c r="T4569" s="20">
        <v>3.0000000000000027E-2</v>
      </c>
    </row>
    <row r="4570" spans="13:20" x14ac:dyDescent="0.2">
      <c r="M4570" s="20">
        <v>1.049835125197526E-2</v>
      </c>
      <c r="N4570" s="20">
        <v>1.0785462643077225E-3</v>
      </c>
      <c r="O4570" s="20">
        <v>0.10273482363288183</v>
      </c>
      <c r="P4570" s="20"/>
      <c r="Q4570" s="20"/>
      <c r="R4570" s="20">
        <v>0.89</v>
      </c>
      <c r="S4570" s="20">
        <v>0.1100000000000001</v>
      </c>
      <c r="T4570" s="20"/>
    </row>
    <row r="4571" spans="13:20" x14ac:dyDescent="0.2">
      <c r="M4571" s="20">
        <v>1.5269305110121279E-2</v>
      </c>
      <c r="N4571" s="20">
        <v>1.5576088863986492E-3</v>
      </c>
      <c r="O4571" s="20">
        <v>0.10200915334164003</v>
      </c>
      <c r="P4571" s="20">
        <v>0.04</v>
      </c>
      <c r="Q4571" s="20">
        <v>6.9999999999999951E-2</v>
      </c>
      <c r="R4571" s="20"/>
      <c r="S4571" s="20"/>
      <c r="T4571" s="20">
        <v>0.89</v>
      </c>
    </row>
    <row r="4572" spans="13:20" x14ac:dyDescent="0.2">
      <c r="M4572" s="20">
        <v>1.2972249134427266E-2</v>
      </c>
      <c r="N4572" s="20">
        <v>2.1163185084060294E-3</v>
      </c>
      <c r="O4572" s="20">
        <v>0.16314198767502058</v>
      </c>
      <c r="P4572" s="20">
        <v>0.54999999999999993</v>
      </c>
      <c r="Q4572" s="20"/>
      <c r="R4572" s="20"/>
      <c r="S4572" s="20"/>
      <c r="T4572" s="20">
        <v>0.45</v>
      </c>
    </row>
    <row r="4573" spans="13:20" x14ac:dyDescent="0.2">
      <c r="M4573" s="20">
        <v>1.2964927636934487E-2</v>
      </c>
      <c r="N4573" s="20">
        <v>1.3607447325008515E-3</v>
      </c>
      <c r="O4573" s="20">
        <v>0.10495582934256895</v>
      </c>
      <c r="P4573" s="20">
        <v>0.02</v>
      </c>
      <c r="Q4573" s="20">
        <v>1.9999999999999907E-2</v>
      </c>
      <c r="R4573" s="20">
        <v>7.0000000000000007E-2</v>
      </c>
      <c r="S4573" s="20">
        <v>0.16</v>
      </c>
      <c r="T4573" s="20">
        <v>0.73</v>
      </c>
    </row>
    <row r="4574" spans="13:20" x14ac:dyDescent="0.2">
      <c r="M4574" s="20">
        <v>1.3849894403893379E-2</v>
      </c>
      <c r="N4574" s="20">
        <v>2.3041618195022134E-3</v>
      </c>
      <c r="O4574" s="20">
        <v>0.16636674275686061</v>
      </c>
      <c r="P4574" s="20">
        <v>0.78</v>
      </c>
      <c r="Q4574" s="20">
        <v>0.21999999999999997</v>
      </c>
      <c r="R4574" s="20"/>
      <c r="S4574" s="20"/>
      <c r="T4574" s="20"/>
    </row>
    <row r="4575" spans="13:20" x14ac:dyDescent="0.2">
      <c r="M4575" s="20">
        <v>1.2765275876281712E-2</v>
      </c>
      <c r="N4575" s="20">
        <v>1.7498068853054791E-3</v>
      </c>
      <c r="O4575" s="20">
        <v>0.13707552443552559</v>
      </c>
      <c r="P4575" s="20">
        <v>0.29000000000000015</v>
      </c>
      <c r="Q4575" s="20"/>
      <c r="R4575" s="20"/>
      <c r="S4575" s="20">
        <v>0.09</v>
      </c>
      <c r="T4575" s="20">
        <v>0.62</v>
      </c>
    </row>
    <row r="4576" spans="13:20" x14ac:dyDescent="0.2">
      <c r="M4576" s="20">
        <v>1.0187204148936787E-2</v>
      </c>
      <c r="N4576" s="20">
        <v>8.6734331358424789E-4</v>
      </c>
      <c r="O4576" s="20">
        <v>8.5140466501279488E-2</v>
      </c>
      <c r="P4576" s="20"/>
      <c r="Q4576" s="20"/>
      <c r="R4576" s="20"/>
      <c r="S4576" s="20">
        <v>0.66</v>
      </c>
      <c r="T4576" s="20">
        <v>0.33999999999999986</v>
      </c>
    </row>
    <row r="4577" spans="13:20" x14ac:dyDescent="0.2">
      <c r="M4577" s="20">
        <v>1.1860533476006531E-2</v>
      </c>
      <c r="N4577" s="20">
        <v>1.4082472612716318E-3</v>
      </c>
      <c r="O4577" s="20">
        <v>0.11873388866702073</v>
      </c>
      <c r="P4577" s="20">
        <v>5.0000000000000044E-2</v>
      </c>
      <c r="Q4577" s="20"/>
      <c r="R4577" s="20">
        <v>0.33</v>
      </c>
      <c r="S4577" s="20">
        <v>0.05</v>
      </c>
      <c r="T4577" s="20">
        <v>0.56999999999999995</v>
      </c>
    </row>
    <row r="4578" spans="13:20" x14ac:dyDescent="0.2">
      <c r="M4578" s="20">
        <v>1.0258850148799395E-2</v>
      </c>
      <c r="N4578" s="20">
        <v>9.278603445171034E-4</v>
      </c>
      <c r="O4578" s="20">
        <v>9.0444867705343365E-2</v>
      </c>
      <c r="P4578" s="20"/>
      <c r="Q4578" s="20"/>
      <c r="R4578" s="20"/>
      <c r="S4578" s="20">
        <v>0.6</v>
      </c>
      <c r="T4578" s="20">
        <v>0.40000000000000013</v>
      </c>
    </row>
    <row r="4579" spans="13:20" x14ac:dyDescent="0.2">
      <c r="M4579" s="20">
        <v>1.4161652659714672E-2</v>
      </c>
      <c r="N4579" s="20">
        <v>2.0147696132308181E-3</v>
      </c>
      <c r="O4579" s="20">
        <v>0.14226938491170504</v>
      </c>
      <c r="P4579" s="20">
        <v>0.56000000000000005</v>
      </c>
      <c r="Q4579" s="20">
        <v>0.43999999999999984</v>
      </c>
      <c r="R4579" s="20"/>
      <c r="S4579" s="20"/>
      <c r="T4579" s="20"/>
    </row>
    <row r="4580" spans="13:20" x14ac:dyDescent="0.2">
      <c r="M4580" s="20">
        <v>1.3404443770521725E-2</v>
      </c>
      <c r="N4580" s="20">
        <v>2.3789003939131432E-3</v>
      </c>
      <c r="O4580" s="20">
        <v>0.17747102637296172</v>
      </c>
      <c r="P4580" s="20">
        <v>0.8</v>
      </c>
      <c r="Q4580" s="20">
        <v>1.000000000000012E-2</v>
      </c>
      <c r="R4580" s="20"/>
      <c r="S4580" s="20"/>
      <c r="T4580" s="20">
        <v>0.19</v>
      </c>
    </row>
    <row r="4581" spans="13:20" x14ac:dyDescent="0.2">
      <c r="M4581" s="20">
        <v>1.3644159474946559E-2</v>
      </c>
      <c r="N4581" s="20">
        <v>2.1802667799852944E-3</v>
      </c>
      <c r="O4581" s="20">
        <v>0.15979487662752007</v>
      </c>
      <c r="P4581" s="20">
        <v>0.68</v>
      </c>
      <c r="Q4581" s="20">
        <v>0.28999999999999981</v>
      </c>
      <c r="R4581" s="20"/>
      <c r="S4581" s="20"/>
      <c r="T4581" s="20">
        <v>0.03</v>
      </c>
    </row>
    <row r="4582" spans="13:20" x14ac:dyDescent="0.2">
      <c r="M4582" s="20">
        <v>1.3461833015792735E-2</v>
      </c>
      <c r="N4582" s="20">
        <v>2.3793097977329236E-3</v>
      </c>
      <c r="O4582" s="20">
        <v>0.17674486044668947</v>
      </c>
      <c r="P4582" s="20">
        <v>0.81</v>
      </c>
      <c r="Q4582" s="20">
        <v>4.9999999999999822E-2</v>
      </c>
      <c r="R4582" s="20"/>
      <c r="S4582" s="20"/>
      <c r="T4582" s="20">
        <v>0.14000000000000001</v>
      </c>
    </row>
    <row r="4583" spans="13:20" x14ac:dyDescent="0.2">
      <c r="M4583" s="20">
        <v>1.355564515662541E-2</v>
      </c>
      <c r="N4583" s="20">
        <v>1.6809094529834025E-3</v>
      </c>
      <c r="O4583" s="20">
        <v>0.12400069738929739</v>
      </c>
      <c r="P4583" s="20">
        <v>0.25</v>
      </c>
      <c r="Q4583" s="20">
        <v>0.45999999999999996</v>
      </c>
      <c r="R4583" s="20"/>
      <c r="S4583" s="20"/>
      <c r="T4583" s="20">
        <v>0.28999999999999998</v>
      </c>
    </row>
    <row r="4584" spans="13:20" x14ac:dyDescent="0.2">
      <c r="M4584" s="20">
        <v>9.9533208727755271E-3</v>
      </c>
      <c r="N4584" s="20">
        <v>1.0038317304637244E-3</v>
      </c>
      <c r="O4584" s="20">
        <v>0.10085395048495022</v>
      </c>
      <c r="P4584" s="20"/>
      <c r="Q4584" s="20"/>
      <c r="R4584" s="20">
        <v>0.77</v>
      </c>
      <c r="S4584" s="20">
        <v>0.22999999999999998</v>
      </c>
      <c r="T4584" s="20"/>
    </row>
    <row r="4585" spans="13:20" x14ac:dyDescent="0.2">
      <c r="M4585" s="20">
        <v>1.0240941083441087E-2</v>
      </c>
      <c r="N4585" s="20">
        <v>1.3595605556247423E-3</v>
      </c>
      <c r="O4585" s="20">
        <v>0.13275738475080776</v>
      </c>
      <c r="P4585" s="20">
        <v>0.35</v>
      </c>
      <c r="Q4585" s="20"/>
      <c r="R4585" s="20"/>
      <c r="S4585" s="20">
        <v>0.54</v>
      </c>
      <c r="T4585" s="20">
        <v>0.11</v>
      </c>
    </row>
    <row r="4586" spans="13:20" x14ac:dyDescent="0.2">
      <c r="M4586" s="20">
        <v>1.1523368940796714E-2</v>
      </c>
      <c r="N4586" s="20">
        <v>6.7600579470596394E-4</v>
      </c>
      <c r="O4586" s="20">
        <v>5.8663902733572075E-2</v>
      </c>
      <c r="P4586" s="20">
        <v>0.01</v>
      </c>
      <c r="Q4586" s="20">
        <v>8.0000000000000071E-2</v>
      </c>
      <c r="R4586" s="20"/>
      <c r="S4586" s="20">
        <v>0.84</v>
      </c>
      <c r="T4586" s="20">
        <v>7.0000000000000007E-2</v>
      </c>
    </row>
    <row r="4587" spans="13:20" x14ac:dyDescent="0.2">
      <c r="M4587" s="20">
        <v>1.73570973225694E-2</v>
      </c>
      <c r="N4587" s="20">
        <v>1.2610918648413591E-3</v>
      </c>
      <c r="O4587" s="20">
        <v>7.2655688990207121E-2</v>
      </c>
      <c r="P4587" s="20"/>
      <c r="Q4587" s="20">
        <v>0.87</v>
      </c>
      <c r="R4587" s="20">
        <v>0.12999999999999989</v>
      </c>
      <c r="S4587" s="20"/>
      <c r="T4587" s="20"/>
    </row>
    <row r="4588" spans="13:20" x14ac:dyDescent="0.2">
      <c r="M4588" s="20">
        <v>1.1545579285161931E-2</v>
      </c>
      <c r="N4588" s="20">
        <v>1.1497561246042386E-3</v>
      </c>
      <c r="O4588" s="20">
        <v>9.9584100217636931E-2</v>
      </c>
      <c r="P4588" s="20"/>
      <c r="Q4588" s="20"/>
      <c r="R4588" s="20"/>
      <c r="S4588" s="20">
        <v>0.38</v>
      </c>
      <c r="T4588" s="20">
        <v>0.62</v>
      </c>
    </row>
    <row r="4589" spans="13:20" x14ac:dyDescent="0.2">
      <c r="M4589" s="20">
        <v>1.8528130402520309E-2</v>
      </c>
      <c r="N4589" s="20">
        <v>1.27289089358377E-3</v>
      </c>
      <c r="O4589" s="20">
        <v>6.8700449852761386E-2</v>
      </c>
      <c r="P4589" s="20"/>
      <c r="Q4589" s="20">
        <v>0.96</v>
      </c>
      <c r="R4589" s="20">
        <v>3.9999999999999925E-2</v>
      </c>
      <c r="S4589" s="20"/>
      <c r="T4589" s="20"/>
    </row>
    <row r="4590" spans="13:20" x14ac:dyDescent="0.2">
      <c r="M4590" s="20">
        <v>1.3521701753187084E-2</v>
      </c>
      <c r="N4590" s="20">
        <v>1.9148190677397178E-3</v>
      </c>
      <c r="O4590" s="20">
        <v>0.14161080481518476</v>
      </c>
      <c r="P4590" s="20">
        <v>0.35999999999999988</v>
      </c>
      <c r="Q4590" s="20"/>
      <c r="R4590" s="20"/>
      <c r="S4590" s="20"/>
      <c r="T4590" s="20">
        <v>0.64</v>
      </c>
    </row>
    <row r="4591" spans="13:20" x14ac:dyDescent="0.2">
      <c r="M4591" s="20">
        <v>1.0201929652973661E-2</v>
      </c>
      <c r="N4591" s="20">
        <v>7.0497359508773139E-4</v>
      </c>
      <c r="O4591" s="20">
        <v>6.9101985513323499E-2</v>
      </c>
      <c r="P4591" s="20"/>
      <c r="Q4591" s="20"/>
      <c r="R4591" s="20">
        <v>0.28999999999999998</v>
      </c>
      <c r="S4591" s="20">
        <v>0.71</v>
      </c>
      <c r="T4591" s="20"/>
    </row>
    <row r="4592" spans="13:20" x14ac:dyDescent="0.2">
      <c r="M4592" s="20">
        <v>1.1476432674520195E-2</v>
      </c>
      <c r="N4592" s="20">
        <v>1.2537322142084865E-3</v>
      </c>
      <c r="O4592" s="20">
        <v>0.10924406997934158</v>
      </c>
      <c r="P4592" s="20">
        <v>6.0000000000000164E-2</v>
      </c>
      <c r="Q4592" s="20"/>
      <c r="R4592" s="20"/>
      <c r="S4592" s="20">
        <v>0.34</v>
      </c>
      <c r="T4592" s="20">
        <v>0.6</v>
      </c>
    </row>
    <row r="4593" spans="13:20" x14ac:dyDescent="0.2">
      <c r="M4593" s="20">
        <v>1.1098525930097839E-2</v>
      </c>
      <c r="N4593" s="20">
        <v>1.1706867955738544E-3</v>
      </c>
      <c r="O4593" s="20">
        <v>0.10548128669944319</v>
      </c>
      <c r="P4593" s="20">
        <v>0</v>
      </c>
      <c r="Q4593" s="20">
        <v>0.19</v>
      </c>
      <c r="R4593" s="20">
        <v>0.16</v>
      </c>
      <c r="S4593" s="20">
        <v>0.25</v>
      </c>
      <c r="T4593" s="20">
        <v>0.40000000000000013</v>
      </c>
    </row>
    <row r="4594" spans="13:20" x14ac:dyDescent="0.2">
      <c r="M4594" s="20">
        <v>1.4830630810695749E-2</v>
      </c>
      <c r="N4594" s="20">
        <v>1.7027143933541272E-3</v>
      </c>
      <c r="O4594" s="20">
        <v>0.11481065202743375</v>
      </c>
      <c r="P4594" s="20">
        <v>0.16000000000000003</v>
      </c>
      <c r="Q4594" s="20"/>
      <c r="R4594" s="20"/>
      <c r="S4594" s="20"/>
      <c r="T4594" s="20">
        <v>0.84</v>
      </c>
    </row>
    <row r="4595" spans="13:20" x14ac:dyDescent="0.2">
      <c r="M4595" s="20">
        <v>1.5081169588307179E-2</v>
      </c>
      <c r="N4595" s="20">
        <v>1.6708986921962887E-3</v>
      </c>
      <c r="O4595" s="20">
        <v>0.11079370750474019</v>
      </c>
      <c r="P4595" s="20">
        <v>0.13</v>
      </c>
      <c r="Q4595" s="20"/>
      <c r="R4595" s="20"/>
      <c r="S4595" s="20"/>
      <c r="T4595" s="20">
        <v>0.87</v>
      </c>
    </row>
    <row r="4596" spans="13:20" x14ac:dyDescent="0.2">
      <c r="M4596" s="20">
        <v>1.1706238115787464E-2</v>
      </c>
      <c r="N4596" s="20">
        <v>8.1282862275112869E-4</v>
      </c>
      <c r="O4596" s="20">
        <v>6.943551076881975E-2</v>
      </c>
      <c r="P4596" s="20"/>
      <c r="Q4596" s="20">
        <v>0.23</v>
      </c>
      <c r="R4596" s="20">
        <v>0.12</v>
      </c>
      <c r="S4596" s="20">
        <v>0.61</v>
      </c>
      <c r="T4596" s="20">
        <v>4.0000000000000147E-2</v>
      </c>
    </row>
    <row r="4597" spans="13:20" x14ac:dyDescent="0.2">
      <c r="M4597" s="20">
        <v>1.0164661231496943E-2</v>
      </c>
      <c r="N4597" s="20">
        <v>1.138811924820053E-3</v>
      </c>
      <c r="O4597" s="20">
        <v>0.11203638752772688</v>
      </c>
      <c r="P4597" s="20">
        <v>0</v>
      </c>
      <c r="Q4597" s="20"/>
      <c r="R4597" s="20">
        <v>0.76</v>
      </c>
      <c r="S4597" s="20">
        <v>0.1</v>
      </c>
      <c r="T4597" s="20">
        <v>0.14000000000000001</v>
      </c>
    </row>
    <row r="4598" spans="13:20" x14ac:dyDescent="0.2">
      <c r="M4598" s="20">
        <v>1.2675983482620766E-2</v>
      </c>
      <c r="N4598" s="20">
        <v>1.3362164801999086E-3</v>
      </c>
      <c r="O4598" s="20">
        <v>0.10541323929870293</v>
      </c>
      <c r="P4598" s="20">
        <v>0.09</v>
      </c>
      <c r="Q4598" s="20">
        <v>0.45</v>
      </c>
      <c r="R4598" s="20">
        <v>0.46000000000000008</v>
      </c>
      <c r="S4598" s="20"/>
      <c r="T4598" s="20"/>
    </row>
    <row r="4599" spans="13:20" x14ac:dyDescent="0.2">
      <c r="M4599" s="20">
        <v>1.1427197176769118E-2</v>
      </c>
      <c r="N4599" s="20">
        <v>6.745001489480778E-4</v>
      </c>
      <c r="O4599" s="20">
        <v>5.9025860717560788E-2</v>
      </c>
      <c r="P4599" s="20"/>
      <c r="Q4599" s="20">
        <v>0.1</v>
      </c>
      <c r="R4599" s="20">
        <v>0.12</v>
      </c>
      <c r="S4599" s="20">
        <v>0.77999999999999992</v>
      </c>
      <c r="T4599" s="20"/>
    </row>
    <row r="4600" spans="13:20" x14ac:dyDescent="0.2">
      <c r="M4600" s="20">
        <v>1.2961478007528808E-2</v>
      </c>
      <c r="N4600" s="20">
        <v>2.1905551444409864E-3</v>
      </c>
      <c r="O4600" s="20">
        <v>0.1690050427249562</v>
      </c>
      <c r="P4600" s="20">
        <v>0.62000000000000011</v>
      </c>
      <c r="Q4600" s="20"/>
      <c r="R4600" s="20"/>
      <c r="S4600" s="20"/>
      <c r="T4600" s="20">
        <v>0.38</v>
      </c>
    </row>
    <row r="4601" spans="13:20" x14ac:dyDescent="0.2">
      <c r="M4601" s="20">
        <v>1.0396034154872173E-2</v>
      </c>
      <c r="N4601" s="20">
        <v>1.5690992737369027E-3</v>
      </c>
      <c r="O4601" s="20">
        <v>0.15093248544220428</v>
      </c>
      <c r="P4601" s="20">
        <v>0.3</v>
      </c>
      <c r="Q4601" s="20">
        <v>0.03</v>
      </c>
      <c r="R4601" s="20">
        <v>0.11</v>
      </c>
      <c r="S4601" s="20">
        <v>0.23000000000000009</v>
      </c>
      <c r="T4601" s="20">
        <v>0.33</v>
      </c>
    </row>
    <row r="4602" spans="13:20" x14ac:dyDescent="0.2">
      <c r="M4602" s="20">
        <v>1.0285885267414079E-2</v>
      </c>
      <c r="N4602" s="20">
        <v>8.4902115372191209E-4</v>
      </c>
      <c r="O4602" s="20">
        <v>8.2542351158789481E-2</v>
      </c>
      <c r="P4602" s="20"/>
      <c r="Q4602" s="20">
        <v>0.11</v>
      </c>
      <c r="R4602" s="20">
        <v>0.21</v>
      </c>
      <c r="S4602" s="20">
        <v>0.56999999999999995</v>
      </c>
      <c r="T4602" s="20">
        <v>0.1100000000000001</v>
      </c>
    </row>
    <row r="4603" spans="13:20" x14ac:dyDescent="0.2">
      <c r="M4603" s="20">
        <v>1.1242888918919244E-2</v>
      </c>
      <c r="N4603" s="20">
        <v>6.1132905736220882E-4</v>
      </c>
      <c r="O4603" s="20">
        <v>5.4374730709424696E-2</v>
      </c>
      <c r="P4603" s="20"/>
      <c r="Q4603" s="20"/>
      <c r="R4603" s="20">
        <v>0.01</v>
      </c>
      <c r="S4603" s="20">
        <v>0.91</v>
      </c>
      <c r="T4603" s="20">
        <v>7.9999999999999849E-2</v>
      </c>
    </row>
    <row r="4604" spans="13:20" x14ac:dyDescent="0.2">
      <c r="M4604" s="20">
        <v>1.364869326837167E-2</v>
      </c>
      <c r="N4604" s="20">
        <v>1.7540104121152112E-3</v>
      </c>
      <c r="O4604" s="20">
        <v>0.12851123383216523</v>
      </c>
      <c r="P4604" s="20">
        <v>0.23</v>
      </c>
      <c r="Q4604" s="20">
        <v>9.000000000000008E-2</v>
      </c>
      <c r="R4604" s="20"/>
      <c r="S4604" s="20"/>
      <c r="T4604" s="20">
        <v>0.68</v>
      </c>
    </row>
    <row r="4605" spans="13:20" x14ac:dyDescent="0.2">
      <c r="M4605" s="20">
        <v>1.1401739475669198E-2</v>
      </c>
      <c r="N4605" s="20">
        <v>5.9501667438639999E-4</v>
      </c>
      <c r="O4605" s="20">
        <v>5.2186482216695008E-2</v>
      </c>
      <c r="P4605" s="20"/>
      <c r="Q4605" s="20"/>
      <c r="R4605" s="20"/>
      <c r="S4605" s="20">
        <v>0.93</v>
      </c>
      <c r="T4605" s="20">
        <v>6.9999999999999951E-2</v>
      </c>
    </row>
    <row r="4606" spans="13:20" x14ac:dyDescent="0.2">
      <c r="M4606" s="20">
        <v>1.1886501898264552E-2</v>
      </c>
      <c r="N4606" s="20">
        <v>1.1889866891932927E-3</v>
      </c>
      <c r="O4606" s="20">
        <v>0.10002830936887214</v>
      </c>
      <c r="P4606" s="20"/>
      <c r="Q4606" s="20">
        <v>0.32</v>
      </c>
      <c r="R4606" s="20">
        <v>0.67999999999999994</v>
      </c>
      <c r="S4606" s="20"/>
      <c r="T4606" s="20"/>
    </row>
    <row r="4607" spans="13:20" x14ac:dyDescent="0.2">
      <c r="M4607" s="20">
        <v>1.0199118291272596E-2</v>
      </c>
      <c r="N4607" s="20">
        <v>1.0411889973857235E-3</v>
      </c>
      <c r="O4607" s="20">
        <v>0.10208617722148304</v>
      </c>
      <c r="P4607" s="20"/>
      <c r="Q4607" s="20"/>
      <c r="R4607" s="20">
        <v>0.83</v>
      </c>
      <c r="S4607" s="20">
        <v>0.17000000000000004</v>
      </c>
      <c r="T4607" s="20"/>
    </row>
    <row r="4608" spans="13:20" x14ac:dyDescent="0.2">
      <c r="M4608" s="20">
        <v>1.8661079521685268E-2</v>
      </c>
      <c r="N4608" s="20">
        <v>1.2742018967773711E-3</v>
      </c>
      <c r="O4608" s="20">
        <v>6.8281253252078677E-2</v>
      </c>
      <c r="P4608" s="20">
        <v>0</v>
      </c>
      <c r="Q4608" s="20">
        <v>0.97</v>
      </c>
      <c r="R4608" s="20">
        <v>2.9999999999999916E-2</v>
      </c>
      <c r="S4608" s="20"/>
      <c r="T4608" s="20"/>
    </row>
    <row r="4609" spans="13:20" x14ac:dyDescent="0.2">
      <c r="M4609" s="20">
        <v>1.0322470639899549E-2</v>
      </c>
      <c r="N4609" s="20">
        <v>7.7656776718496544E-4</v>
      </c>
      <c r="O4609" s="20">
        <v>7.523080416264788E-2</v>
      </c>
      <c r="P4609" s="20"/>
      <c r="Q4609" s="20"/>
      <c r="R4609" s="20"/>
      <c r="S4609" s="20">
        <v>0.75</v>
      </c>
      <c r="T4609" s="20">
        <v>0.25</v>
      </c>
    </row>
    <row r="4610" spans="13:20" x14ac:dyDescent="0.2">
      <c r="M4610" s="20">
        <v>1.6728668547775244E-2</v>
      </c>
      <c r="N4610" s="20">
        <v>1.2545368488733532E-3</v>
      </c>
      <c r="O4610" s="20">
        <v>7.4993227661277029E-2</v>
      </c>
      <c r="P4610" s="20"/>
      <c r="Q4610" s="20">
        <v>0.82</v>
      </c>
      <c r="R4610" s="20">
        <v>0.18000000000000005</v>
      </c>
      <c r="S4610" s="20"/>
      <c r="T4610" s="20"/>
    </row>
    <row r="4611" spans="13:20" x14ac:dyDescent="0.2">
      <c r="M4611" s="20">
        <v>1.3226751981993291E-2</v>
      </c>
      <c r="N4611" s="20">
        <v>1.9621970077123431E-3</v>
      </c>
      <c r="O4611" s="20">
        <v>0.14835063138581941</v>
      </c>
      <c r="P4611" s="20">
        <v>0.53</v>
      </c>
      <c r="Q4611" s="20">
        <v>0.37</v>
      </c>
      <c r="R4611" s="20">
        <v>9.9999999999999978E-2</v>
      </c>
      <c r="S4611" s="20"/>
      <c r="T4611" s="20"/>
    </row>
    <row r="4612" spans="13:20" x14ac:dyDescent="0.2">
      <c r="M4612" s="20">
        <v>1.0267488646913093E-2</v>
      </c>
      <c r="N4612" s="20">
        <v>7.9674011082925028E-4</v>
      </c>
      <c r="O4612" s="20">
        <v>7.7598343492572469E-2</v>
      </c>
      <c r="P4612" s="20"/>
      <c r="Q4612" s="20"/>
      <c r="R4612" s="20"/>
      <c r="S4612" s="20">
        <v>0.73</v>
      </c>
      <c r="T4612" s="20">
        <v>0.26999999999999991</v>
      </c>
    </row>
    <row r="4613" spans="13:20" x14ac:dyDescent="0.2">
      <c r="M4613" s="20">
        <v>1.3842888435093081E-2</v>
      </c>
      <c r="N4613" s="20">
        <v>2.1857740987548243E-3</v>
      </c>
      <c r="O4613" s="20">
        <v>0.15789870076635684</v>
      </c>
      <c r="P4613" s="20">
        <v>0.69</v>
      </c>
      <c r="Q4613" s="20">
        <v>0.31000000000000005</v>
      </c>
      <c r="R4613" s="20"/>
      <c r="S4613" s="20"/>
      <c r="T4613" s="20"/>
    </row>
    <row r="4614" spans="13:20" x14ac:dyDescent="0.2">
      <c r="M4614" s="20">
        <v>1.5546131243015434E-2</v>
      </c>
      <c r="N4614" s="20">
        <v>1.6977580213775128E-3</v>
      </c>
      <c r="O4614" s="20">
        <v>0.10920775045819078</v>
      </c>
      <c r="P4614" s="20">
        <v>0.32</v>
      </c>
      <c r="Q4614" s="20">
        <v>0.67</v>
      </c>
      <c r="R4614" s="20">
        <v>1.0000000000000009E-2</v>
      </c>
      <c r="S4614" s="20"/>
      <c r="T4614" s="20"/>
    </row>
    <row r="4615" spans="13:20" x14ac:dyDescent="0.2">
      <c r="M4615" s="20">
        <v>1.3735477438161735E-2</v>
      </c>
      <c r="N4615" s="20">
        <v>1.3913856160262324E-3</v>
      </c>
      <c r="O4615" s="20">
        <v>0.10129867143609432</v>
      </c>
      <c r="P4615" s="20">
        <v>0</v>
      </c>
      <c r="Q4615" s="20">
        <v>0.15999999999999992</v>
      </c>
      <c r="R4615" s="20"/>
      <c r="S4615" s="20">
        <v>0.1</v>
      </c>
      <c r="T4615" s="20">
        <v>0.74</v>
      </c>
    </row>
    <row r="4616" spans="13:20" x14ac:dyDescent="0.2">
      <c r="M4616" s="20">
        <v>1.3323680807700692E-2</v>
      </c>
      <c r="N4616" s="20">
        <v>1.9071721953150937E-3</v>
      </c>
      <c r="O4616" s="20">
        <v>0.14314154045275573</v>
      </c>
      <c r="P4616" s="20">
        <v>0.36</v>
      </c>
      <c r="Q4616" s="20">
        <v>2.9999999999999916E-2</v>
      </c>
      <c r="R4616" s="20"/>
      <c r="S4616" s="20"/>
      <c r="T4616" s="20">
        <v>0.61</v>
      </c>
    </row>
    <row r="4617" spans="13:20" x14ac:dyDescent="0.2">
      <c r="M4617" s="20">
        <v>1.4367156485985241E-2</v>
      </c>
      <c r="N4617" s="20">
        <v>2.5277830698028371E-3</v>
      </c>
      <c r="O4617" s="20">
        <v>0.17594177889470466</v>
      </c>
      <c r="P4617" s="20">
        <v>0.95</v>
      </c>
      <c r="Q4617" s="20">
        <v>5.0000000000000155E-2</v>
      </c>
      <c r="R4617" s="20"/>
      <c r="S4617" s="20"/>
      <c r="T4617" s="20"/>
    </row>
    <row r="4618" spans="13:20" x14ac:dyDescent="0.2">
      <c r="M4618" s="20">
        <v>1.774207684011481E-2</v>
      </c>
      <c r="N4618" s="20">
        <v>1.2650248744221629E-3</v>
      </c>
      <c r="O4618" s="20">
        <v>7.1300833934049013E-2</v>
      </c>
      <c r="P4618" s="20"/>
      <c r="Q4618" s="20">
        <v>0.9</v>
      </c>
      <c r="R4618" s="20">
        <v>9.9999999999999978E-2</v>
      </c>
      <c r="S4618" s="20"/>
      <c r="T4618" s="20"/>
    </row>
    <row r="4619" spans="13:20" x14ac:dyDescent="0.2">
      <c r="M4619" s="20">
        <v>1.0787508195407211E-2</v>
      </c>
      <c r="N4619" s="20">
        <v>1.7304486696789285E-3</v>
      </c>
      <c r="O4619" s="20">
        <v>0.16041226929641345</v>
      </c>
      <c r="P4619" s="20">
        <v>0.5</v>
      </c>
      <c r="Q4619" s="20"/>
      <c r="R4619" s="20"/>
      <c r="S4619" s="20">
        <v>0.33</v>
      </c>
      <c r="T4619" s="20">
        <v>0.17</v>
      </c>
    </row>
    <row r="4620" spans="13:20" x14ac:dyDescent="0.2">
      <c r="M4620" s="20">
        <v>1.1155032780301371E-2</v>
      </c>
      <c r="N4620" s="20">
        <v>6.2527518985282758E-4</v>
      </c>
      <c r="O4620" s="20">
        <v>5.6053191610247764E-2</v>
      </c>
      <c r="P4620" s="20"/>
      <c r="Q4620" s="20"/>
      <c r="R4620" s="20"/>
      <c r="S4620" s="20">
        <v>0.9</v>
      </c>
      <c r="T4620" s="20">
        <v>9.9999999999999978E-2</v>
      </c>
    </row>
    <row r="4621" spans="13:20" x14ac:dyDescent="0.2">
      <c r="M4621" s="20">
        <v>1.6728668547775244E-2</v>
      </c>
      <c r="N4621" s="20">
        <v>1.2545368488733534E-3</v>
      </c>
      <c r="O4621" s="20">
        <v>7.4993227661277029E-2</v>
      </c>
      <c r="P4621" s="20"/>
      <c r="Q4621" s="20">
        <v>0.82</v>
      </c>
      <c r="R4621" s="20">
        <v>0.18000000000000016</v>
      </c>
      <c r="S4621" s="20"/>
      <c r="T4621" s="20"/>
    </row>
    <row r="4622" spans="13:20" x14ac:dyDescent="0.2">
      <c r="M4622" s="20">
        <v>1.0775553261082978E-2</v>
      </c>
      <c r="N4622" s="20">
        <v>9.1536237266403621E-4</v>
      </c>
      <c r="O4622" s="20">
        <v>8.4948062571409841E-2</v>
      </c>
      <c r="P4622" s="20"/>
      <c r="Q4622" s="20">
        <v>0.2</v>
      </c>
      <c r="R4622" s="20">
        <v>0.24</v>
      </c>
      <c r="S4622" s="20">
        <v>0.47</v>
      </c>
      <c r="T4622" s="20">
        <v>9.000000000000008E-2</v>
      </c>
    </row>
    <row r="4623" spans="13:20" x14ac:dyDescent="0.2">
      <c r="M4623" s="20">
        <v>9.7806068461881151E-3</v>
      </c>
      <c r="N4623" s="20">
        <v>9.7234841716048524E-4</v>
      </c>
      <c r="O4623" s="20">
        <v>9.9415959812293994E-2</v>
      </c>
      <c r="P4623" s="20"/>
      <c r="Q4623" s="20">
        <v>0.08</v>
      </c>
      <c r="R4623" s="20">
        <v>0.25</v>
      </c>
      <c r="S4623" s="20">
        <v>0.44</v>
      </c>
      <c r="T4623" s="20">
        <v>0.23000000000000009</v>
      </c>
    </row>
    <row r="4624" spans="13:20" x14ac:dyDescent="0.2">
      <c r="M4624" s="20">
        <v>1.6360203031018029E-2</v>
      </c>
      <c r="N4624" s="20">
        <v>1.2506038392925494E-3</v>
      </c>
      <c r="O4624" s="20">
        <v>7.6441828803803624E-2</v>
      </c>
      <c r="P4624" s="20"/>
      <c r="Q4624" s="20">
        <v>0.79</v>
      </c>
      <c r="R4624" s="20">
        <v>0.20999999999999985</v>
      </c>
      <c r="S4624" s="20"/>
      <c r="T4624" s="20"/>
    </row>
    <row r="4625" spans="13:20" x14ac:dyDescent="0.2">
      <c r="M4625" s="20">
        <v>1.3299665165112334E-2</v>
      </c>
      <c r="N4625" s="20">
        <v>1.2428261386472268E-3</v>
      </c>
      <c r="O4625" s="20">
        <v>9.3447926937845538E-2</v>
      </c>
      <c r="P4625" s="20">
        <v>0.02</v>
      </c>
      <c r="Q4625" s="20">
        <v>0.51</v>
      </c>
      <c r="R4625" s="20">
        <v>0.47</v>
      </c>
      <c r="S4625" s="20"/>
      <c r="T4625" s="20"/>
    </row>
    <row r="4626" spans="13:20" x14ac:dyDescent="0.2">
      <c r="M4626" s="20">
        <v>9.3931921459049338E-3</v>
      </c>
      <c r="N4626" s="20">
        <v>1.6621824006198926E-3</v>
      </c>
      <c r="O4626" s="20">
        <v>0.17695607359043958</v>
      </c>
      <c r="P4626" s="20">
        <v>0.53</v>
      </c>
      <c r="Q4626" s="20">
        <v>0.04</v>
      </c>
      <c r="R4626" s="20">
        <v>0.05</v>
      </c>
      <c r="S4626" s="20">
        <v>0.02</v>
      </c>
      <c r="T4626" s="20">
        <v>0.11</v>
      </c>
    </row>
    <row r="4627" spans="13:20" x14ac:dyDescent="0.2">
      <c r="M4627" s="20">
        <v>1.4739662175072128E-2</v>
      </c>
      <c r="N4627" s="20">
        <v>1.6212402887143265E-3</v>
      </c>
      <c r="O4627" s="20">
        <v>0.10999168566130268</v>
      </c>
      <c r="P4627" s="20">
        <v>0.1</v>
      </c>
      <c r="Q4627" s="20">
        <v>7.0000000000000062E-2</v>
      </c>
      <c r="R4627" s="20"/>
      <c r="S4627" s="20"/>
      <c r="T4627" s="20">
        <v>0.83</v>
      </c>
    </row>
    <row r="4628" spans="13:20" x14ac:dyDescent="0.2">
      <c r="M4628" s="20">
        <v>1.5712515718385011E-2</v>
      </c>
      <c r="N4628" s="20">
        <v>1.5966620561613321E-3</v>
      </c>
      <c r="O4628" s="20">
        <v>0.10161721297711089</v>
      </c>
      <c r="P4628" s="20">
        <v>6.0000000000000053E-2</v>
      </c>
      <c r="Q4628" s="20"/>
      <c r="R4628" s="20"/>
      <c r="S4628" s="20"/>
      <c r="T4628" s="20">
        <v>0.94</v>
      </c>
    </row>
    <row r="4629" spans="13:20" x14ac:dyDescent="0.2">
      <c r="M4629" s="20">
        <v>1.8162832231029692E-2</v>
      </c>
      <c r="N4629" s="20">
        <v>1.312353467166233E-3</v>
      </c>
      <c r="O4629" s="20">
        <v>7.2254891223637804E-2</v>
      </c>
      <c r="P4629" s="20">
        <v>0.03</v>
      </c>
      <c r="Q4629" s="20">
        <v>0.93</v>
      </c>
      <c r="R4629" s="20">
        <v>3.9999999999999813E-2</v>
      </c>
      <c r="S4629" s="20"/>
      <c r="T4629" s="20"/>
    </row>
    <row r="4630" spans="13:20" x14ac:dyDescent="0.2">
      <c r="M4630" s="20">
        <v>1.2357430750214492E-2</v>
      </c>
      <c r="N4630" s="20">
        <v>1.6924703575743082E-3</v>
      </c>
      <c r="O4630" s="20">
        <v>0.13695972826268368</v>
      </c>
      <c r="P4630" s="20">
        <v>0.23</v>
      </c>
      <c r="Q4630" s="20">
        <v>0.01</v>
      </c>
      <c r="R4630" s="20">
        <v>0.16000000000000003</v>
      </c>
      <c r="S4630" s="20">
        <v>0.02</v>
      </c>
      <c r="T4630" s="20">
        <v>0.57999999999999996</v>
      </c>
    </row>
    <row r="4631" spans="13:20" x14ac:dyDescent="0.2">
      <c r="M4631" s="20">
        <v>1.1512513353023538E-2</v>
      </c>
      <c r="N4631" s="20">
        <v>1.5059099625303136E-3</v>
      </c>
      <c r="O4631" s="20">
        <v>0.13080635968468307</v>
      </c>
      <c r="P4631" s="20">
        <v>0.22</v>
      </c>
      <c r="Q4631" s="20">
        <v>0.31</v>
      </c>
      <c r="R4631" s="20">
        <v>0.47</v>
      </c>
      <c r="S4631" s="20"/>
      <c r="T4631" s="20"/>
    </row>
    <row r="4632" spans="13:20" x14ac:dyDescent="0.2">
      <c r="M4632" s="20">
        <v>1.7106126896024754E-2</v>
      </c>
      <c r="N4632" s="20">
        <v>1.5017561566587987E-3</v>
      </c>
      <c r="O4632" s="20">
        <v>8.7790542288552056E-2</v>
      </c>
      <c r="P4632" s="20">
        <v>0.17</v>
      </c>
      <c r="Q4632" s="20">
        <v>0.83</v>
      </c>
      <c r="R4632" s="20"/>
      <c r="S4632" s="20"/>
      <c r="T4632" s="20"/>
    </row>
    <row r="4633" spans="13:20" x14ac:dyDescent="0.2">
      <c r="M4633" s="20">
        <v>1.0725350755565655E-2</v>
      </c>
      <c r="N4633" s="20">
        <v>1.1034511089223886E-3</v>
      </c>
      <c r="O4633" s="20">
        <v>0.10288251956233505</v>
      </c>
      <c r="P4633" s="20"/>
      <c r="Q4633" s="20"/>
      <c r="R4633" s="20">
        <v>0.93</v>
      </c>
      <c r="S4633" s="20">
        <v>6.9999999999999951E-2</v>
      </c>
      <c r="T4633" s="20"/>
    </row>
    <row r="4634" spans="13:20" x14ac:dyDescent="0.2">
      <c r="M4634" s="20">
        <v>1.0725350755565655E-2</v>
      </c>
      <c r="N4634" s="20">
        <v>1.1034511089223886E-3</v>
      </c>
      <c r="O4634" s="20">
        <v>0.10288251956233505</v>
      </c>
      <c r="P4634" s="20"/>
      <c r="Q4634" s="20"/>
      <c r="R4634" s="20">
        <v>0.93</v>
      </c>
      <c r="S4634" s="20">
        <v>6.9999999999999951E-2</v>
      </c>
      <c r="T4634" s="20"/>
    </row>
    <row r="4635" spans="13:20" x14ac:dyDescent="0.2">
      <c r="M4635" s="20">
        <v>1.3016354954297676E-2</v>
      </c>
      <c r="N4635" s="20">
        <v>1.7191438151065246E-3</v>
      </c>
      <c r="O4635" s="20">
        <v>0.13207567104175399</v>
      </c>
      <c r="P4635" s="20">
        <v>0.25</v>
      </c>
      <c r="Q4635" s="20">
        <v>0.31000000000000005</v>
      </c>
      <c r="R4635" s="20"/>
      <c r="S4635" s="20"/>
      <c r="T4635" s="20">
        <v>0.44</v>
      </c>
    </row>
    <row r="4636" spans="13:20" x14ac:dyDescent="0.2">
      <c r="M4636" s="20">
        <v>1.1288317773245004E-2</v>
      </c>
      <c r="N4636" s="20">
        <v>9.9463547145170581E-4</v>
      </c>
      <c r="O4636" s="20">
        <v>8.8111930531326849E-2</v>
      </c>
      <c r="P4636" s="20"/>
      <c r="Q4636" s="20">
        <v>0.25</v>
      </c>
      <c r="R4636" s="20">
        <v>0.08</v>
      </c>
      <c r="S4636" s="20">
        <v>0.44</v>
      </c>
      <c r="T4636" s="20">
        <v>0.23000000000000009</v>
      </c>
    </row>
    <row r="4637" spans="13:20" x14ac:dyDescent="0.2">
      <c r="M4637" s="20">
        <v>1.0154326017134094E-2</v>
      </c>
      <c r="N4637" s="20">
        <v>1.0349627862320568E-3</v>
      </c>
      <c r="O4637" s="20">
        <v>0.10192333636774049</v>
      </c>
      <c r="P4637" s="20"/>
      <c r="Q4637" s="20"/>
      <c r="R4637" s="20">
        <v>0.82</v>
      </c>
      <c r="S4637" s="20">
        <v>0.18000000000000016</v>
      </c>
      <c r="T4637" s="20"/>
    </row>
    <row r="4638" spans="13:20" x14ac:dyDescent="0.2">
      <c r="M4638" s="20">
        <v>1.0678381654700331E-2</v>
      </c>
      <c r="N4638" s="20">
        <v>6.9587839260782519E-4</v>
      </c>
      <c r="O4638" s="20">
        <v>6.5167027655498588E-2</v>
      </c>
      <c r="P4638" s="20"/>
      <c r="Q4638" s="20"/>
      <c r="R4638" s="20"/>
      <c r="S4638" s="20">
        <v>0.83</v>
      </c>
      <c r="T4638" s="20">
        <v>0.16999999999999993</v>
      </c>
    </row>
    <row r="4639" spans="13:20" x14ac:dyDescent="0.2">
      <c r="M4639" s="20">
        <v>1.2137228702577031E-2</v>
      </c>
      <c r="N4639" s="20">
        <v>1.1942307019676976E-3</v>
      </c>
      <c r="O4639" s="20">
        <v>9.839401820896175E-2</v>
      </c>
      <c r="P4639" s="20"/>
      <c r="Q4639" s="20">
        <v>0.36</v>
      </c>
      <c r="R4639" s="20">
        <v>0.6399999999999999</v>
      </c>
      <c r="S4639" s="20"/>
      <c r="T4639" s="20"/>
    </row>
    <row r="4640" spans="13:20" x14ac:dyDescent="0.2">
      <c r="M4640" s="20">
        <v>1.3934878700601628E-2</v>
      </c>
      <c r="N4640" s="20">
        <v>2.3699327754729848E-3</v>
      </c>
      <c r="O4640" s="20">
        <v>0.17007200610728423</v>
      </c>
      <c r="P4640" s="20">
        <v>0.83</v>
      </c>
      <c r="Q4640" s="20">
        <v>0.16999999999999993</v>
      </c>
      <c r="R4640" s="20"/>
      <c r="S4640" s="20"/>
      <c r="T4640" s="20"/>
    </row>
    <row r="4641" spans="13:20" x14ac:dyDescent="0.2">
      <c r="M4641" s="20">
        <v>1.4991675924920072E-2</v>
      </c>
      <c r="N4641" s="20">
        <v>1.4422551074463718E-3</v>
      </c>
      <c r="O4641" s="20">
        <v>9.6203727633210653E-2</v>
      </c>
      <c r="P4641" s="20"/>
      <c r="Q4641" s="20"/>
      <c r="R4641" s="20"/>
      <c r="S4641" s="20">
        <v>0.09</v>
      </c>
      <c r="T4641" s="20">
        <v>0.90999999999999992</v>
      </c>
    </row>
    <row r="4642" spans="13:20" x14ac:dyDescent="0.2">
      <c r="M4642" s="20">
        <v>1.0082673107123581E-2</v>
      </c>
      <c r="N4642" s="20">
        <v>1.1472002947787191E-3</v>
      </c>
      <c r="O4642" s="20">
        <v>0.11377937999082827</v>
      </c>
      <c r="P4642" s="20">
        <v>0.23</v>
      </c>
      <c r="Q4642" s="20">
        <v>0.03</v>
      </c>
      <c r="R4642" s="20">
        <v>7.0000000000000173E-2</v>
      </c>
      <c r="S4642" s="20">
        <v>0.59</v>
      </c>
      <c r="T4642" s="20">
        <v>0.08</v>
      </c>
    </row>
    <row r="4643" spans="13:20" x14ac:dyDescent="0.2">
      <c r="M4643" s="20">
        <v>9.5663214340211741E-3</v>
      </c>
      <c r="N4643" s="20">
        <v>8.6685508508306086E-4</v>
      </c>
      <c r="O4643" s="20">
        <v>9.0615299837220817E-2</v>
      </c>
      <c r="P4643" s="20"/>
      <c r="Q4643" s="20"/>
      <c r="R4643" s="20">
        <v>0.55000000000000004</v>
      </c>
      <c r="S4643" s="20">
        <v>0.44999999999999984</v>
      </c>
      <c r="T4643" s="20"/>
    </row>
    <row r="4644" spans="13:20" x14ac:dyDescent="0.2">
      <c r="M4644" s="20">
        <v>1.5241798667462335E-2</v>
      </c>
      <c r="N4644" s="20">
        <v>1.2063627515882048E-3</v>
      </c>
      <c r="O4644" s="20">
        <v>7.9148319559128308E-2</v>
      </c>
      <c r="P4644" s="20"/>
      <c r="Q4644" s="20">
        <v>0.69</v>
      </c>
      <c r="R4644" s="20">
        <v>0.26</v>
      </c>
      <c r="S4644" s="20">
        <v>4.9999999999999933E-2</v>
      </c>
      <c r="T4644" s="20"/>
    </row>
    <row r="4645" spans="13:20" x14ac:dyDescent="0.2">
      <c r="M4645" s="20">
        <v>1.1103742306070523E-2</v>
      </c>
      <c r="N4645" s="20">
        <v>1.1408083758443876E-3</v>
      </c>
      <c r="O4645" s="20">
        <v>0.10274089080946129</v>
      </c>
      <c r="P4645" s="20"/>
      <c r="Q4645" s="20"/>
      <c r="R4645" s="20">
        <v>0.99</v>
      </c>
      <c r="S4645" s="20">
        <v>1.0000000000000009E-2</v>
      </c>
      <c r="T4645" s="20"/>
    </row>
    <row r="4646" spans="13:20" x14ac:dyDescent="0.2">
      <c r="M4646" s="20">
        <v>1.0502583005742475E-2</v>
      </c>
      <c r="N4646" s="20">
        <v>9.9846354727210112E-4</v>
      </c>
      <c r="O4646" s="20">
        <v>9.5068379533508399E-2</v>
      </c>
      <c r="P4646" s="20"/>
      <c r="Q4646" s="20"/>
      <c r="R4646" s="20"/>
      <c r="S4646" s="20">
        <v>0.53</v>
      </c>
      <c r="T4646" s="20">
        <v>0.47000000000000008</v>
      </c>
    </row>
    <row r="4647" spans="13:20" x14ac:dyDescent="0.2">
      <c r="M4647" s="20">
        <v>1.3025664141353185E-2</v>
      </c>
      <c r="N4647" s="20">
        <v>2.0738975735289113E-3</v>
      </c>
      <c r="O4647" s="20">
        <v>0.15921626344907908</v>
      </c>
      <c r="P4647" s="20">
        <v>0.51</v>
      </c>
      <c r="Q4647" s="20"/>
      <c r="R4647" s="20"/>
      <c r="S4647" s="20"/>
      <c r="T4647" s="20">
        <v>0.49</v>
      </c>
    </row>
    <row r="4648" spans="13:20" x14ac:dyDescent="0.2">
      <c r="M4648" s="20">
        <v>1.3401185870619408E-2</v>
      </c>
      <c r="N4648" s="20">
        <v>2.3763514364382684E-3</v>
      </c>
      <c r="O4648" s="20">
        <v>0.17732396665344011</v>
      </c>
      <c r="P4648" s="20">
        <v>0.8</v>
      </c>
      <c r="Q4648" s="20">
        <v>1.9999999999999907E-2</v>
      </c>
      <c r="R4648" s="20"/>
      <c r="S4648" s="20"/>
      <c r="T4648" s="20">
        <v>0.18</v>
      </c>
    </row>
    <row r="4649" spans="13:20" x14ac:dyDescent="0.2">
      <c r="M4649" s="20">
        <v>1.1863708145930605E-2</v>
      </c>
      <c r="N4649" s="20">
        <v>5.4458581527568766E-4</v>
      </c>
      <c r="O4649" s="20">
        <v>4.5903507451208428E-2</v>
      </c>
      <c r="P4649" s="20"/>
      <c r="Q4649" s="20"/>
      <c r="R4649" s="20"/>
      <c r="S4649" s="20">
        <v>0.98</v>
      </c>
      <c r="T4649" s="20">
        <v>2.0000000000000129E-2</v>
      </c>
    </row>
    <row r="4650" spans="13:20" x14ac:dyDescent="0.2">
      <c r="M4650" s="20">
        <v>1.4076638263943288E-2</v>
      </c>
      <c r="N4650" s="20">
        <v>2.4357037314437571E-3</v>
      </c>
      <c r="O4650" s="20">
        <v>0.17303163481033032</v>
      </c>
      <c r="P4650" s="20">
        <v>0.88</v>
      </c>
      <c r="Q4650" s="20">
        <v>0.12000000000000011</v>
      </c>
      <c r="R4650" s="20"/>
      <c r="S4650" s="20"/>
      <c r="T4650" s="20"/>
    </row>
    <row r="4651" spans="13:20" x14ac:dyDescent="0.2">
      <c r="M4651" s="20">
        <v>9.834664969892876E-3</v>
      </c>
      <c r="N4651" s="20">
        <v>1.0154116124691524E-3</v>
      </c>
      <c r="O4651" s="20">
        <v>0.10324821593594283</v>
      </c>
      <c r="P4651" s="20"/>
      <c r="Q4651" s="20"/>
      <c r="R4651" s="20">
        <v>0.74</v>
      </c>
      <c r="S4651" s="20">
        <v>0.23</v>
      </c>
      <c r="T4651" s="20">
        <v>3.0000000000000027E-2</v>
      </c>
    </row>
    <row r="4652" spans="13:20" x14ac:dyDescent="0.2">
      <c r="M4652" s="20">
        <v>9.9261004395188607E-3</v>
      </c>
      <c r="N4652" s="20">
        <v>7.5751933426311015E-4</v>
      </c>
      <c r="O4652" s="20">
        <v>7.6315904607129753E-2</v>
      </c>
      <c r="P4652" s="20"/>
      <c r="Q4652" s="20"/>
      <c r="R4652" s="20">
        <v>0.18</v>
      </c>
      <c r="S4652" s="20">
        <v>0.7</v>
      </c>
      <c r="T4652" s="20">
        <v>0.12000000000000011</v>
      </c>
    </row>
    <row r="4653" spans="13:20" x14ac:dyDescent="0.2">
      <c r="M4653" s="20">
        <v>9.8517444126806422E-3</v>
      </c>
      <c r="N4653" s="20">
        <v>9.8515309700272476E-4</v>
      </c>
      <c r="O4653" s="20">
        <v>9.9997833453199209E-2</v>
      </c>
      <c r="P4653" s="20"/>
      <c r="Q4653" s="20"/>
      <c r="R4653" s="20">
        <v>0.74</v>
      </c>
      <c r="S4653" s="20">
        <v>0.26</v>
      </c>
      <c r="T4653" s="20"/>
    </row>
    <row r="4654" spans="13:20" x14ac:dyDescent="0.2">
      <c r="M4654" s="20">
        <v>1.3627615734674556E-2</v>
      </c>
      <c r="N4654" s="20">
        <v>2.3012034582075586E-3</v>
      </c>
      <c r="O4654" s="20">
        <v>0.16886324820212681</v>
      </c>
      <c r="P4654" s="20">
        <v>0.77</v>
      </c>
      <c r="Q4654" s="20">
        <v>0.19000000000000006</v>
      </c>
      <c r="R4654" s="20"/>
      <c r="S4654" s="20"/>
      <c r="T4654" s="20">
        <v>0.04</v>
      </c>
    </row>
    <row r="4655" spans="13:20" x14ac:dyDescent="0.2">
      <c r="M4655" s="20">
        <v>1.5194608787896911E-2</v>
      </c>
      <c r="N4655" s="20">
        <v>1.7779941717360401E-3</v>
      </c>
      <c r="O4655" s="20">
        <v>0.1170148041687181</v>
      </c>
      <c r="P4655" s="20">
        <v>0.38</v>
      </c>
      <c r="Q4655" s="20">
        <v>0.62000000000000011</v>
      </c>
      <c r="R4655" s="20"/>
      <c r="S4655" s="20"/>
      <c r="T4655" s="20">
        <v>0</v>
      </c>
    </row>
    <row r="4656" spans="13:20" x14ac:dyDescent="0.2">
      <c r="M4656" s="20">
        <v>1.151055011055027E-2</v>
      </c>
      <c r="N4656" s="20">
        <v>9.2846801911856069E-4</v>
      </c>
      <c r="O4656" s="20">
        <v>8.0662349774886191E-2</v>
      </c>
      <c r="P4656" s="20"/>
      <c r="Q4656" s="20">
        <v>0.28000000000000003</v>
      </c>
      <c r="R4656" s="20">
        <v>0.31</v>
      </c>
      <c r="S4656" s="20">
        <v>0.40999999999999992</v>
      </c>
      <c r="T4656" s="20"/>
    </row>
    <row r="4657" spans="13:20" x14ac:dyDescent="0.2">
      <c r="M4657" s="20">
        <v>1.3213046716334708E-2</v>
      </c>
      <c r="N4657" s="20">
        <v>1.825698090675293E-3</v>
      </c>
      <c r="O4657" s="20">
        <v>0.13817389205309194</v>
      </c>
      <c r="P4657" s="20">
        <v>0.3</v>
      </c>
      <c r="Q4657" s="20">
        <v>9.9999999999999978E-2</v>
      </c>
      <c r="R4657" s="20"/>
      <c r="S4657" s="20"/>
      <c r="T4657" s="20">
        <v>0.6</v>
      </c>
    </row>
    <row r="4658" spans="13:20" x14ac:dyDescent="0.2">
      <c r="M4658" s="20">
        <v>1.0342667118598622E-2</v>
      </c>
      <c r="N4658" s="20">
        <v>9.5811885998353078E-4</v>
      </c>
      <c r="O4658" s="20">
        <v>9.2637503363189641E-2</v>
      </c>
      <c r="P4658" s="20"/>
      <c r="Q4658" s="20"/>
      <c r="R4658" s="20"/>
      <c r="S4658" s="20">
        <v>0.56999999999999995</v>
      </c>
      <c r="T4658" s="20">
        <v>0.43000000000000005</v>
      </c>
    </row>
    <row r="4659" spans="13:20" x14ac:dyDescent="0.2">
      <c r="M4659" s="20">
        <v>1.0556532643402264E-2</v>
      </c>
      <c r="N4659" s="20">
        <v>6.6139011701206582E-4</v>
      </c>
      <c r="O4659" s="20">
        <v>6.2652211607134897E-2</v>
      </c>
      <c r="P4659" s="20"/>
      <c r="Q4659" s="20"/>
      <c r="R4659" s="20">
        <v>0.22</v>
      </c>
      <c r="S4659" s="20">
        <v>0.77999999999999992</v>
      </c>
      <c r="T4659" s="20"/>
    </row>
    <row r="4660" spans="13:20" x14ac:dyDescent="0.2">
      <c r="M4660" s="20">
        <v>1.1351167148178644E-2</v>
      </c>
      <c r="N4660" s="20">
        <v>1.4622034553141178E-3</v>
      </c>
      <c r="O4660" s="20">
        <v>0.12881525187907542</v>
      </c>
      <c r="P4660" s="20">
        <v>0.18999999999999995</v>
      </c>
      <c r="Q4660" s="20"/>
      <c r="R4660" s="20"/>
      <c r="S4660" s="20">
        <v>0.27</v>
      </c>
      <c r="T4660" s="20">
        <v>0.54</v>
      </c>
    </row>
    <row r="4661" spans="13:20" x14ac:dyDescent="0.2">
      <c r="M4661" s="20">
        <v>1.4367156485985241E-2</v>
      </c>
      <c r="N4661" s="20">
        <v>2.5277830698028371E-3</v>
      </c>
      <c r="O4661" s="20">
        <v>0.17594177889470466</v>
      </c>
      <c r="P4661" s="20">
        <v>0.95</v>
      </c>
      <c r="Q4661" s="20">
        <v>5.0000000000000155E-2</v>
      </c>
      <c r="R4661" s="20"/>
      <c r="S4661" s="20"/>
      <c r="T4661" s="20"/>
    </row>
    <row r="4662" spans="13:20" x14ac:dyDescent="0.2">
      <c r="M4662" s="20">
        <v>1.1203108781188782E-2</v>
      </c>
      <c r="N4662" s="20">
        <v>1.1666996349020725E-3</v>
      </c>
      <c r="O4662" s="20">
        <v>0.10414070395005769</v>
      </c>
      <c r="P4662" s="20"/>
      <c r="Q4662" s="20">
        <v>0.15</v>
      </c>
      <c r="R4662" s="20">
        <v>0.85000000000000009</v>
      </c>
      <c r="S4662" s="20"/>
      <c r="T4662" s="20"/>
    </row>
    <row r="4663" spans="13:20" x14ac:dyDescent="0.2">
      <c r="M4663" s="20">
        <v>1.4749960029107697E-2</v>
      </c>
      <c r="N4663" s="20">
        <v>1.7133196270734071E-3</v>
      </c>
      <c r="O4663" s="20">
        <v>0.11615757762680899</v>
      </c>
      <c r="P4663" s="20">
        <v>0.17000000000000015</v>
      </c>
      <c r="Q4663" s="20"/>
      <c r="R4663" s="20"/>
      <c r="S4663" s="20"/>
      <c r="T4663" s="20">
        <v>0.83</v>
      </c>
    </row>
    <row r="4664" spans="13:20" x14ac:dyDescent="0.2">
      <c r="M4664" s="20">
        <v>1.0656135167696059E-2</v>
      </c>
      <c r="N4664" s="20">
        <v>8.4279447898632782E-4</v>
      </c>
      <c r="O4664" s="20">
        <v>7.9090070248099775E-2</v>
      </c>
      <c r="P4664" s="20">
        <v>0.10999999999999999</v>
      </c>
      <c r="Q4664" s="20"/>
      <c r="R4664" s="20"/>
      <c r="S4664" s="20">
        <v>0.8</v>
      </c>
      <c r="T4664" s="20">
        <v>0.09</v>
      </c>
    </row>
    <row r="4665" spans="13:20" x14ac:dyDescent="0.2">
      <c r="M4665" s="20">
        <v>1.3683470601174546E-2</v>
      </c>
      <c r="N4665" s="20">
        <v>1.5360630359831414E-3</v>
      </c>
      <c r="O4665" s="20">
        <v>0.11225683021172206</v>
      </c>
      <c r="P4665" s="20">
        <v>0.22</v>
      </c>
      <c r="Q4665" s="20">
        <v>0.54</v>
      </c>
      <c r="R4665" s="20">
        <v>0.23999999999999988</v>
      </c>
      <c r="S4665" s="20"/>
      <c r="T4665" s="20"/>
    </row>
    <row r="4666" spans="13:20" x14ac:dyDescent="0.2">
      <c r="M4666" s="20">
        <v>1.5383173610200159E-2</v>
      </c>
      <c r="N4666" s="20">
        <v>1.2648833314967258E-3</v>
      </c>
      <c r="O4666" s="20">
        <v>8.222512230233274E-2</v>
      </c>
      <c r="P4666" s="20"/>
      <c r="Q4666" s="20">
        <v>0.69</v>
      </c>
      <c r="R4666" s="20">
        <v>0.03</v>
      </c>
      <c r="S4666" s="20">
        <v>0.08</v>
      </c>
      <c r="T4666" s="20">
        <v>0.20000000000000018</v>
      </c>
    </row>
    <row r="4667" spans="13:20" x14ac:dyDescent="0.2">
      <c r="M4667" s="20">
        <v>1.2595367603558399E-2</v>
      </c>
      <c r="N4667" s="20">
        <v>1.3204402826185516E-3</v>
      </c>
      <c r="O4667" s="20">
        <v>0.10483539061182345</v>
      </c>
      <c r="P4667" s="20">
        <v>0.08</v>
      </c>
      <c r="Q4667" s="20">
        <v>0.44</v>
      </c>
      <c r="R4667" s="20">
        <v>0.47999999999999987</v>
      </c>
      <c r="S4667" s="20"/>
      <c r="T4667" s="20"/>
    </row>
    <row r="4668" spans="13:20" x14ac:dyDescent="0.2">
      <c r="M4668" s="20">
        <v>1.0832805402431004E-2</v>
      </c>
      <c r="N4668" s="20">
        <v>6.9664127483237389E-4</v>
      </c>
      <c r="O4668" s="20">
        <v>6.4308482332382677E-2</v>
      </c>
      <c r="P4668" s="20"/>
      <c r="Q4668" s="20">
        <v>0.04</v>
      </c>
      <c r="R4668" s="20">
        <v>0.05</v>
      </c>
      <c r="S4668" s="20">
        <v>0.8</v>
      </c>
      <c r="T4668" s="20">
        <v>0.1100000000000001</v>
      </c>
    </row>
    <row r="4669" spans="13:20" x14ac:dyDescent="0.2">
      <c r="M4669" s="20">
        <v>1.0322470639899549E-2</v>
      </c>
      <c r="N4669" s="20">
        <v>7.7656776718496544E-4</v>
      </c>
      <c r="O4669" s="20">
        <v>7.523080416264788E-2</v>
      </c>
      <c r="P4669" s="20"/>
      <c r="Q4669" s="20"/>
      <c r="R4669" s="20"/>
      <c r="S4669" s="20">
        <v>0.75</v>
      </c>
      <c r="T4669" s="20">
        <v>0.25</v>
      </c>
    </row>
    <row r="4670" spans="13:20" x14ac:dyDescent="0.2">
      <c r="M4670" s="20">
        <v>1.7871638832514841E-2</v>
      </c>
      <c r="N4670" s="20">
        <v>1.2663358776157641E-3</v>
      </c>
      <c r="O4670" s="20">
        <v>7.0857288997573667E-2</v>
      </c>
      <c r="P4670" s="20"/>
      <c r="Q4670" s="20">
        <v>0.91</v>
      </c>
      <c r="R4670" s="20">
        <v>8.9999999999999858E-2</v>
      </c>
      <c r="S4670" s="20"/>
      <c r="T4670" s="20"/>
    </row>
    <row r="4671" spans="13:20" x14ac:dyDescent="0.2">
      <c r="M4671" s="20">
        <v>1.2067434478968134E-2</v>
      </c>
      <c r="N4671" s="20">
        <v>1.5490241443183333E-3</v>
      </c>
      <c r="O4671" s="20">
        <v>0.12836399874538931</v>
      </c>
      <c r="P4671" s="20">
        <v>0.21</v>
      </c>
      <c r="Q4671" s="20">
        <v>0.29999999999999993</v>
      </c>
      <c r="R4671" s="20">
        <v>0.05</v>
      </c>
      <c r="S4671" s="20">
        <v>0.11</v>
      </c>
      <c r="T4671" s="20">
        <v>0.33</v>
      </c>
    </row>
    <row r="4672" spans="13:20" x14ac:dyDescent="0.2">
      <c r="M4672" s="20">
        <v>1.2859167661068191E-2</v>
      </c>
      <c r="N4672" s="20">
        <v>1.8948368117605002E-3</v>
      </c>
      <c r="O4672" s="20">
        <v>0.14735299062140847</v>
      </c>
      <c r="P4672" s="20">
        <v>0.37</v>
      </c>
      <c r="Q4672" s="20">
        <v>0.12</v>
      </c>
      <c r="R4672" s="20"/>
      <c r="S4672" s="20"/>
      <c r="T4672" s="20">
        <v>0.51</v>
      </c>
    </row>
    <row r="4673" spans="13:20" x14ac:dyDescent="0.2">
      <c r="M4673" s="20">
        <v>1.0200049368475052E-2</v>
      </c>
      <c r="N4673" s="20">
        <v>8.3708479811782084E-4</v>
      </c>
      <c r="O4673" s="20">
        <v>8.2066739863531496E-2</v>
      </c>
      <c r="P4673" s="20"/>
      <c r="Q4673" s="20"/>
      <c r="R4673" s="20"/>
      <c r="S4673" s="20">
        <v>0.69</v>
      </c>
      <c r="T4673" s="20">
        <v>0.31000000000000016</v>
      </c>
    </row>
    <row r="4674" spans="13:20" x14ac:dyDescent="0.2">
      <c r="M4674" s="20">
        <v>1.0912978398749273E-2</v>
      </c>
      <c r="N4674" s="20">
        <v>6.2403285009006665E-4</v>
      </c>
      <c r="O4674" s="20">
        <v>5.7182634042562255E-2</v>
      </c>
      <c r="P4674" s="20"/>
      <c r="Q4674" s="20"/>
      <c r="R4674" s="20">
        <v>0.16</v>
      </c>
      <c r="S4674" s="20">
        <v>0.84</v>
      </c>
      <c r="T4674" s="20"/>
    </row>
    <row r="4675" spans="13:20" x14ac:dyDescent="0.2">
      <c r="M4675" s="20">
        <v>1.3389202405394427E-2</v>
      </c>
      <c r="N4675" s="20">
        <v>1.8596533454882263E-3</v>
      </c>
      <c r="O4675" s="20">
        <v>0.13889201829819106</v>
      </c>
      <c r="P4675" s="20">
        <v>0.32</v>
      </c>
      <c r="Q4675" s="20">
        <v>5.0000000000000044E-2</v>
      </c>
      <c r="R4675" s="20"/>
      <c r="S4675" s="20"/>
      <c r="T4675" s="20">
        <v>0.63</v>
      </c>
    </row>
    <row r="4676" spans="13:20" x14ac:dyDescent="0.2">
      <c r="M4676" s="20">
        <v>1.4442119867290834E-2</v>
      </c>
      <c r="N4676" s="20">
        <v>1.7557405619505252E-3</v>
      </c>
      <c r="O4676" s="20">
        <v>0.12157083434316354</v>
      </c>
      <c r="P4676" s="20">
        <v>0.20999999999999996</v>
      </c>
      <c r="Q4676" s="20"/>
      <c r="R4676" s="20"/>
      <c r="S4676" s="20"/>
      <c r="T4676" s="20">
        <v>0.79</v>
      </c>
    </row>
    <row r="4677" spans="13:20" x14ac:dyDescent="0.2">
      <c r="M4677" s="20">
        <v>1.4818894355887473E-2</v>
      </c>
      <c r="N4677" s="20">
        <v>1.6237892461892015E-3</v>
      </c>
      <c r="O4677" s="20">
        <v>0.10957560039181183</v>
      </c>
      <c r="P4677" s="20">
        <v>0.1</v>
      </c>
      <c r="Q4677" s="20">
        <v>6.0000000000000164E-2</v>
      </c>
      <c r="R4677" s="20"/>
      <c r="S4677" s="20"/>
      <c r="T4677" s="20">
        <v>0.84</v>
      </c>
    </row>
    <row r="4678" spans="13:20" x14ac:dyDescent="0.2">
      <c r="M4678" s="20">
        <v>1.0602495561197555E-2</v>
      </c>
      <c r="N4678" s="20">
        <v>1.018635890916386E-3</v>
      </c>
      <c r="O4678" s="20">
        <v>9.6075106566828952E-2</v>
      </c>
      <c r="P4678" s="20"/>
      <c r="Q4678" s="20"/>
      <c r="R4678" s="20"/>
      <c r="S4678" s="20">
        <v>0.51</v>
      </c>
      <c r="T4678" s="20">
        <v>0.49</v>
      </c>
    </row>
    <row r="4679" spans="13:20" x14ac:dyDescent="0.2">
      <c r="M4679" s="20">
        <v>1.0031203482956627E-2</v>
      </c>
      <c r="N4679" s="20">
        <v>1.0158165856541616E-3</v>
      </c>
      <c r="O4679" s="20">
        <v>0.10126567439092131</v>
      </c>
      <c r="P4679" s="20">
        <v>0.1399999999999999</v>
      </c>
      <c r="Q4679" s="20"/>
      <c r="R4679" s="20"/>
      <c r="S4679" s="20">
        <v>0.66</v>
      </c>
      <c r="T4679" s="20">
        <v>0.2</v>
      </c>
    </row>
    <row r="4680" spans="13:20" x14ac:dyDescent="0.2">
      <c r="M4680" s="20">
        <v>1.3127394136794177E-2</v>
      </c>
      <c r="N4680" s="20">
        <v>1.9608860045187419E-3</v>
      </c>
      <c r="O4680" s="20">
        <v>0.149373591139666</v>
      </c>
      <c r="P4680" s="20">
        <v>0.53</v>
      </c>
      <c r="Q4680" s="20">
        <v>0.36</v>
      </c>
      <c r="R4680" s="20">
        <v>0.10999999999999999</v>
      </c>
      <c r="S4680" s="20"/>
      <c r="T4680" s="20"/>
    </row>
    <row r="4681" spans="13:20" x14ac:dyDescent="0.2">
      <c r="M4681" s="20">
        <v>1.0187204148936787E-2</v>
      </c>
      <c r="N4681" s="20">
        <v>8.6734331358424789E-4</v>
      </c>
      <c r="O4681" s="20">
        <v>8.5140466501279488E-2</v>
      </c>
      <c r="P4681" s="20"/>
      <c r="Q4681" s="20"/>
      <c r="R4681" s="20"/>
      <c r="S4681" s="20">
        <v>0.66</v>
      </c>
      <c r="T4681" s="20">
        <v>0.33999999999999986</v>
      </c>
    </row>
    <row r="4682" spans="13:20" x14ac:dyDescent="0.2">
      <c r="M4682" s="20">
        <v>1.3967112561819482E-2</v>
      </c>
      <c r="N4682" s="20">
        <v>2.0936947603957439E-3</v>
      </c>
      <c r="O4682" s="20">
        <v>0.14990176037666303</v>
      </c>
      <c r="P4682" s="20">
        <v>0.62</v>
      </c>
      <c r="Q4682" s="20">
        <v>0.38</v>
      </c>
      <c r="R4682" s="20"/>
      <c r="S4682" s="20"/>
      <c r="T4682" s="20"/>
    </row>
    <row r="4683" spans="13:20" x14ac:dyDescent="0.2">
      <c r="M4683" s="20">
        <v>1.275392637728834E-2</v>
      </c>
      <c r="N4683" s="20">
        <v>2.1311103148793052E-3</v>
      </c>
      <c r="O4683" s="20">
        <v>0.16709445011963511</v>
      </c>
      <c r="P4683" s="20">
        <v>0.6</v>
      </c>
      <c r="Q4683" s="20">
        <v>0.15000000000000002</v>
      </c>
      <c r="R4683" s="20"/>
      <c r="S4683" s="20"/>
      <c r="T4683" s="20">
        <v>0.25</v>
      </c>
    </row>
    <row r="4684" spans="13:20" x14ac:dyDescent="0.2">
      <c r="M4684" s="20">
        <v>1.0046892325851551E-2</v>
      </c>
      <c r="N4684" s="20">
        <v>8.3173112726605918E-4</v>
      </c>
      <c r="O4684" s="20">
        <v>8.2784915005602339E-2</v>
      </c>
      <c r="P4684" s="20"/>
      <c r="Q4684" s="20"/>
      <c r="R4684" s="20">
        <v>0.04</v>
      </c>
      <c r="S4684" s="20">
        <v>0.68</v>
      </c>
      <c r="T4684" s="20">
        <v>0.28000000000000003</v>
      </c>
    </row>
    <row r="4685" spans="13:20" x14ac:dyDescent="0.2">
      <c r="M4685" s="20">
        <v>1.148920964723065E-2</v>
      </c>
      <c r="N4685" s="20">
        <v>5.8493050256425735E-4</v>
      </c>
      <c r="O4685" s="20">
        <v>5.0911291596567619E-2</v>
      </c>
      <c r="P4685" s="20"/>
      <c r="Q4685" s="20"/>
      <c r="R4685" s="20"/>
      <c r="S4685" s="20">
        <v>0.94</v>
      </c>
      <c r="T4685" s="20">
        <v>5.9999999999999942E-2</v>
      </c>
    </row>
    <row r="4686" spans="13:20" x14ac:dyDescent="0.2">
      <c r="M4686" s="20">
        <v>1.2071617542513475E-2</v>
      </c>
      <c r="N4686" s="20">
        <v>1.1929196987740965E-3</v>
      </c>
      <c r="O4686" s="20">
        <v>9.8820203222385591E-2</v>
      </c>
      <c r="P4686" s="20"/>
      <c r="Q4686" s="20">
        <v>0.35</v>
      </c>
      <c r="R4686" s="20">
        <v>0.65</v>
      </c>
      <c r="S4686" s="20"/>
      <c r="T4686" s="20"/>
    </row>
    <row r="4687" spans="13:20" x14ac:dyDescent="0.2">
      <c r="M4687" s="20">
        <v>1.0408189214601274E-2</v>
      </c>
      <c r="N4687" s="20">
        <v>1.0713378547747942E-3</v>
      </c>
      <c r="O4687" s="20">
        <v>0.10293220392956086</v>
      </c>
      <c r="P4687" s="20"/>
      <c r="Q4687" s="20">
        <v>0.04</v>
      </c>
      <c r="R4687" s="20">
        <v>0.83</v>
      </c>
      <c r="S4687" s="20">
        <v>0.12999999999999989</v>
      </c>
      <c r="T4687" s="20"/>
    </row>
    <row r="4688" spans="13:20" x14ac:dyDescent="0.2">
      <c r="M4688" s="20">
        <v>1.660509863071687E-2</v>
      </c>
      <c r="N4688" s="20">
        <v>1.2532258456797517E-3</v>
      </c>
      <c r="O4688" s="20">
        <v>7.5472351808948443E-2</v>
      </c>
      <c r="P4688" s="20"/>
      <c r="Q4688" s="20">
        <v>0.81</v>
      </c>
      <c r="R4688" s="20">
        <v>0.18999999999999984</v>
      </c>
      <c r="S4688" s="20"/>
      <c r="T4688" s="20"/>
    </row>
    <row r="4689" spans="13:20" x14ac:dyDescent="0.2">
      <c r="M4689" s="20">
        <v>1.4242746835475655E-2</v>
      </c>
      <c r="N4689" s="20">
        <v>1.4751089323984845E-3</v>
      </c>
      <c r="O4689" s="20">
        <v>0.10356913237580702</v>
      </c>
      <c r="P4689" s="20">
        <v>5.0000000000000044E-2</v>
      </c>
      <c r="Q4689" s="20"/>
      <c r="R4689" s="20"/>
      <c r="S4689" s="20">
        <v>0.11</v>
      </c>
      <c r="T4689" s="20">
        <v>0.84</v>
      </c>
    </row>
    <row r="4690" spans="13:20" x14ac:dyDescent="0.2">
      <c r="M4690" s="20">
        <v>1.4922098813626461E-2</v>
      </c>
      <c r="N4690" s="20">
        <v>1.6269719421912513E-3</v>
      </c>
      <c r="O4690" s="20">
        <v>0.10903103930028557</v>
      </c>
      <c r="P4690" s="20">
        <v>0.24</v>
      </c>
      <c r="Q4690" s="20">
        <v>0.62999999999999989</v>
      </c>
      <c r="R4690" s="20"/>
      <c r="S4690" s="20"/>
      <c r="T4690" s="20">
        <v>0.13</v>
      </c>
    </row>
    <row r="4691" spans="13:20" x14ac:dyDescent="0.2">
      <c r="M4691" s="20">
        <v>1.0304820225874024E-2</v>
      </c>
      <c r="N4691" s="20">
        <v>1.0244190842791385E-3</v>
      </c>
      <c r="O4691" s="20">
        <v>9.9411640555063685E-2</v>
      </c>
      <c r="P4691" s="20"/>
      <c r="Q4691" s="20">
        <v>0.14000000000000001</v>
      </c>
      <c r="R4691" s="20">
        <v>0.18</v>
      </c>
      <c r="S4691" s="20">
        <v>0.4</v>
      </c>
      <c r="T4691" s="20">
        <v>0.28000000000000003</v>
      </c>
    </row>
    <row r="4692" spans="13:20" x14ac:dyDescent="0.2">
      <c r="M4692" s="20">
        <v>1.0731349005205417E-2</v>
      </c>
      <c r="N4692" s="20">
        <v>9.1868176245657246E-4</v>
      </c>
      <c r="O4692" s="20">
        <v>8.5607295225507127E-2</v>
      </c>
      <c r="P4692" s="20">
        <v>0.01</v>
      </c>
      <c r="Q4692" s="20">
        <v>0.19</v>
      </c>
      <c r="R4692" s="20">
        <v>0.37</v>
      </c>
      <c r="S4692" s="20">
        <v>0.43000000000000005</v>
      </c>
      <c r="T4692" s="20"/>
    </row>
    <row r="4693" spans="13:20" x14ac:dyDescent="0.2">
      <c r="M4693" s="20">
        <v>1.5644725188612919E-2</v>
      </c>
      <c r="N4693" s="20">
        <v>1.2427378201309424E-3</v>
      </c>
      <c r="O4693" s="20">
        <v>7.9434940860161257E-2</v>
      </c>
      <c r="P4693" s="20"/>
      <c r="Q4693" s="20">
        <v>0.73</v>
      </c>
      <c r="R4693" s="20">
        <v>0.27</v>
      </c>
      <c r="S4693" s="20"/>
      <c r="T4693" s="20"/>
    </row>
    <row r="4694" spans="13:20" x14ac:dyDescent="0.2">
      <c r="M4694" s="20">
        <v>1.331492732469809E-2</v>
      </c>
      <c r="N4694" s="20">
        <v>1.2283609442594714E-3</v>
      </c>
      <c r="O4694" s="20">
        <v>9.2254423498126292E-2</v>
      </c>
      <c r="P4694" s="20">
        <v>0.01</v>
      </c>
      <c r="Q4694" s="20">
        <v>0.51</v>
      </c>
      <c r="R4694" s="20">
        <v>0.48000000000000009</v>
      </c>
      <c r="S4694" s="20"/>
      <c r="T4694" s="20"/>
    </row>
    <row r="4695" spans="13:20" x14ac:dyDescent="0.2">
      <c r="M4695" s="20">
        <v>1.4656858912891799E-2</v>
      </c>
      <c r="N4695" s="20">
        <v>1.8832277012892748E-3</v>
      </c>
      <c r="O4695" s="20">
        <v>0.12848780986987846</v>
      </c>
      <c r="P4695" s="20">
        <v>0.46</v>
      </c>
      <c r="Q4695" s="20">
        <v>0.54</v>
      </c>
      <c r="R4695" s="20"/>
      <c r="S4695" s="20"/>
      <c r="T4695" s="20"/>
    </row>
    <row r="4696" spans="13:20" x14ac:dyDescent="0.2">
      <c r="M4696" s="20">
        <v>1.6200182288353199E-2</v>
      </c>
      <c r="N4696" s="20">
        <v>1.5436358875649341E-3</v>
      </c>
      <c r="O4696" s="20">
        <v>9.5285093716180005E-2</v>
      </c>
      <c r="P4696" s="20">
        <v>1.0000000000000009E-2</v>
      </c>
      <c r="Q4696" s="20"/>
      <c r="R4696" s="20"/>
      <c r="S4696" s="20"/>
      <c r="T4696" s="20">
        <v>0.99</v>
      </c>
    </row>
    <row r="4697" spans="13:20" x14ac:dyDescent="0.2">
      <c r="M4697" s="20">
        <v>1.4484811124009152E-2</v>
      </c>
      <c r="N4697" s="20">
        <v>1.5138672055059975E-3</v>
      </c>
      <c r="O4697" s="20">
        <v>0.10451411430534309</v>
      </c>
      <c r="P4697" s="20">
        <v>0.03</v>
      </c>
      <c r="Q4697" s="20">
        <v>0.20000000000000007</v>
      </c>
      <c r="R4697" s="20"/>
      <c r="S4697" s="20"/>
      <c r="T4697" s="20">
        <v>0.77</v>
      </c>
    </row>
    <row r="4698" spans="13:20" x14ac:dyDescent="0.2">
      <c r="M4698" s="20">
        <v>1.5081169588307179E-2</v>
      </c>
      <c r="N4698" s="20">
        <v>1.6708986921962884E-3</v>
      </c>
      <c r="O4698" s="20">
        <v>0.11079370750474017</v>
      </c>
      <c r="P4698" s="20">
        <v>0.12999999999999989</v>
      </c>
      <c r="Q4698" s="20"/>
      <c r="R4698" s="20"/>
      <c r="S4698" s="20"/>
      <c r="T4698" s="20">
        <v>0.87</v>
      </c>
    </row>
    <row r="4699" spans="13:20" x14ac:dyDescent="0.2">
      <c r="M4699" s="20">
        <v>1.8162832231029692E-2</v>
      </c>
      <c r="N4699" s="20">
        <v>1.3123534671662333E-3</v>
      </c>
      <c r="O4699" s="20">
        <v>7.2254891223637818E-2</v>
      </c>
      <c r="P4699" s="20">
        <v>0.03</v>
      </c>
      <c r="Q4699" s="20">
        <v>0.93</v>
      </c>
      <c r="R4699" s="20">
        <v>3.9999999999999925E-2</v>
      </c>
      <c r="S4699" s="20"/>
      <c r="T4699" s="20"/>
    </row>
    <row r="4700" spans="13:20" x14ac:dyDescent="0.2">
      <c r="M4700" s="20">
        <v>1.0972784808687778E-2</v>
      </c>
      <c r="N4700" s="20">
        <v>1.1283559535370546E-3</v>
      </c>
      <c r="O4700" s="20">
        <v>0.10283223203681814</v>
      </c>
      <c r="P4700" s="20"/>
      <c r="Q4700" s="20"/>
      <c r="R4700" s="20">
        <v>0.97</v>
      </c>
      <c r="S4700" s="20">
        <v>3.0000000000000027E-2</v>
      </c>
      <c r="T4700" s="20"/>
    </row>
    <row r="4701" spans="13:20" x14ac:dyDescent="0.2">
      <c r="M4701" s="20">
        <v>1.0799797679566986E-2</v>
      </c>
      <c r="N4701" s="20">
        <v>1.7202756147813771E-3</v>
      </c>
      <c r="O4701" s="20">
        <v>0.15928776314357318</v>
      </c>
      <c r="P4701" s="20">
        <v>0.34</v>
      </c>
      <c r="Q4701" s="20">
        <v>0.15</v>
      </c>
      <c r="R4701" s="20">
        <v>0.35000000000000009</v>
      </c>
      <c r="S4701" s="20"/>
      <c r="T4701" s="20">
        <v>0.16</v>
      </c>
    </row>
    <row r="4702" spans="13:20" x14ac:dyDescent="0.2">
      <c r="M4702" s="20">
        <v>1.0760490141003149E-2</v>
      </c>
      <c r="N4702" s="20">
        <v>1.9127315623190375E-3</v>
      </c>
      <c r="O4702" s="20">
        <v>0.17775505922639345</v>
      </c>
      <c r="P4702" s="20">
        <v>0.54999999999999993</v>
      </c>
      <c r="Q4702" s="20"/>
      <c r="R4702" s="20">
        <v>0.24</v>
      </c>
      <c r="S4702" s="20">
        <v>0.11</v>
      </c>
      <c r="T4702" s="20">
        <v>0.1</v>
      </c>
    </row>
    <row r="4703" spans="13:20" x14ac:dyDescent="0.2">
      <c r="M4703" s="20">
        <v>1.0725350755565655E-2</v>
      </c>
      <c r="N4703" s="20">
        <v>1.1034511089223886E-3</v>
      </c>
      <c r="O4703" s="20">
        <v>0.10288251956233505</v>
      </c>
      <c r="P4703" s="20"/>
      <c r="Q4703" s="20"/>
      <c r="R4703" s="20">
        <v>0.93</v>
      </c>
      <c r="S4703" s="20">
        <v>6.9999999999999951E-2</v>
      </c>
      <c r="T4703" s="20"/>
    </row>
    <row r="4704" spans="13:20" x14ac:dyDescent="0.2">
      <c r="M4704" s="20">
        <v>1.7230052311804852E-2</v>
      </c>
      <c r="N4704" s="20">
        <v>1.2597808616477582E-3</v>
      </c>
      <c r="O4704" s="20">
        <v>7.3115324251490671E-2</v>
      </c>
      <c r="P4704" s="20"/>
      <c r="Q4704" s="20">
        <v>0.86</v>
      </c>
      <c r="R4704" s="20">
        <v>0.14000000000000012</v>
      </c>
      <c r="S4704" s="20"/>
      <c r="T4704" s="20"/>
    </row>
    <row r="4705" spans="13:20" x14ac:dyDescent="0.2">
      <c r="M4705" s="20">
        <v>1.3202565157529446E-2</v>
      </c>
      <c r="N4705" s="20">
        <v>1.6039777616489157E-3</v>
      </c>
      <c r="O4705" s="20">
        <v>0.12148985765347003</v>
      </c>
      <c r="P4705" s="20">
        <v>0.18</v>
      </c>
      <c r="Q4705" s="20">
        <v>0.41</v>
      </c>
      <c r="R4705" s="20">
        <v>4.0000000000000036E-2</v>
      </c>
      <c r="S4705" s="20"/>
      <c r="T4705" s="20">
        <v>0.37</v>
      </c>
    </row>
    <row r="4706" spans="13:20" x14ac:dyDescent="0.2">
      <c r="M4706" s="20">
        <v>1.1952485275193983E-2</v>
      </c>
      <c r="N4706" s="20">
        <v>1.2652912202824572E-3</v>
      </c>
      <c r="O4706" s="20">
        <v>0.10586009446156144</v>
      </c>
      <c r="P4706" s="20">
        <v>0.13</v>
      </c>
      <c r="Q4706" s="20">
        <v>0.37</v>
      </c>
      <c r="R4706" s="20">
        <v>0.31</v>
      </c>
      <c r="S4706" s="20">
        <v>0.18999999999999995</v>
      </c>
      <c r="T4706" s="20"/>
    </row>
    <row r="4707" spans="13:20" x14ac:dyDescent="0.2">
      <c r="M4707" s="20">
        <v>1.0657284975144706E-2</v>
      </c>
      <c r="N4707" s="20">
        <v>1.0287220627385283E-3</v>
      </c>
      <c r="O4707" s="20">
        <v>9.6527592640878984E-2</v>
      </c>
      <c r="P4707" s="20"/>
      <c r="Q4707" s="20"/>
      <c r="R4707" s="20"/>
      <c r="S4707" s="20">
        <v>0.5</v>
      </c>
      <c r="T4707" s="20">
        <v>0.49999999999999989</v>
      </c>
    </row>
    <row r="4708" spans="13:20" x14ac:dyDescent="0.2">
      <c r="M4708" s="20">
        <v>1.4159173434704696E-2</v>
      </c>
      <c r="N4708" s="20">
        <v>1.7981614968276432E-3</v>
      </c>
      <c r="O4708" s="20">
        <v>0.12699621945588138</v>
      </c>
      <c r="P4708" s="20">
        <v>0.25</v>
      </c>
      <c r="Q4708" s="20"/>
      <c r="R4708" s="20"/>
      <c r="S4708" s="20"/>
      <c r="T4708" s="20">
        <v>0.75</v>
      </c>
    </row>
    <row r="4709" spans="13:20" x14ac:dyDescent="0.2">
      <c r="M4709" s="20">
        <v>1.2130087016171161E-2</v>
      </c>
      <c r="N4709" s="20">
        <v>1.2102731555370938E-3</v>
      </c>
      <c r="O4709" s="20">
        <v>9.977448256748897E-2</v>
      </c>
      <c r="P4709" s="20"/>
      <c r="Q4709" s="20"/>
      <c r="R4709" s="20"/>
      <c r="S4709" s="20">
        <v>0.32</v>
      </c>
      <c r="T4709" s="20">
        <v>0.67999999999999994</v>
      </c>
    </row>
    <row r="4710" spans="13:20" x14ac:dyDescent="0.2">
      <c r="M4710" s="20">
        <v>1.8369661035481624E-2</v>
      </c>
      <c r="N4710" s="20">
        <v>1.2453640425819014E-3</v>
      </c>
      <c r="O4710" s="20">
        <v>6.7794612005983051E-2</v>
      </c>
      <c r="P4710" s="20"/>
      <c r="Q4710" s="20">
        <v>0.94</v>
      </c>
      <c r="R4710" s="20">
        <v>0.02</v>
      </c>
      <c r="S4710" s="20">
        <v>3.9999999999999925E-2</v>
      </c>
      <c r="T4710" s="20"/>
    </row>
    <row r="4711" spans="13:20" x14ac:dyDescent="0.2">
      <c r="M4711" s="20">
        <v>1.05531112465891E-2</v>
      </c>
      <c r="N4711" s="20">
        <v>1.0847724754613891E-3</v>
      </c>
      <c r="O4711" s="20">
        <v>0.10279172180734865</v>
      </c>
      <c r="P4711" s="20"/>
      <c r="Q4711" s="20"/>
      <c r="R4711" s="20">
        <v>0.9</v>
      </c>
      <c r="S4711" s="20">
        <v>9.9999999999999978E-2</v>
      </c>
      <c r="T4711" s="20"/>
    </row>
    <row r="4712" spans="13:20" x14ac:dyDescent="0.2">
      <c r="M4712" s="20">
        <v>1.0399872814492022E-2</v>
      </c>
      <c r="N4712" s="20">
        <v>8.5809307289898154E-4</v>
      </c>
      <c r="O4712" s="20">
        <v>8.2509958362495112E-2</v>
      </c>
      <c r="P4712" s="20"/>
      <c r="Q4712" s="20">
        <v>7.0000000000000007E-2</v>
      </c>
      <c r="R4712" s="20">
        <v>0.03</v>
      </c>
      <c r="S4712" s="20">
        <v>0.64</v>
      </c>
      <c r="T4712" s="20">
        <v>0.26</v>
      </c>
    </row>
    <row r="4713" spans="13:20" x14ac:dyDescent="0.2">
      <c r="M4713" s="20">
        <v>9.5653657619813506E-3</v>
      </c>
      <c r="N4713" s="20">
        <v>8.7308129623672737E-4</v>
      </c>
      <c r="O4713" s="20">
        <v>9.1275265155765367E-2</v>
      </c>
      <c r="P4713" s="20"/>
      <c r="Q4713" s="20"/>
      <c r="R4713" s="20">
        <v>0.56000000000000005</v>
      </c>
      <c r="S4713" s="20">
        <v>0.43999999999999984</v>
      </c>
      <c r="T4713" s="20"/>
    </row>
    <row r="4714" spans="13:20" x14ac:dyDescent="0.2">
      <c r="M4714" s="20">
        <v>1.197152171771039E-2</v>
      </c>
      <c r="N4714" s="20">
        <v>1.6689601103764282E-3</v>
      </c>
      <c r="O4714" s="20">
        <v>0.13941085767796815</v>
      </c>
      <c r="P4714" s="20">
        <v>0.33</v>
      </c>
      <c r="Q4714" s="20">
        <v>0.34</v>
      </c>
      <c r="R4714" s="20">
        <v>0.32999999999999996</v>
      </c>
      <c r="S4714" s="20"/>
      <c r="T4714" s="20"/>
    </row>
    <row r="4715" spans="13:20" x14ac:dyDescent="0.2">
      <c r="M4715" s="20">
        <v>1.3745806503885767E-2</v>
      </c>
      <c r="N4715" s="20">
        <v>1.8451202901585552E-3</v>
      </c>
      <c r="O4715" s="20">
        <v>0.13423150468740869</v>
      </c>
      <c r="P4715" s="20">
        <v>0.44</v>
      </c>
      <c r="Q4715" s="20">
        <v>0.47</v>
      </c>
      <c r="R4715" s="20">
        <v>9.000000000000008E-2</v>
      </c>
      <c r="S4715" s="20"/>
      <c r="T4715" s="20"/>
    </row>
    <row r="4716" spans="13:20" x14ac:dyDescent="0.2">
      <c r="M4716" s="20">
        <v>9.5732977198468207E-3</v>
      </c>
      <c r="N4716" s="20">
        <v>8.917599296977269E-4</v>
      </c>
      <c r="O4716" s="20">
        <v>9.3150757011241855E-2</v>
      </c>
      <c r="P4716" s="20"/>
      <c r="Q4716" s="20"/>
      <c r="R4716" s="20">
        <v>0.59</v>
      </c>
      <c r="S4716" s="20">
        <v>0.41000000000000003</v>
      </c>
      <c r="T4716" s="20"/>
    </row>
    <row r="4717" spans="13:20" x14ac:dyDescent="0.2">
      <c r="M4717" s="20">
        <v>1.4288376155840431E-2</v>
      </c>
      <c r="N4717" s="20">
        <v>1.9753070396483548E-3</v>
      </c>
      <c r="O4717" s="20">
        <v>0.13824573332225301</v>
      </c>
      <c r="P4717" s="20">
        <v>0.53</v>
      </c>
      <c r="Q4717" s="20">
        <v>0.46999999999999986</v>
      </c>
      <c r="R4717" s="20"/>
      <c r="S4717" s="20"/>
      <c r="T4717" s="20"/>
    </row>
    <row r="4718" spans="13:20" x14ac:dyDescent="0.2">
      <c r="M4718" s="20">
        <v>9.851744412680644E-3</v>
      </c>
      <c r="N4718" s="20">
        <v>9.8515309700272476E-4</v>
      </c>
      <c r="O4718" s="20">
        <v>9.9997833453199181E-2</v>
      </c>
      <c r="P4718" s="20"/>
      <c r="Q4718" s="20"/>
      <c r="R4718" s="20">
        <v>0.74</v>
      </c>
      <c r="S4718" s="20">
        <v>0.26000000000000012</v>
      </c>
      <c r="T4718" s="20"/>
    </row>
    <row r="4719" spans="13:20" x14ac:dyDescent="0.2">
      <c r="M4719" s="20">
        <v>9.8211596976906772E-3</v>
      </c>
      <c r="N4719" s="20">
        <v>9.7892688584905814E-4</v>
      </c>
      <c r="O4719" s="20">
        <v>9.9675284384107984E-2</v>
      </c>
      <c r="P4719" s="20"/>
      <c r="Q4719" s="20"/>
      <c r="R4719" s="20">
        <v>0.73</v>
      </c>
      <c r="S4719" s="20">
        <v>0.27000000000000013</v>
      </c>
      <c r="T4719" s="20"/>
    </row>
    <row r="4720" spans="13:20" x14ac:dyDescent="0.2">
      <c r="M4720" s="20">
        <v>1.365415897220758E-2</v>
      </c>
      <c r="N4720" s="20">
        <v>1.8517067273211775E-3</v>
      </c>
      <c r="O4720" s="20">
        <v>0.13561485047085231</v>
      </c>
      <c r="P4720" s="20">
        <v>0.30999999999999983</v>
      </c>
      <c r="Q4720" s="20"/>
      <c r="R4720" s="20"/>
      <c r="S4720" s="20">
        <v>0.01</v>
      </c>
      <c r="T4720" s="20">
        <v>0.68</v>
      </c>
    </row>
    <row r="4721" spans="13:20" x14ac:dyDescent="0.2">
      <c r="M4721" s="20">
        <v>1.2401283054205866E-2</v>
      </c>
      <c r="N4721" s="20">
        <v>1.7380540391799964E-3</v>
      </c>
      <c r="O4721" s="20">
        <v>0.14015114658563815</v>
      </c>
      <c r="P4721" s="20">
        <v>0.42</v>
      </c>
      <c r="Q4721" s="20">
        <v>0.31000000000000005</v>
      </c>
      <c r="R4721" s="20"/>
      <c r="S4721" s="20">
        <v>0.16</v>
      </c>
      <c r="T4721" s="20">
        <v>0.11</v>
      </c>
    </row>
    <row r="4722" spans="13:20" x14ac:dyDescent="0.2">
      <c r="M4722" s="20">
        <v>1.0543102252007813E-2</v>
      </c>
      <c r="N4722" s="20">
        <v>1.4658368885940771E-3</v>
      </c>
      <c r="O4722" s="20">
        <v>0.13903278689295889</v>
      </c>
      <c r="P4722" s="20">
        <v>0.26</v>
      </c>
      <c r="Q4722" s="20"/>
      <c r="R4722" s="20"/>
      <c r="S4722" s="20">
        <v>0.34</v>
      </c>
      <c r="T4722" s="20">
        <v>0.4</v>
      </c>
    </row>
    <row r="4723" spans="13:20" x14ac:dyDescent="0.2">
      <c r="M4723" s="20">
        <v>1.1963198236748265E-2</v>
      </c>
      <c r="N4723" s="20">
        <v>5.3449964345354492E-4</v>
      </c>
      <c r="O4723" s="20">
        <v>4.467865807085615E-2</v>
      </c>
      <c r="P4723" s="20"/>
      <c r="Q4723" s="20"/>
      <c r="R4723" s="20"/>
      <c r="S4723" s="20">
        <v>0.99</v>
      </c>
      <c r="T4723" s="20">
        <v>1.0000000000000009E-2</v>
      </c>
    </row>
    <row r="4724" spans="13:20" x14ac:dyDescent="0.2">
      <c r="M4724" s="20">
        <v>1.3306023585005959E-2</v>
      </c>
      <c r="N4724" s="20">
        <v>1.9678452363361158E-3</v>
      </c>
      <c r="O4724" s="20">
        <v>0.14789130830593178</v>
      </c>
      <c r="P4724" s="20">
        <v>0.41000000000000003</v>
      </c>
      <c r="Q4724" s="20"/>
      <c r="R4724" s="20"/>
      <c r="S4724" s="20"/>
      <c r="T4724" s="20">
        <v>0.59</v>
      </c>
    </row>
    <row r="4725" spans="13:20" x14ac:dyDescent="0.2">
      <c r="M4725" s="20">
        <v>1.092645394020407E-2</v>
      </c>
      <c r="N4725" s="20">
        <v>1.5114062724309173E-3</v>
      </c>
      <c r="O4725" s="20">
        <v>0.13832541469558321</v>
      </c>
      <c r="P4725" s="20">
        <v>0.32</v>
      </c>
      <c r="Q4725" s="20">
        <v>0.14999999999999991</v>
      </c>
      <c r="R4725" s="20"/>
      <c r="S4725" s="20">
        <v>0.32</v>
      </c>
      <c r="T4725" s="20">
        <v>0.21</v>
      </c>
    </row>
    <row r="4726" spans="13:20" x14ac:dyDescent="0.2">
      <c r="M4726" s="20">
        <v>9.5690768826218516E-3</v>
      </c>
      <c r="N4726" s="20">
        <v>8.6062887392939435E-4</v>
      </c>
      <c r="O4726" s="20">
        <v>8.9938547310907252E-2</v>
      </c>
      <c r="P4726" s="20"/>
      <c r="Q4726" s="20"/>
      <c r="R4726" s="20">
        <v>0.54</v>
      </c>
      <c r="S4726" s="20">
        <v>0.45999999999999985</v>
      </c>
      <c r="T4726" s="20"/>
    </row>
    <row r="4727" spans="13:20" x14ac:dyDescent="0.2">
      <c r="M4727" s="20">
        <v>1.1351114744160251E-2</v>
      </c>
      <c r="N4727" s="20">
        <v>1.0605294565391589E-3</v>
      </c>
      <c r="O4727" s="20">
        <v>9.342954242311434E-2</v>
      </c>
      <c r="P4727" s="20"/>
      <c r="Q4727" s="20">
        <v>0.28999999999999998</v>
      </c>
      <c r="R4727" s="20">
        <v>0.51</v>
      </c>
      <c r="S4727" s="20">
        <v>0.19999999999999996</v>
      </c>
      <c r="T4727" s="20"/>
    </row>
    <row r="4728" spans="13:20" x14ac:dyDescent="0.2">
      <c r="M4728" s="20">
        <v>1.4023079188701031E-2</v>
      </c>
      <c r="N4728" s="20">
        <v>2.0673863780074353E-3</v>
      </c>
      <c r="O4728" s="20">
        <v>0.14742741948381871</v>
      </c>
      <c r="P4728" s="20">
        <v>0.6</v>
      </c>
      <c r="Q4728" s="20">
        <v>0.39999999999999991</v>
      </c>
      <c r="R4728" s="20"/>
      <c r="S4728" s="20"/>
      <c r="T4728" s="20"/>
    </row>
    <row r="4729" spans="13:20" x14ac:dyDescent="0.2">
      <c r="M4729" s="20">
        <v>1.6852964635850839E-2</v>
      </c>
      <c r="N4729" s="20">
        <v>1.2558478520669544E-3</v>
      </c>
      <c r="O4729" s="20">
        <v>7.4517918906411545E-2</v>
      </c>
      <c r="P4729" s="20"/>
      <c r="Q4729" s="20">
        <v>0.83</v>
      </c>
      <c r="R4729" s="20">
        <v>0.17000000000000004</v>
      </c>
      <c r="S4729" s="20"/>
      <c r="T4729" s="20"/>
    </row>
    <row r="4730" spans="13:20" x14ac:dyDescent="0.2">
      <c r="M4730" s="20">
        <v>1.2977494831131904E-2</v>
      </c>
      <c r="N4730" s="20">
        <v>1.208651737097311E-3</v>
      </c>
      <c r="O4730" s="20">
        <v>9.3134441802886214E-2</v>
      </c>
      <c r="P4730" s="20"/>
      <c r="Q4730" s="20">
        <v>0.47</v>
      </c>
      <c r="R4730" s="20">
        <v>0.52999999999999992</v>
      </c>
      <c r="S4730" s="20"/>
      <c r="T4730" s="20"/>
    </row>
    <row r="4731" spans="13:20" x14ac:dyDescent="0.2">
      <c r="M4731" s="20">
        <v>1.0515441147225977E-2</v>
      </c>
      <c r="N4731" s="20">
        <v>9.3192566247845198E-4</v>
      </c>
      <c r="O4731" s="20">
        <v>8.8624495104924664E-2</v>
      </c>
      <c r="P4731" s="20">
        <v>0.11</v>
      </c>
      <c r="Q4731" s="20">
        <v>0.09</v>
      </c>
      <c r="R4731" s="20">
        <v>0.18</v>
      </c>
      <c r="S4731" s="20">
        <v>0.62</v>
      </c>
      <c r="T4731" s="20"/>
    </row>
    <row r="4732" spans="13:20" x14ac:dyDescent="0.2">
      <c r="M4732" s="20">
        <v>1.4297439516260625E-2</v>
      </c>
      <c r="N4732" s="20">
        <v>1.7769510293890842E-3</v>
      </c>
      <c r="O4732" s="20">
        <v>0.12428456349601195</v>
      </c>
      <c r="P4732" s="20">
        <v>0.22999999999999998</v>
      </c>
      <c r="Q4732" s="20"/>
      <c r="R4732" s="20"/>
      <c r="S4732" s="20"/>
      <c r="T4732" s="20">
        <v>0.77</v>
      </c>
    </row>
    <row r="4733" spans="13:20" x14ac:dyDescent="0.2">
      <c r="M4733" s="20">
        <v>1.1551482612409856E-2</v>
      </c>
      <c r="N4733" s="20">
        <v>8.5956982902653104E-4</v>
      </c>
      <c r="O4733" s="20">
        <v>7.4412078333831178E-2</v>
      </c>
      <c r="P4733" s="20">
        <v>0.1</v>
      </c>
      <c r="Q4733" s="20">
        <v>0.13</v>
      </c>
      <c r="R4733" s="20"/>
      <c r="S4733" s="20">
        <v>0.74</v>
      </c>
      <c r="T4733" s="20">
        <v>0.03</v>
      </c>
    </row>
    <row r="4734" spans="13:20" x14ac:dyDescent="0.2">
      <c r="M4734" s="20">
        <v>1.1170957929046488E-2</v>
      </c>
      <c r="N4734" s="20">
        <v>1.1470345869980542E-3</v>
      </c>
      <c r="O4734" s="20">
        <v>0.10268005611368021</v>
      </c>
      <c r="P4734" s="20"/>
      <c r="Q4734" s="20"/>
      <c r="R4734" s="20">
        <v>1</v>
      </c>
      <c r="S4734" s="20">
        <v>0</v>
      </c>
      <c r="T4734" s="20"/>
    </row>
    <row r="4735" spans="13:20" x14ac:dyDescent="0.2">
      <c r="M4735" s="20">
        <v>1.5384459777862482E-2</v>
      </c>
      <c r="N4735" s="20">
        <v>1.2749695033188678E-3</v>
      </c>
      <c r="O4735" s="20">
        <v>8.2873855938281907E-2</v>
      </c>
      <c r="P4735" s="20"/>
      <c r="Q4735" s="20">
        <v>0.69</v>
      </c>
      <c r="R4735" s="20">
        <v>0.03</v>
      </c>
      <c r="S4735" s="20">
        <v>7.0000000000000007E-2</v>
      </c>
      <c r="T4735" s="20">
        <v>0.20999999999999996</v>
      </c>
    </row>
    <row r="4736" spans="13:20" x14ac:dyDescent="0.2">
      <c r="M4736" s="20">
        <v>1.2180918971242221E-2</v>
      </c>
      <c r="N4736" s="20">
        <v>1.2133306748230779E-3</v>
      </c>
      <c r="O4736" s="20">
        <v>9.960912454040742E-2</v>
      </c>
      <c r="P4736" s="20">
        <v>0.02</v>
      </c>
      <c r="Q4736" s="20">
        <v>0.38</v>
      </c>
      <c r="R4736" s="20">
        <v>0.57999999999999996</v>
      </c>
      <c r="S4736" s="20">
        <v>2.0000000000000018E-2</v>
      </c>
      <c r="T4736" s="20"/>
    </row>
    <row r="4737" spans="13:20" x14ac:dyDescent="0.2">
      <c r="M4737" s="20">
        <v>1.3115856453671925E-2</v>
      </c>
      <c r="N4737" s="20">
        <v>2.2995658429284371E-3</v>
      </c>
      <c r="O4737" s="20">
        <v>0.17532715847043667</v>
      </c>
      <c r="P4737" s="20">
        <v>0.73</v>
      </c>
      <c r="Q4737" s="20">
        <v>3.0000000000000027E-2</v>
      </c>
      <c r="R4737" s="20"/>
      <c r="S4737" s="20"/>
      <c r="T4737" s="20">
        <v>0.24</v>
      </c>
    </row>
    <row r="4738" spans="13:20" x14ac:dyDescent="0.2">
      <c r="M4738" s="20">
        <v>1.0098854751095369E-2</v>
      </c>
      <c r="N4738" s="20">
        <v>9.537423690298961E-4</v>
      </c>
      <c r="O4738" s="20">
        <v>9.4440646245204055E-2</v>
      </c>
      <c r="P4738" s="20">
        <v>0.11000000000000021</v>
      </c>
      <c r="Q4738" s="20"/>
      <c r="R4738" s="20"/>
      <c r="S4738" s="20">
        <v>0.69</v>
      </c>
      <c r="T4738" s="20">
        <v>0.2</v>
      </c>
    </row>
    <row r="4739" spans="13:20" x14ac:dyDescent="0.2">
      <c r="M4739" s="20">
        <v>1.3902980606056711E-2</v>
      </c>
      <c r="N4739" s="20">
        <v>1.2344080314637136E-3</v>
      </c>
      <c r="O4739" s="20">
        <v>8.8787294353698129E-2</v>
      </c>
      <c r="P4739" s="20">
        <v>0.04</v>
      </c>
      <c r="Q4739" s="20">
        <v>0.55000000000000004</v>
      </c>
      <c r="R4739" s="20">
        <v>0.05</v>
      </c>
      <c r="S4739" s="20">
        <v>0.17999999999999994</v>
      </c>
      <c r="T4739" s="20">
        <v>0.18</v>
      </c>
    </row>
    <row r="4740" spans="13:20" x14ac:dyDescent="0.2">
      <c r="M4740" s="20">
        <v>9.9238433342404495E-3</v>
      </c>
      <c r="N4740" s="20">
        <v>1.0212535118221012E-3</v>
      </c>
      <c r="O4740" s="20">
        <v>0.10290907236498265</v>
      </c>
      <c r="P4740" s="20"/>
      <c r="Q4740" s="20"/>
      <c r="R4740" s="20">
        <v>0.15</v>
      </c>
      <c r="S4740" s="20">
        <v>0.45</v>
      </c>
      <c r="T4740" s="20">
        <v>0.4</v>
      </c>
    </row>
    <row r="4741" spans="13:20" x14ac:dyDescent="0.2">
      <c r="M4741" s="20">
        <v>1.1794822385215391E-2</v>
      </c>
      <c r="N4741" s="20">
        <v>1.3046821352163359E-3</v>
      </c>
      <c r="O4741" s="20">
        <v>0.11061481831652953</v>
      </c>
      <c r="P4741" s="20">
        <v>7.0000000000000062E-2</v>
      </c>
      <c r="Q4741" s="20"/>
      <c r="R4741" s="20"/>
      <c r="S4741" s="20">
        <v>0.3</v>
      </c>
      <c r="T4741" s="20">
        <v>0.63</v>
      </c>
    </row>
    <row r="4742" spans="13:20" x14ac:dyDescent="0.2">
      <c r="M4742" s="20">
        <v>1.384989440389338E-2</v>
      </c>
      <c r="N4742" s="20">
        <v>2.3041618195022138E-3</v>
      </c>
      <c r="O4742" s="20">
        <v>0.16636674275686064</v>
      </c>
      <c r="P4742" s="20">
        <v>0.78</v>
      </c>
      <c r="Q4742" s="20">
        <v>0.22000000000000008</v>
      </c>
      <c r="R4742" s="20"/>
      <c r="S4742" s="20"/>
      <c r="T4742" s="20"/>
    </row>
    <row r="4743" spans="13:20" x14ac:dyDescent="0.2">
      <c r="M4743" s="20">
        <v>1.0069275629952633E-2</v>
      </c>
      <c r="N4743" s="20">
        <v>1.0225103639247238E-3</v>
      </c>
      <c r="O4743" s="20">
        <v>0.10154755927855497</v>
      </c>
      <c r="P4743" s="20"/>
      <c r="Q4743" s="20"/>
      <c r="R4743" s="20">
        <v>0.8</v>
      </c>
      <c r="S4743" s="20">
        <v>0.19999999999999996</v>
      </c>
      <c r="T4743" s="20"/>
    </row>
    <row r="4744" spans="13:20" x14ac:dyDescent="0.2">
      <c r="M4744" s="20">
        <v>1.6078681950175446E-2</v>
      </c>
      <c r="N4744" s="20">
        <v>1.6188328742125866E-3</v>
      </c>
      <c r="O4744" s="20">
        <v>0.10068193893187384</v>
      </c>
      <c r="P4744" s="20">
        <v>0.26</v>
      </c>
      <c r="Q4744" s="20">
        <v>0.73</v>
      </c>
      <c r="R4744" s="20">
        <v>1.0000000000000009E-2</v>
      </c>
      <c r="S4744" s="20"/>
      <c r="T4744" s="20"/>
    </row>
    <row r="4745" spans="13:20" x14ac:dyDescent="0.2">
      <c r="M4745" s="20">
        <v>1.1456515705688709E-2</v>
      </c>
      <c r="N4745" s="20">
        <v>1.1396699527820961E-3</v>
      </c>
      <c r="O4745" s="20">
        <v>9.9477885079509401E-2</v>
      </c>
      <c r="P4745" s="20"/>
      <c r="Q4745" s="20"/>
      <c r="R4745" s="20"/>
      <c r="S4745" s="20">
        <v>0.39</v>
      </c>
      <c r="T4745" s="20">
        <v>0.61</v>
      </c>
    </row>
    <row r="4746" spans="13:20" x14ac:dyDescent="0.2">
      <c r="M4746" s="20">
        <v>1.4467807282463925E-2</v>
      </c>
      <c r="N4746" s="20">
        <v>1.8645661913255901E-3</v>
      </c>
      <c r="O4746" s="20">
        <v>0.1288769026931666</v>
      </c>
      <c r="P4746" s="20">
        <v>0.44</v>
      </c>
      <c r="Q4746" s="20">
        <v>0.52999999999999992</v>
      </c>
      <c r="R4746" s="20"/>
      <c r="S4746" s="20"/>
      <c r="T4746" s="20">
        <v>0.03</v>
      </c>
    </row>
    <row r="4747" spans="13:20" x14ac:dyDescent="0.2">
      <c r="M4747" s="20">
        <v>9.6089874853925138E-3</v>
      </c>
      <c r="N4747" s="20">
        <v>9.1666477431239315E-4</v>
      </c>
      <c r="O4747" s="20">
        <v>9.5396604034077237E-2</v>
      </c>
      <c r="P4747" s="20"/>
      <c r="Q4747" s="20"/>
      <c r="R4747" s="20">
        <v>0.63</v>
      </c>
      <c r="S4747" s="20">
        <v>0.37000000000000011</v>
      </c>
      <c r="T4747" s="20"/>
    </row>
    <row r="4748" spans="13:20" x14ac:dyDescent="0.2">
      <c r="M4748" s="20">
        <v>1.0661618734203314E-2</v>
      </c>
      <c r="N4748" s="20">
        <v>1.4430191309953056E-3</v>
      </c>
      <c r="O4748" s="20">
        <v>0.13534709568688538</v>
      </c>
      <c r="P4748" s="20">
        <v>0.12999999999999989</v>
      </c>
      <c r="Q4748" s="20">
        <v>0.13</v>
      </c>
      <c r="R4748" s="20">
        <v>0.4</v>
      </c>
      <c r="S4748" s="20">
        <v>0.04</v>
      </c>
      <c r="T4748" s="20">
        <v>0.3</v>
      </c>
    </row>
    <row r="4749" spans="13:20" x14ac:dyDescent="0.2">
      <c r="M4749" s="20">
        <v>1.0258850148799395E-2</v>
      </c>
      <c r="N4749" s="20">
        <v>9.278603445171034E-4</v>
      </c>
      <c r="O4749" s="20">
        <v>9.0444867705343365E-2</v>
      </c>
      <c r="P4749" s="20"/>
      <c r="Q4749" s="20"/>
      <c r="R4749" s="20"/>
      <c r="S4749" s="20">
        <v>0.6</v>
      </c>
      <c r="T4749" s="20">
        <v>0.40000000000000013</v>
      </c>
    </row>
    <row r="4750" spans="13:20" x14ac:dyDescent="0.2">
      <c r="M4750" s="20">
        <v>1.3035779086216569E-2</v>
      </c>
      <c r="N4750" s="20">
        <v>2.0003485781012048E-3</v>
      </c>
      <c r="O4750" s="20">
        <v>0.15345063496943431</v>
      </c>
      <c r="P4750" s="20">
        <v>0.56000000000000005</v>
      </c>
      <c r="Q4750" s="20">
        <v>0.33</v>
      </c>
      <c r="R4750" s="20">
        <v>0.10999999999999988</v>
      </c>
      <c r="S4750" s="20"/>
      <c r="T4750" s="20"/>
    </row>
    <row r="4751" spans="13:20" x14ac:dyDescent="0.2">
      <c r="M4751" s="20">
        <v>1.049835125197526E-2</v>
      </c>
      <c r="N4751" s="20">
        <v>1.0785462643077225E-3</v>
      </c>
      <c r="O4751" s="20">
        <v>0.10273482363288183</v>
      </c>
      <c r="P4751" s="20"/>
      <c r="Q4751" s="20"/>
      <c r="R4751" s="20">
        <v>0.89</v>
      </c>
      <c r="S4751" s="20">
        <v>0.10999999999999999</v>
      </c>
      <c r="T4751" s="20"/>
    </row>
    <row r="4752" spans="13:20" x14ac:dyDescent="0.2">
      <c r="M4752" s="20">
        <v>1.1037677669451181E-2</v>
      </c>
      <c r="N4752" s="20">
        <v>1.1345821646907212E-3</v>
      </c>
      <c r="O4752" s="20">
        <v>0.10279174647678721</v>
      </c>
      <c r="P4752" s="20"/>
      <c r="Q4752" s="20"/>
      <c r="R4752" s="20">
        <v>0.98</v>
      </c>
      <c r="S4752" s="20">
        <v>2.0000000000000129E-2</v>
      </c>
      <c r="T4752" s="20"/>
    </row>
    <row r="4753" spans="13:20" x14ac:dyDescent="0.2">
      <c r="M4753" s="20">
        <v>1.5807718646568842E-2</v>
      </c>
      <c r="N4753" s="20">
        <v>1.5860568224420524E-3</v>
      </c>
      <c r="O4753" s="20">
        <v>0.10033432767265979</v>
      </c>
      <c r="P4753" s="20">
        <v>5.0000000000000044E-2</v>
      </c>
      <c r="Q4753" s="20"/>
      <c r="R4753" s="20"/>
      <c r="S4753" s="20"/>
      <c r="T4753" s="20">
        <v>0.95</v>
      </c>
    </row>
    <row r="4754" spans="13:20" x14ac:dyDescent="0.2">
      <c r="M4754" s="20">
        <v>1.6482271217304091E-2</v>
      </c>
      <c r="N4754" s="20">
        <v>1.2519148424861507E-3</v>
      </c>
      <c r="O4754" s="20">
        <v>7.5955238570022704E-2</v>
      </c>
      <c r="P4754" s="20"/>
      <c r="Q4754" s="20">
        <v>0.8</v>
      </c>
      <c r="R4754" s="20">
        <v>0.19999999999999996</v>
      </c>
      <c r="S4754" s="20"/>
      <c r="T4754" s="20"/>
    </row>
    <row r="4755" spans="13:20" x14ac:dyDescent="0.2">
      <c r="M4755" s="20">
        <v>1.4670749734442233E-2</v>
      </c>
      <c r="N4755" s="20">
        <v>1.7239248607926862E-3</v>
      </c>
      <c r="O4755" s="20">
        <v>0.11750761835609952</v>
      </c>
      <c r="P4755" s="20">
        <v>0.17999999999999994</v>
      </c>
      <c r="Q4755" s="20"/>
      <c r="R4755" s="20"/>
      <c r="S4755" s="20"/>
      <c r="T4755" s="20">
        <v>0.82</v>
      </c>
    </row>
    <row r="4756" spans="13:20" x14ac:dyDescent="0.2">
      <c r="M4756" s="20">
        <v>1.383981491350712E-2</v>
      </c>
      <c r="N4756" s="20">
        <v>2.2910076283080591E-3</v>
      </c>
      <c r="O4756" s="20">
        <v>0.16553744704144308</v>
      </c>
      <c r="P4756" s="20">
        <v>0.77</v>
      </c>
      <c r="Q4756" s="20">
        <v>0.22999999999999998</v>
      </c>
      <c r="R4756" s="20"/>
      <c r="S4756" s="20"/>
      <c r="T4756" s="20"/>
    </row>
    <row r="4757" spans="13:20" x14ac:dyDescent="0.2">
      <c r="M4757" s="20">
        <v>1.1941092954631667E-2</v>
      </c>
      <c r="N4757" s="20">
        <v>1.6381966612924348E-3</v>
      </c>
      <c r="O4757" s="20">
        <v>0.13718984246387741</v>
      </c>
      <c r="P4757" s="20">
        <v>0.20999999999999996</v>
      </c>
      <c r="Q4757" s="20"/>
      <c r="R4757" s="20">
        <v>0.2</v>
      </c>
      <c r="S4757" s="20">
        <v>0.04</v>
      </c>
      <c r="T4757" s="20">
        <v>0.55000000000000004</v>
      </c>
    </row>
    <row r="4758" spans="13:20" x14ac:dyDescent="0.2">
      <c r="M4758" s="20">
        <v>1.3824281704775374E-2</v>
      </c>
      <c r="N4758" s="20">
        <v>2.2252366723372876E-3</v>
      </c>
      <c r="O4758" s="20">
        <v>0.16096580783424108</v>
      </c>
      <c r="P4758" s="20">
        <v>0.72</v>
      </c>
      <c r="Q4758" s="20">
        <v>0.28000000000000003</v>
      </c>
      <c r="R4758" s="20"/>
      <c r="S4758" s="20"/>
      <c r="T4758" s="20"/>
    </row>
    <row r="4759" spans="13:20" x14ac:dyDescent="0.2">
      <c r="M4759" s="20">
        <v>9.5973342412913887E-3</v>
      </c>
      <c r="N4759" s="20">
        <v>1.0048143166288864E-3</v>
      </c>
      <c r="O4759" s="20">
        <v>0.10469723064408784</v>
      </c>
      <c r="P4759" s="20">
        <v>7.0000000000000007E-2</v>
      </c>
      <c r="Q4759" s="20">
        <v>0.19</v>
      </c>
      <c r="R4759" s="20">
        <v>0.11</v>
      </c>
      <c r="S4759" s="20">
        <v>0.34</v>
      </c>
      <c r="T4759" s="20">
        <v>0.18</v>
      </c>
    </row>
    <row r="4760" spans="13:20" x14ac:dyDescent="0.2">
      <c r="M4760" s="20">
        <v>1.3266591152681396E-2</v>
      </c>
      <c r="N4760" s="20">
        <v>1.5515707395989612E-3</v>
      </c>
      <c r="O4760" s="20">
        <v>0.11695323401033303</v>
      </c>
      <c r="P4760" s="20">
        <v>0.09</v>
      </c>
      <c r="Q4760" s="20">
        <v>0.12</v>
      </c>
      <c r="R4760" s="20">
        <v>0.12000000000000011</v>
      </c>
      <c r="S4760" s="20"/>
      <c r="T4760" s="20">
        <v>0.67</v>
      </c>
    </row>
    <row r="4761" spans="13:20" x14ac:dyDescent="0.2">
      <c r="M4761" s="20">
        <v>1.0340435881771927E-2</v>
      </c>
      <c r="N4761" s="20">
        <v>7.8769206280138203E-4</v>
      </c>
      <c r="O4761" s="20">
        <v>7.6175905136641492E-2</v>
      </c>
      <c r="P4761" s="20">
        <v>2.0000000000000018E-2</v>
      </c>
      <c r="Q4761" s="20"/>
      <c r="R4761" s="20"/>
      <c r="S4761" s="20">
        <v>0.76</v>
      </c>
      <c r="T4761" s="20">
        <v>0.22</v>
      </c>
    </row>
    <row r="4762" spans="13:20" x14ac:dyDescent="0.2">
      <c r="M4762" s="20">
        <v>1.441711545283081E-2</v>
      </c>
      <c r="N4762" s="20">
        <v>2.5409372609969914E-3</v>
      </c>
      <c r="O4762" s="20">
        <v>0.17624449698764649</v>
      </c>
      <c r="P4762" s="20">
        <v>0.96</v>
      </c>
      <c r="Q4762" s="20">
        <v>4.0000000000000036E-2</v>
      </c>
      <c r="R4762" s="20"/>
      <c r="S4762" s="20"/>
      <c r="T4762" s="20"/>
    </row>
    <row r="4763" spans="13:20" x14ac:dyDescent="0.2">
      <c r="M4763" s="20">
        <v>1.5184363566364186E-2</v>
      </c>
      <c r="N4763" s="20">
        <v>9.7664633246746595E-4</v>
      </c>
      <c r="O4763" s="20">
        <v>6.4319214183655035E-2</v>
      </c>
      <c r="P4763" s="20"/>
      <c r="Q4763" s="20">
        <v>0.6</v>
      </c>
      <c r="R4763" s="20">
        <v>0</v>
      </c>
      <c r="S4763" s="20">
        <v>0.4</v>
      </c>
      <c r="T4763" s="20"/>
    </row>
    <row r="4764" spans="13:20" x14ac:dyDescent="0.2">
      <c r="M4764" s="20">
        <v>1.5618520989042381E-2</v>
      </c>
      <c r="N4764" s="20">
        <v>1.6072672898806116E-3</v>
      </c>
      <c r="O4764" s="20">
        <v>0.10290777795210161</v>
      </c>
      <c r="P4764" s="20">
        <v>7.0000000000000062E-2</v>
      </c>
      <c r="Q4764" s="20"/>
      <c r="R4764" s="20"/>
      <c r="S4764" s="20"/>
      <c r="T4764" s="20">
        <v>0.93</v>
      </c>
    </row>
    <row r="4765" spans="13:20" x14ac:dyDescent="0.2">
      <c r="M4765" s="20">
        <v>1.3842810103737418E-2</v>
      </c>
      <c r="N4765" s="20">
        <v>1.851187665424041E-3</v>
      </c>
      <c r="O4765" s="20">
        <v>0.13372918154271574</v>
      </c>
      <c r="P4765" s="20">
        <v>0.30000000000000004</v>
      </c>
      <c r="Q4765" s="20"/>
      <c r="R4765" s="20"/>
      <c r="S4765" s="20"/>
      <c r="T4765" s="20">
        <v>0.7</v>
      </c>
    </row>
    <row r="4766" spans="13:20" x14ac:dyDescent="0.2">
      <c r="M4766" s="20">
        <v>1.3102028074088135E-2</v>
      </c>
      <c r="N4766" s="20">
        <v>2.2860022479145019E-3</v>
      </c>
      <c r="O4766" s="20">
        <v>0.17447697676938473</v>
      </c>
      <c r="P4766" s="20">
        <v>0.71</v>
      </c>
      <c r="Q4766" s="20"/>
      <c r="R4766" s="20"/>
      <c r="S4766" s="20"/>
      <c r="T4766" s="20">
        <v>0.28999999999999998</v>
      </c>
    </row>
    <row r="4767" spans="13:20" x14ac:dyDescent="0.2">
      <c r="M4767" s="20">
        <v>1.6930985901629614E-2</v>
      </c>
      <c r="N4767" s="20">
        <v>1.3320724171503259E-3</v>
      </c>
      <c r="O4767" s="20">
        <v>7.8676600694712856E-2</v>
      </c>
      <c r="P4767" s="20">
        <v>0.01</v>
      </c>
      <c r="Q4767" s="20">
        <v>0.83</v>
      </c>
      <c r="R4767" s="20"/>
      <c r="S4767" s="20"/>
      <c r="T4767" s="20">
        <v>0.16</v>
      </c>
    </row>
    <row r="4768" spans="13:20" x14ac:dyDescent="0.2">
      <c r="M4768" s="20">
        <v>1.2615922576644388E-2</v>
      </c>
      <c r="N4768" s="20">
        <v>2.0093548290174811E-3</v>
      </c>
      <c r="O4768" s="20">
        <v>0.15927133483978101</v>
      </c>
      <c r="P4768" s="20">
        <v>0.49</v>
      </c>
      <c r="Q4768" s="20">
        <v>0.16999999999999993</v>
      </c>
      <c r="R4768" s="20"/>
      <c r="S4768" s="20"/>
      <c r="T4768" s="20">
        <v>0.34</v>
      </c>
    </row>
    <row r="4769" spans="13:20" x14ac:dyDescent="0.2">
      <c r="M4769" s="20">
        <v>1.0242284846599968E-2</v>
      </c>
      <c r="N4769" s="20">
        <v>1.5866824677010236E-3</v>
      </c>
      <c r="O4769" s="20">
        <v>0.15491489364580005</v>
      </c>
      <c r="P4769" s="20">
        <v>0.27</v>
      </c>
      <c r="Q4769" s="20">
        <v>0.08</v>
      </c>
      <c r="R4769" s="20">
        <v>0.54999999999999993</v>
      </c>
      <c r="S4769" s="20"/>
      <c r="T4769" s="20">
        <v>0.1</v>
      </c>
    </row>
    <row r="4770" spans="13:20" x14ac:dyDescent="0.2">
      <c r="M4770" s="20">
        <v>1.0839842417194918E-2</v>
      </c>
      <c r="N4770" s="20">
        <v>1.9334229678604601E-3</v>
      </c>
      <c r="O4770" s="20">
        <v>0.17836264527181034</v>
      </c>
      <c r="P4770" s="20">
        <v>0.56000000000000016</v>
      </c>
      <c r="Q4770" s="20"/>
      <c r="R4770" s="20">
        <v>0.24</v>
      </c>
      <c r="S4770" s="20">
        <v>0.1</v>
      </c>
      <c r="T4770" s="20">
        <v>0.1</v>
      </c>
    </row>
    <row r="4771" spans="13:20" x14ac:dyDescent="0.2">
      <c r="M4771" s="20">
        <v>1.7230052311804852E-2</v>
      </c>
      <c r="N4771" s="20">
        <v>1.259780861647758E-3</v>
      </c>
      <c r="O4771" s="20">
        <v>7.3115324251490657E-2</v>
      </c>
      <c r="P4771" s="20"/>
      <c r="Q4771" s="20">
        <v>0.86</v>
      </c>
      <c r="R4771" s="20">
        <v>0.1399999999999999</v>
      </c>
      <c r="S4771" s="20"/>
      <c r="T4771" s="20"/>
    </row>
    <row r="4772" spans="13:20" x14ac:dyDescent="0.2">
      <c r="M4772" s="20">
        <v>1.6360203031018032E-2</v>
      </c>
      <c r="N4772" s="20">
        <v>1.2506038392925494E-3</v>
      </c>
      <c r="O4772" s="20">
        <v>7.6441828803803624E-2</v>
      </c>
      <c r="P4772" s="20"/>
      <c r="Q4772" s="20">
        <v>0.79</v>
      </c>
      <c r="R4772" s="20">
        <v>0.20999999999999996</v>
      </c>
      <c r="S4772" s="20"/>
      <c r="T4772" s="20"/>
    </row>
    <row r="4773" spans="13:20" x14ac:dyDescent="0.2">
      <c r="M4773" s="20">
        <v>1.0225253914721061E-2</v>
      </c>
      <c r="N4773" s="20">
        <v>1.4726140670023645E-3</v>
      </c>
      <c r="O4773" s="20">
        <v>0.14401735930315396</v>
      </c>
      <c r="P4773" s="20">
        <v>0.35</v>
      </c>
      <c r="Q4773" s="20">
        <v>0.12</v>
      </c>
      <c r="R4773" s="20">
        <v>7.0000000000000007E-2</v>
      </c>
      <c r="S4773" s="20">
        <v>0.31</v>
      </c>
      <c r="T4773" s="20">
        <v>0.11</v>
      </c>
    </row>
    <row r="4774" spans="13:20" x14ac:dyDescent="0.2">
      <c r="M4774" s="20">
        <v>1.8528130402520309E-2</v>
      </c>
      <c r="N4774" s="20">
        <v>1.2728908935837702E-3</v>
      </c>
      <c r="O4774" s="20">
        <v>6.8700449852761386E-2</v>
      </c>
      <c r="P4774" s="20"/>
      <c r="Q4774" s="20">
        <v>0.96</v>
      </c>
      <c r="R4774" s="20">
        <v>4.0000000000000036E-2</v>
      </c>
      <c r="S4774" s="20"/>
      <c r="T4774" s="20"/>
    </row>
    <row r="4775" spans="13:20" x14ac:dyDescent="0.2">
      <c r="M4775" s="20">
        <v>9.8839769893505937E-3</v>
      </c>
      <c r="N4775" s="20">
        <v>9.9137930815639116E-4</v>
      </c>
      <c r="O4775" s="20">
        <v>0.10030166088251159</v>
      </c>
      <c r="P4775" s="20"/>
      <c r="Q4775" s="20"/>
      <c r="R4775" s="20">
        <v>0.75</v>
      </c>
      <c r="S4775" s="20">
        <v>0.24999999999999989</v>
      </c>
      <c r="T4775" s="20"/>
    </row>
    <row r="4776" spans="13:20" x14ac:dyDescent="0.2">
      <c r="M4776" s="20">
        <v>1.0355187992500054E-2</v>
      </c>
      <c r="N4776" s="20">
        <v>7.6648159536282312E-4</v>
      </c>
      <c r="O4776" s="20">
        <v>7.4019090326313944E-2</v>
      </c>
      <c r="P4776" s="20"/>
      <c r="Q4776" s="20"/>
      <c r="R4776" s="20"/>
      <c r="S4776" s="20">
        <v>0.76</v>
      </c>
      <c r="T4776" s="20">
        <v>0.2400000000000001</v>
      </c>
    </row>
    <row r="4777" spans="13:20" x14ac:dyDescent="0.2">
      <c r="M4777" s="20">
        <v>1.1085065477628289E-2</v>
      </c>
      <c r="N4777" s="20">
        <v>1.1086993377605503E-3</v>
      </c>
      <c r="O4777" s="20">
        <v>0.10001739186819514</v>
      </c>
      <c r="P4777" s="20"/>
      <c r="Q4777" s="20">
        <v>0.23</v>
      </c>
      <c r="R4777" s="20">
        <v>0.66</v>
      </c>
      <c r="S4777" s="20">
        <v>0.10999999999999988</v>
      </c>
      <c r="T4777" s="20"/>
    </row>
    <row r="4778" spans="13:20" x14ac:dyDescent="0.2">
      <c r="M4778" s="20">
        <v>1.7484792450961066E-2</v>
      </c>
      <c r="N4778" s="20">
        <v>1.2624028680349605E-3</v>
      </c>
      <c r="O4778" s="20">
        <v>7.2200048789573784E-2</v>
      </c>
      <c r="P4778" s="20"/>
      <c r="Q4778" s="20">
        <v>0.88</v>
      </c>
      <c r="R4778" s="20">
        <v>0.11999999999999988</v>
      </c>
      <c r="S4778" s="20"/>
      <c r="T4778" s="20"/>
    </row>
    <row r="4779" spans="13:20" x14ac:dyDescent="0.2">
      <c r="M4779" s="20">
        <v>1.3057068960728063E-2</v>
      </c>
      <c r="N4779" s="20">
        <v>2.0051682562634843E-3</v>
      </c>
      <c r="O4779" s="20">
        <v>0.15356955395536764</v>
      </c>
      <c r="P4779" s="20">
        <v>0.45</v>
      </c>
      <c r="Q4779" s="20">
        <v>1.9999999999999907E-2</v>
      </c>
      <c r="R4779" s="20"/>
      <c r="S4779" s="20"/>
      <c r="T4779" s="20">
        <v>0.53</v>
      </c>
    </row>
    <row r="4780" spans="13:20" x14ac:dyDescent="0.2">
      <c r="M4780" s="20">
        <v>1.8671632070631446E-2</v>
      </c>
      <c r="N4780" s="20">
        <v>1.2886670911651269E-3</v>
      </c>
      <c r="O4780" s="20">
        <v>6.9017378142967351E-2</v>
      </c>
      <c r="P4780" s="20">
        <v>0.01</v>
      </c>
      <c r="Q4780" s="20">
        <v>0.97</v>
      </c>
      <c r="R4780" s="20">
        <v>2.0000000000000129E-2</v>
      </c>
      <c r="S4780" s="20"/>
      <c r="T4780" s="20"/>
    </row>
    <row r="4781" spans="13:20" x14ac:dyDescent="0.2">
      <c r="M4781" s="20">
        <v>9.3720980769758776E-3</v>
      </c>
      <c r="N4781" s="20">
        <v>8.8378863794025036E-4</v>
      </c>
      <c r="O4781" s="20">
        <v>9.4299977516392477E-2</v>
      </c>
      <c r="P4781" s="20"/>
      <c r="Q4781" s="20"/>
      <c r="R4781" s="20">
        <v>0.48</v>
      </c>
      <c r="S4781" s="20">
        <v>0.46</v>
      </c>
      <c r="T4781" s="20">
        <v>6.0000000000000053E-2</v>
      </c>
    </row>
    <row r="4782" spans="13:20" x14ac:dyDescent="0.2">
      <c r="M4782" s="20">
        <v>1.1272366575596644E-2</v>
      </c>
      <c r="N4782" s="20">
        <v>1.5729919216946869E-3</v>
      </c>
      <c r="O4782" s="20">
        <v>0.13954407099393223</v>
      </c>
      <c r="P4782" s="20">
        <v>0.27</v>
      </c>
      <c r="Q4782" s="20">
        <v>0.27</v>
      </c>
      <c r="R4782" s="20">
        <v>0.46000000000000008</v>
      </c>
      <c r="S4782" s="20"/>
      <c r="T4782" s="20"/>
    </row>
    <row r="4783" spans="13:20" x14ac:dyDescent="0.2">
      <c r="M4783" s="20">
        <v>1.2678233104272041E-2</v>
      </c>
      <c r="N4783" s="20">
        <v>1.7346869070890578E-3</v>
      </c>
      <c r="O4783" s="20">
        <v>0.13682402688309461</v>
      </c>
      <c r="P4783" s="20">
        <v>0.37</v>
      </c>
      <c r="Q4783" s="20">
        <v>0.4</v>
      </c>
      <c r="R4783" s="20">
        <v>0.22999999999999998</v>
      </c>
      <c r="S4783" s="20"/>
      <c r="T4783" s="20"/>
    </row>
    <row r="4784" spans="13:20" x14ac:dyDescent="0.2">
      <c r="M4784" s="20">
        <v>9.5732977198468207E-3</v>
      </c>
      <c r="N4784" s="20">
        <v>8.917599296977269E-4</v>
      </c>
      <c r="O4784" s="20">
        <v>9.3150757011241855E-2</v>
      </c>
      <c r="P4784" s="20"/>
      <c r="Q4784" s="20"/>
      <c r="R4784" s="20">
        <v>0.59</v>
      </c>
      <c r="S4784" s="20">
        <v>0.41000000000000003</v>
      </c>
      <c r="T4784" s="20"/>
    </row>
    <row r="4785" spans="13:20" x14ac:dyDescent="0.2">
      <c r="M4785" s="20">
        <v>1.4598173478091839E-2</v>
      </c>
      <c r="N4785" s="20">
        <v>1.8963818924834289E-3</v>
      </c>
      <c r="O4785" s="20">
        <v>0.12990542243722597</v>
      </c>
      <c r="P4785" s="20">
        <v>0.47</v>
      </c>
      <c r="Q4785" s="20">
        <v>0.53</v>
      </c>
      <c r="R4785" s="20"/>
      <c r="S4785" s="20"/>
      <c r="T4785" s="20"/>
    </row>
    <row r="4786" spans="13:20" x14ac:dyDescent="0.2">
      <c r="M4786" s="20">
        <v>9.6730729121530835E-3</v>
      </c>
      <c r="N4786" s="20">
        <v>9.4156961892705919E-4</v>
      </c>
      <c r="O4786" s="20">
        <v>9.7339245499130603E-2</v>
      </c>
      <c r="P4786" s="20"/>
      <c r="Q4786" s="20"/>
      <c r="R4786" s="20">
        <v>0.67</v>
      </c>
      <c r="S4786" s="20">
        <v>0.32999999999999996</v>
      </c>
      <c r="T4786" s="20"/>
    </row>
    <row r="4787" spans="13:20" x14ac:dyDescent="0.2">
      <c r="M4787" s="20">
        <v>9.6544161042757554E-3</v>
      </c>
      <c r="N4787" s="20">
        <v>9.3534340777339268E-4</v>
      </c>
      <c r="O4787" s="20">
        <v>9.6882441948938483E-2</v>
      </c>
      <c r="P4787" s="20"/>
      <c r="Q4787" s="20"/>
      <c r="R4787" s="20">
        <v>0.66</v>
      </c>
      <c r="S4787" s="20">
        <v>0.33999999999999986</v>
      </c>
      <c r="T4787" s="20"/>
    </row>
    <row r="4788" spans="13:20" x14ac:dyDescent="0.2">
      <c r="M4788" s="20">
        <v>1.1579199744869626E-2</v>
      </c>
      <c r="N4788" s="20">
        <v>5.7484433074211482E-4</v>
      </c>
      <c r="O4788" s="20">
        <v>4.9644564685639006E-2</v>
      </c>
      <c r="P4788" s="20"/>
      <c r="Q4788" s="20"/>
      <c r="R4788" s="20"/>
      <c r="S4788" s="20">
        <v>0.95</v>
      </c>
      <c r="T4788" s="20">
        <v>4.9999999999999933E-2</v>
      </c>
    </row>
    <row r="4789" spans="13:20" x14ac:dyDescent="0.2">
      <c r="M4789" s="20">
        <v>1.4910893426652935E-2</v>
      </c>
      <c r="N4789" s="20">
        <v>1.8306109365126572E-3</v>
      </c>
      <c r="O4789" s="20">
        <v>0.1227700369208243</v>
      </c>
      <c r="P4789" s="20">
        <v>0.42</v>
      </c>
      <c r="Q4789" s="20">
        <v>0.58000000000000007</v>
      </c>
      <c r="R4789" s="20"/>
      <c r="S4789" s="20"/>
      <c r="T4789" s="20"/>
    </row>
    <row r="4790" spans="13:20" x14ac:dyDescent="0.2">
      <c r="M4790" s="20">
        <v>1.0184335578524524E-2</v>
      </c>
      <c r="N4790" s="20">
        <v>9.9957413213233809E-4</v>
      </c>
      <c r="O4790" s="20">
        <v>9.8148192822722496E-2</v>
      </c>
      <c r="P4790" s="20"/>
      <c r="Q4790" s="20">
        <v>0.11</v>
      </c>
      <c r="R4790" s="20">
        <v>0.63</v>
      </c>
      <c r="S4790" s="20">
        <v>0.26</v>
      </c>
      <c r="T4790" s="20"/>
    </row>
    <row r="4791" spans="13:20" x14ac:dyDescent="0.2">
      <c r="M4791" s="20">
        <v>1.4314377025050456E-2</v>
      </c>
      <c r="N4791" s="20">
        <v>1.2270057818077277E-3</v>
      </c>
      <c r="O4791" s="20">
        <v>8.5718419995536102E-2</v>
      </c>
      <c r="P4791" s="20"/>
      <c r="Q4791" s="20">
        <v>0.61</v>
      </c>
      <c r="R4791" s="20">
        <v>0.3899999999999999</v>
      </c>
      <c r="S4791" s="20"/>
      <c r="T4791" s="20"/>
    </row>
    <row r="4792" spans="13:20" x14ac:dyDescent="0.2">
      <c r="M4792" s="20">
        <v>1.1316847661369096E-2</v>
      </c>
      <c r="N4792" s="20">
        <v>6.0510284620854252E-4</v>
      </c>
      <c r="O4792" s="20">
        <v>5.3469204880622921E-2</v>
      </c>
      <c r="P4792" s="20"/>
      <c r="Q4792" s="20"/>
      <c r="R4792" s="20"/>
      <c r="S4792" s="20">
        <v>0.92</v>
      </c>
      <c r="T4792" s="20">
        <v>7.999999999999996E-2</v>
      </c>
    </row>
    <row r="4793" spans="13:20" x14ac:dyDescent="0.2">
      <c r="M4793" s="20">
        <v>1.3088010981072576E-2</v>
      </c>
      <c r="N4793" s="20">
        <v>2.0420818723710732E-3</v>
      </c>
      <c r="O4793" s="20">
        <v>0.15602690701621971</v>
      </c>
      <c r="P4793" s="20">
        <v>0.48000000000000009</v>
      </c>
      <c r="Q4793" s="20"/>
      <c r="R4793" s="20"/>
      <c r="S4793" s="20"/>
      <c r="T4793" s="20">
        <v>0.52</v>
      </c>
    </row>
    <row r="4794" spans="13:20" x14ac:dyDescent="0.2">
      <c r="M4794" s="20">
        <v>1.0994454816060078E-2</v>
      </c>
      <c r="N4794" s="20">
        <v>1.5189434867781851E-3</v>
      </c>
      <c r="O4794" s="20">
        <v>0.13815541672511111</v>
      </c>
      <c r="P4794" s="20">
        <v>0.32</v>
      </c>
      <c r="Q4794" s="20">
        <v>0.15999999999999992</v>
      </c>
      <c r="R4794" s="20"/>
      <c r="S4794" s="20">
        <v>0.31</v>
      </c>
      <c r="T4794" s="20">
        <v>0.21</v>
      </c>
    </row>
    <row r="4795" spans="13:20" x14ac:dyDescent="0.2">
      <c r="M4795" s="20">
        <v>9.6385020773340543E-3</v>
      </c>
      <c r="N4795" s="20">
        <v>8.1704539585372867E-4</v>
      </c>
      <c r="O4795" s="20">
        <v>8.4768918375304009E-2</v>
      </c>
      <c r="P4795" s="20"/>
      <c r="Q4795" s="20"/>
      <c r="R4795" s="20">
        <v>0.47</v>
      </c>
      <c r="S4795" s="20">
        <v>0.52999999999999992</v>
      </c>
      <c r="T4795" s="20"/>
    </row>
    <row r="4796" spans="13:20" x14ac:dyDescent="0.2">
      <c r="M4796" s="20">
        <v>1.0919227021181211E-2</v>
      </c>
      <c r="N4796" s="20">
        <v>9.7172269237988688E-4</v>
      </c>
      <c r="O4796" s="20">
        <v>8.8991893885430787E-2</v>
      </c>
      <c r="P4796" s="20"/>
      <c r="Q4796" s="20">
        <v>0.23</v>
      </c>
      <c r="R4796" s="20">
        <v>0.44</v>
      </c>
      <c r="S4796" s="20">
        <v>0.32999999999999996</v>
      </c>
      <c r="T4796" s="20"/>
    </row>
    <row r="4797" spans="13:20" x14ac:dyDescent="0.2">
      <c r="M4797" s="20">
        <v>1.3532646830793636E-2</v>
      </c>
      <c r="N4797" s="20">
        <v>1.9661300172931469E-3</v>
      </c>
      <c r="O4797" s="20">
        <v>0.1452879131390028</v>
      </c>
      <c r="P4797" s="20">
        <v>0.53</v>
      </c>
      <c r="Q4797" s="20">
        <v>0.4</v>
      </c>
      <c r="R4797" s="20">
        <v>7.0000000000000062E-2</v>
      </c>
      <c r="S4797" s="20"/>
      <c r="T4797" s="20"/>
    </row>
    <row r="4798" spans="13:20" x14ac:dyDescent="0.2">
      <c r="M4798" s="20">
        <v>9.4676317617837045E-3</v>
      </c>
      <c r="N4798" s="20">
        <v>1.1428091671969263E-3</v>
      </c>
      <c r="O4798" s="20">
        <v>0.12070697255145681</v>
      </c>
      <c r="P4798" s="20">
        <v>0.13</v>
      </c>
      <c r="Q4798" s="20"/>
      <c r="R4798" s="20">
        <v>0.14000000000000001</v>
      </c>
      <c r="S4798" s="20">
        <v>0.47</v>
      </c>
      <c r="T4798" s="20">
        <v>0.26</v>
      </c>
    </row>
    <row r="4799" spans="13:20" x14ac:dyDescent="0.2">
      <c r="M4799" s="20">
        <v>1.096427331776919E-2</v>
      </c>
      <c r="N4799" s="20">
        <v>6.9696805633562427E-4</v>
      </c>
      <c r="O4799" s="20">
        <v>6.3567191015394237E-2</v>
      </c>
      <c r="P4799" s="20">
        <v>0.04</v>
      </c>
      <c r="Q4799" s="20">
        <v>0.02</v>
      </c>
      <c r="R4799" s="20">
        <v>0.12</v>
      </c>
      <c r="S4799" s="20">
        <v>0.82</v>
      </c>
      <c r="T4799" s="20"/>
    </row>
    <row r="4800" spans="13:20" x14ac:dyDescent="0.2">
      <c r="M4800" s="20">
        <v>1.3842810103737418E-2</v>
      </c>
      <c r="N4800" s="20">
        <v>1.851187665424041E-3</v>
      </c>
      <c r="O4800" s="20">
        <v>0.13372918154271574</v>
      </c>
      <c r="P4800" s="20">
        <v>0.30000000000000004</v>
      </c>
      <c r="Q4800" s="20"/>
      <c r="R4800" s="20"/>
      <c r="S4800" s="20"/>
      <c r="T4800" s="20">
        <v>0.7</v>
      </c>
    </row>
    <row r="4801" spans="13:20" x14ac:dyDescent="0.2">
      <c r="M4801" s="20">
        <v>1.0187873581924065E-2</v>
      </c>
      <c r="N4801" s="20">
        <v>8.5725714176210536E-4</v>
      </c>
      <c r="O4801" s="20">
        <v>8.414485465181884E-2</v>
      </c>
      <c r="P4801" s="20"/>
      <c r="Q4801" s="20"/>
      <c r="R4801" s="20"/>
      <c r="S4801" s="20">
        <v>0.67</v>
      </c>
      <c r="T4801" s="20">
        <v>0.32999999999999985</v>
      </c>
    </row>
    <row r="4802" spans="13:20" x14ac:dyDescent="0.2">
      <c r="M4802" s="20">
        <v>1.8162832231029692E-2</v>
      </c>
      <c r="N4802" s="20">
        <v>1.312353467166233E-3</v>
      </c>
      <c r="O4802" s="20">
        <v>7.2254891223637804E-2</v>
      </c>
      <c r="P4802" s="20">
        <v>0.03</v>
      </c>
      <c r="Q4802" s="20">
        <v>0.93</v>
      </c>
      <c r="R4802" s="20">
        <v>3.9999999999999813E-2</v>
      </c>
      <c r="S4802" s="20"/>
      <c r="T4802" s="20"/>
    </row>
    <row r="4803" spans="13:20" x14ac:dyDescent="0.2">
      <c r="M4803" s="20">
        <v>1.039134687011423E-2</v>
      </c>
      <c r="N4803" s="20">
        <v>7.5639542354068038E-4</v>
      </c>
      <c r="O4803" s="20">
        <v>7.2790893518923164E-2</v>
      </c>
      <c r="P4803" s="20"/>
      <c r="Q4803" s="20"/>
      <c r="R4803" s="20"/>
      <c r="S4803" s="20">
        <v>0.77</v>
      </c>
      <c r="T4803" s="20">
        <v>0.22999999999999998</v>
      </c>
    </row>
    <row r="4804" spans="13:20" x14ac:dyDescent="0.2">
      <c r="M4804" s="20">
        <v>1.446912698500487E-2</v>
      </c>
      <c r="N4804" s="20">
        <v>2.5540914521911462E-3</v>
      </c>
      <c r="O4804" s="20">
        <v>0.17652007994940452</v>
      </c>
      <c r="P4804" s="20">
        <v>0.97</v>
      </c>
      <c r="Q4804" s="20">
        <v>3.0000000000000027E-2</v>
      </c>
      <c r="R4804" s="20"/>
      <c r="S4804" s="20"/>
      <c r="T4804" s="20"/>
    </row>
    <row r="4805" spans="13:20" x14ac:dyDescent="0.2">
      <c r="M4805" s="20">
        <v>1.441711545283081E-2</v>
      </c>
      <c r="N4805" s="20">
        <v>2.5409372609969914E-3</v>
      </c>
      <c r="O4805" s="20">
        <v>0.17624449698764649</v>
      </c>
      <c r="P4805" s="20">
        <v>0.96</v>
      </c>
      <c r="Q4805" s="20">
        <v>4.0000000000000036E-2</v>
      </c>
      <c r="R4805" s="20"/>
      <c r="S4805" s="20"/>
      <c r="T4805" s="20"/>
    </row>
    <row r="4806" spans="13:20" x14ac:dyDescent="0.2">
      <c r="M4806" s="20">
        <v>1.3306490360399657E-2</v>
      </c>
      <c r="N4806" s="20">
        <v>1.6317529878774133E-3</v>
      </c>
      <c r="O4806" s="20">
        <v>0.12262835230644575</v>
      </c>
      <c r="P4806" s="20">
        <v>0.17</v>
      </c>
      <c r="Q4806" s="20">
        <v>0.31999999999999995</v>
      </c>
      <c r="R4806" s="20"/>
      <c r="S4806" s="20"/>
      <c r="T4806" s="20">
        <v>0.51</v>
      </c>
    </row>
    <row r="4807" spans="13:20" x14ac:dyDescent="0.2">
      <c r="M4807" s="20">
        <v>1.3866891629986427E-2</v>
      </c>
      <c r="N4807" s="20">
        <v>2.1594657163665158E-3</v>
      </c>
      <c r="O4807" s="20">
        <v>0.1557281742720758</v>
      </c>
      <c r="P4807" s="20">
        <v>0.67</v>
      </c>
      <c r="Q4807" s="20">
        <v>0.32999999999999996</v>
      </c>
      <c r="R4807" s="20"/>
      <c r="S4807" s="20"/>
      <c r="T4807" s="20"/>
    </row>
    <row r="4808" spans="13:20" x14ac:dyDescent="0.2">
      <c r="M4808" s="20">
        <v>1.3882356534975661E-2</v>
      </c>
      <c r="N4808" s="20">
        <v>2.1463115251723615E-3</v>
      </c>
      <c r="O4808" s="20">
        <v>0.15460714611131576</v>
      </c>
      <c r="P4808" s="20">
        <v>0.66</v>
      </c>
      <c r="Q4808" s="20">
        <v>0.33999999999999997</v>
      </c>
      <c r="R4808" s="20"/>
      <c r="S4808" s="20"/>
      <c r="T4808" s="20"/>
    </row>
    <row r="4809" spans="13:20" x14ac:dyDescent="0.2">
      <c r="M4809" s="20">
        <v>1.3549413122192863E-2</v>
      </c>
      <c r="N4809" s="20">
        <v>2.4132650525458569E-3</v>
      </c>
      <c r="O4809" s="20">
        <v>0.17810845612147738</v>
      </c>
      <c r="P4809" s="20">
        <v>0.83000000000000007</v>
      </c>
      <c r="Q4809" s="20"/>
      <c r="R4809" s="20"/>
      <c r="S4809" s="20"/>
      <c r="T4809" s="20">
        <v>0.17</v>
      </c>
    </row>
    <row r="4810" spans="13:20" x14ac:dyDescent="0.2">
      <c r="M4810" s="20">
        <v>1.1732397192662145E-2</v>
      </c>
      <c r="N4810" s="20">
        <v>1.6321046123888229E-3</v>
      </c>
      <c r="O4810" s="20">
        <v>0.13911092384509441</v>
      </c>
      <c r="P4810" s="20">
        <v>0.2</v>
      </c>
      <c r="Q4810" s="20">
        <v>0.08</v>
      </c>
      <c r="R4810" s="20">
        <v>0.24</v>
      </c>
      <c r="S4810" s="20"/>
      <c r="T4810" s="20">
        <v>0.48</v>
      </c>
    </row>
    <row r="4811" spans="13:20" x14ac:dyDescent="0.2">
      <c r="M4811" s="20">
        <v>1.3199039228649449E-2</v>
      </c>
      <c r="N4811" s="20">
        <v>1.6906958790631214E-3</v>
      </c>
      <c r="O4811" s="20">
        <v>0.12809234443317252</v>
      </c>
      <c r="P4811" s="20">
        <v>0.24</v>
      </c>
      <c r="Q4811" s="20">
        <v>0.38000000000000012</v>
      </c>
      <c r="R4811" s="20"/>
      <c r="S4811" s="20"/>
      <c r="T4811" s="20">
        <v>0.38</v>
      </c>
    </row>
    <row r="4812" spans="13:20" x14ac:dyDescent="0.2">
      <c r="M4812" s="20">
        <v>9.5973862690342839E-3</v>
      </c>
      <c r="N4812" s="20">
        <v>9.1043856315872653E-4</v>
      </c>
      <c r="O4812" s="20">
        <v>9.4863178123426456E-2</v>
      </c>
      <c r="P4812" s="20"/>
      <c r="Q4812" s="20"/>
      <c r="R4812" s="20">
        <v>0.62</v>
      </c>
      <c r="S4812" s="20">
        <v>0.38000000000000012</v>
      </c>
      <c r="T4812" s="20"/>
    </row>
    <row r="4813" spans="13:20" x14ac:dyDescent="0.2">
      <c r="M4813" s="20">
        <v>1.0632078915043908E-2</v>
      </c>
      <c r="N4813" s="20">
        <v>1.0978825073974011E-3</v>
      </c>
      <c r="O4813" s="20">
        <v>0.10326132040310078</v>
      </c>
      <c r="P4813" s="20"/>
      <c r="Q4813" s="20">
        <v>0.1</v>
      </c>
      <c r="R4813" s="20">
        <v>0.8</v>
      </c>
      <c r="S4813" s="20">
        <v>0.10000000000000009</v>
      </c>
      <c r="T4813" s="20"/>
    </row>
    <row r="4814" spans="13:20" x14ac:dyDescent="0.2">
      <c r="M4814" s="20">
        <v>1.2560921745630702E-2</v>
      </c>
      <c r="N4814" s="20">
        <v>2.2292580004343756E-3</v>
      </c>
      <c r="O4814" s="20">
        <v>0.17747566982572913</v>
      </c>
      <c r="P4814" s="20">
        <v>0.74</v>
      </c>
      <c r="Q4814" s="20">
        <v>0.09</v>
      </c>
      <c r="R4814" s="20">
        <v>0.17000000000000004</v>
      </c>
      <c r="S4814" s="20"/>
      <c r="T4814" s="20"/>
    </row>
    <row r="4815" spans="13:20" x14ac:dyDescent="0.2">
      <c r="M4815" s="20">
        <v>1.5298716201155594E-2</v>
      </c>
      <c r="N4815" s="20">
        <v>1.2388048105501388E-3</v>
      </c>
      <c r="O4815" s="20">
        <v>8.0974429112984345E-2</v>
      </c>
      <c r="P4815" s="20"/>
      <c r="Q4815" s="20">
        <v>0.7</v>
      </c>
      <c r="R4815" s="20">
        <v>0.30000000000000004</v>
      </c>
      <c r="S4815" s="20"/>
      <c r="T4815" s="20"/>
    </row>
    <row r="4816" spans="13:20" x14ac:dyDescent="0.2">
      <c r="M4816" s="20">
        <v>1.4670749734442235E-2</v>
      </c>
      <c r="N4816" s="20">
        <v>1.7239248607926866E-3</v>
      </c>
      <c r="O4816" s="20">
        <v>0.11750761835609953</v>
      </c>
      <c r="P4816" s="20">
        <v>0.18000000000000016</v>
      </c>
      <c r="Q4816" s="20"/>
      <c r="R4816" s="20"/>
      <c r="S4816" s="20"/>
      <c r="T4816" s="20">
        <v>0.82</v>
      </c>
    </row>
    <row r="4817" spans="13:20" x14ac:dyDescent="0.2">
      <c r="M4817" s="20">
        <v>1.0907497346881831E-2</v>
      </c>
      <c r="N4817" s="20">
        <v>1.0690667500270984E-3</v>
      </c>
      <c r="O4817" s="20">
        <v>9.8012102687580913E-2</v>
      </c>
      <c r="P4817" s="20"/>
      <c r="Q4817" s="20"/>
      <c r="R4817" s="20"/>
      <c r="S4817" s="20">
        <v>0.46</v>
      </c>
      <c r="T4817" s="20">
        <v>0.53999999999999992</v>
      </c>
    </row>
    <row r="4818" spans="13:20" x14ac:dyDescent="0.2">
      <c r="M4818" s="20">
        <v>1.0060746969388152E-2</v>
      </c>
      <c r="N4818" s="20">
        <v>1.1722997819576697E-3</v>
      </c>
      <c r="O4818" s="20">
        <v>0.1165221414994958</v>
      </c>
      <c r="P4818" s="20">
        <v>0.24</v>
      </c>
      <c r="Q4818" s="20"/>
      <c r="R4818" s="20"/>
      <c r="S4818" s="20">
        <v>0.61</v>
      </c>
      <c r="T4818" s="20">
        <v>0.15</v>
      </c>
    </row>
    <row r="4819" spans="13:20" x14ac:dyDescent="0.2">
      <c r="M4819" s="20">
        <v>1.1543082951208993E-2</v>
      </c>
      <c r="N4819" s="20">
        <v>1.7313119307408188E-3</v>
      </c>
      <c r="O4819" s="20">
        <v>0.14998696085429114</v>
      </c>
      <c r="P4819" s="20">
        <v>0.42</v>
      </c>
      <c r="Q4819" s="20">
        <v>0.25</v>
      </c>
      <c r="R4819" s="20">
        <v>0.24</v>
      </c>
      <c r="S4819" s="20">
        <v>9.000000000000008E-2</v>
      </c>
      <c r="T4819" s="20"/>
    </row>
    <row r="4820" spans="13:20" x14ac:dyDescent="0.2">
      <c r="M4820" s="20">
        <v>1.0220621362782867E-2</v>
      </c>
      <c r="N4820" s="20">
        <v>9.0768800087281812E-4</v>
      </c>
      <c r="O4820" s="20">
        <v>8.88094733827096E-2</v>
      </c>
      <c r="P4820" s="20"/>
      <c r="Q4820" s="20"/>
      <c r="R4820" s="20"/>
      <c r="S4820" s="20">
        <v>0.62</v>
      </c>
      <c r="T4820" s="20">
        <v>0.37999999999999989</v>
      </c>
    </row>
    <row r="4821" spans="13:20" x14ac:dyDescent="0.2">
      <c r="M4821" s="20">
        <v>1.906302168500059E-2</v>
      </c>
      <c r="N4821" s="20">
        <v>1.2781349063581749E-3</v>
      </c>
      <c r="O4821" s="20">
        <v>6.7047865101252727E-2</v>
      </c>
      <c r="P4821" s="20"/>
      <c r="Q4821" s="20">
        <v>1</v>
      </c>
      <c r="R4821" s="20">
        <v>0</v>
      </c>
      <c r="S4821" s="20"/>
      <c r="T4821" s="20"/>
    </row>
    <row r="4822" spans="13:20" x14ac:dyDescent="0.2">
      <c r="M4822" s="20">
        <v>1.0609211937929571E-2</v>
      </c>
      <c r="N4822" s="20">
        <v>1.0909986866150555E-3</v>
      </c>
      <c r="O4822" s="20">
        <v>0.10283503553308862</v>
      </c>
      <c r="P4822" s="20"/>
      <c r="Q4822" s="20"/>
      <c r="R4822" s="20">
        <v>0.91</v>
      </c>
      <c r="S4822" s="20">
        <v>8.9999999999999969E-2</v>
      </c>
      <c r="T4822" s="20"/>
    </row>
    <row r="4823" spans="13:20" x14ac:dyDescent="0.2">
      <c r="M4823" s="20">
        <v>1.1170957929046488E-2</v>
      </c>
      <c r="N4823" s="20">
        <v>1.1470345869980542E-3</v>
      </c>
      <c r="O4823" s="20">
        <v>0.10268005611368021</v>
      </c>
      <c r="P4823" s="20"/>
      <c r="Q4823" s="20"/>
      <c r="R4823" s="20">
        <v>1</v>
      </c>
      <c r="S4823" s="20">
        <v>1.1102230246251565E-16</v>
      </c>
      <c r="T4823" s="20"/>
    </row>
    <row r="4824" spans="13:20" x14ac:dyDescent="0.2">
      <c r="M4824" s="20">
        <v>1.5344006605141125E-2</v>
      </c>
      <c r="N4824" s="20">
        <v>1.6390829910384503E-3</v>
      </c>
      <c r="O4824" s="20">
        <v>0.10682235958431244</v>
      </c>
      <c r="P4824" s="20">
        <v>0.10000000000000009</v>
      </c>
      <c r="Q4824" s="20"/>
      <c r="R4824" s="20"/>
      <c r="S4824" s="20"/>
      <c r="T4824" s="20">
        <v>0.9</v>
      </c>
    </row>
    <row r="4825" spans="13:20" x14ac:dyDescent="0.2">
      <c r="M4825" s="20">
        <v>1.5998727079513643E-2</v>
      </c>
      <c r="N4825" s="20">
        <v>1.246670829711746E-3</v>
      </c>
      <c r="O4825" s="20">
        <v>7.7923126228467712E-2</v>
      </c>
      <c r="P4825" s="20"/>
      <c r="Q4825" s="20">
        <v>0.76</v>
      </c>
      <c r="R4825" s="20">
        <v>0.24</v>
      </c>
      <c r="S4825" s="20"/>
      <c r="T4825" s="20"/>
    </row>
    <row r="4826" spans="13:20" x14ac:dyDescent="0.2">
      <c r="M4826" s="20">
        <v>1.4337240002852822E-2</v>
      </c>
      <c r="N4826" s="20">
        <v>1.7137290308931873E-3</v>
      </c>
      <c r="O4826" s="20">
        <v>0.11952991165330216</v>
      </c>
      <c r="P4826" s="20">
        <v>0.18</v>
      </c>
      <c r="Q4826" s="20">
        <v>4.0000000000000036E-2</v>
      </c>
      <c r="R4826" s="20"/>
      <c r="S4826" s="20"/>
      <c r="T4826" s="20">
        <v>0.78</v>
      </c>
    </row>
    <row r="4827" spans="13:20" x14ac:dyDescent="0.2">
      <c r="M4827" s="20">
        <v>1.1696413394844153E-2</v>
      </c>
      <c r="N4827" s="20">
        <v>1.9634054393159344E-3</v>
      </c>
      <c r="O4827" s="20">
        <v>0.16786388895773938</v>
      </c>
      <c r="P4827" s="20">
        <v>0.56999999999999995</v>
      </c>
      <c r="Q4827" s="20">
        <v>5.0000000000000044E-2</v>
      </c>
      <c r="R4827" s="20"/>
      <c r="S4827" s="20">
        <v>0.16</v>
      </c>
      <c r="T4827" s="20">
        <v>0.22</v>
      </c>
    </row>
    <row r="4828" spans="13:20" x14ac:dyDescent="0.2">
      <c r="M4828" s="20">
        <v>1.0342667118598622E-2</v>
      </c>
      <c r="N4828" s="20">
        <v>9.5811885998353078E-4</v>
      </c>
      <c r="O4828" s="20">
        <v>9.2637503363189641E-2</v>
      </c>
      <c r="P4828" s="20"/>
      <c r="Q4828" s="20"/>
      <c r="R4828" s="20"/>
      <c r="S4828" s="20">
        <v>0.56999999999999995</v>
      </c>
      <c r="T4828" s="20">
        <v>0.43000000000000005</v>
      </c>
    </row>
    <row r="4829" spans="13:20" x14ac:dyDescent="0.2">
      <c r="M4829" s="20">
        <v>1.3446133862995747E-2</v>
      </c>
      <c r="N4829" s="20">
        <v>2.3905437514266967E-3</v>
      </c>
      <c r="O4829" s="20">
        <v>0.17778669882244449</v>
      </c>
      <c r="P4829" s="20">
        <v>0.83</v>
      </c>
      <c r="Q4829" s="20">
        <v>1.0000000000000009E-2</v>
      </c>
      <c r="R4829" s="20"/>
      <c r="S4829" s="20">
        <v>0.02</v>
      </c>
      <c r="T4829" s="20">
        <v>0.14000000000000001</v>
      </c>
    </row>
    <row r="4830" spans="13:20" x14ac:dyDescent="0.2">
      <c r="M4830" s="20">
        <v>1.1382024848836261E-2</v>
      </c>
      <c r="N4830" s="20">
        <v>1.3875664010410669E-3</v>
      </c>
      <c r="O4830" s="20">
        <v>0.12190857246133464</v>
      </c>
      <c r="P4830" s="20">
        <v>0.14000000000000001</v>
      </c>
      <c r="Q4830" s="20">
        <v>0.28999999999999998</v>
      </c>
      <c r="R4830" s="20">
        <v>0.56999999999999995</v>
      </c>
      <c r="S4830" s="20"/>
      <c r="T4830" s="20"/>
    </row>
    <row r="4831" spans="13:20" x14ac:dyDescent="0.2">
      <c r="M4831" s="20">
        <v>1.4469126985004872E-2</v>
      </c>
      <c r="N4831" s="20">
        <v>2.5540914521911462E-3</v>
      </c>
      <c r="O4831" s="20">
        <v>0.17652007994940452</v>
      </c>
      <c r="P4831" s="20">
        <v>0.97</v>
      </c>
      <c r="Q4831" s="20">
        <v>3.0000000000000138E-2</v>
      </c>
      <c r="R4831" s="20"/>
      <c r="S4831" s="20"/>
      <c r="T4831" s="20"/>
    </row>
    <row r="4832" spans="13:20" x14ac:dyDescent="0.2">
      <c r="M4832" s="20">
        <v>1.2026988114449001E-2</v>
      </c>
      <c r="N4832" s="20">
        <v>1.2001869837149515E-3</v>
      </c>
      <c r="O4832" s="20">
        <v>9.9791150726512234E-2</v>
      </c>
      <c r="P4832" s="20"/>
      <c r="Q4832" s="20"/>
      <c r="R4832" s="20"/>
      <c r="S4832" s="20">
        <v>0.33</v>
      </c>
      <c r="T4832" s="20">
        <v>0.67</v>
      </c>
    </row>
    <row r="4833" spans="13:20" x14ac:dyDescent="0.2">
      <c r="M4833" s="20">
        <v>1.1526754040348287E-2</v>
      </c>
      <c r="N4833" s="20">
        <v>1.1798096668380843E-3</v>
      </c>
      <c r="O4833" s="20">
        <v>0.10235402462031155</v>
      </c>
      <c r="P4833" s="20"/>
      <c r="Q4833" s="20">
        <v>0.25</v>
      </c>
      <c r="R4833" s="20">
        <v>0.74999999999999989</v>
      </c>
      <c r="S4833" s="20"/>
      <c r="T4833" s="20"/>
    </row>
    <row r="4834" spans="13:20" x14ac:dyDescent="0.2">
      <c r="M4834" s="20">
        <v>9.961751536154485E-3</v>
      </c>
      <c r="N4834" s="20">
        <v>1.0202565521159222E-3</v>
      </c>
      <c r="O4834" s="20">
        <v>0.10241738598007331</v>
      </c>
      <c r="P4834" s="20">
        <v>5.9999999999999831E-2</v>
      </c>
      <c r="Q4834" s="20"/>
      <c r="R4834" s="20">
        <v>0.03</v>
      </c>
      <c r="S4834" s="20">
        <v>0.56000000000000005</v>
      </c>
      <c r="T4834" s="20">
        <v>0.35</v>
      </c>
    </row>
    <row r="4835" spans="13:20" x14ac:dyDescent="0.2">
      <c r="M4835" s="20">
        <v>1.5167446413524818E-2</v>
      </c>
      <c r="N4835" s="20">
        <v>1.6602934584770091E-3</v>
      </c>
      <c r="O4835" s="20">
        <v>0.10946427059709436</v>
      </c>
      <c r="P4835" s="20">
        <v>0.12</v>
      </c>
      <c r="Q4835" s="20"/>
      <c r="R4835" s="20"/>
      <c r="S4835" s="20"/>
      <c r="T4835" s="20">
        <v>0.88</v>
      </c>
    </row>
    <row r="4836" spans="13:20" x14ac:dyDescent="0.2">
      <c r="M4836" s="20">
        <v>1.4912738377618209E-2</v>
      </c>
      <c r="N4836" s="20">
        <v>1.6921091596348481E-3</v>
      </c>
      <c r="O4836" s="20">
        <v>0.11346736707823232</v>
      </c>
      <c r="P4836" s="20">
        <v>0.15000000000000013</v>
      </c>
      <c r="Q4836" s="20"/>
      <c r="R4836" s="20"/>
      <c r="S4836" s="20">
        <v>0</v>
      </c>
      <c r="T4836" s="20">
        <v>0.85</v>
      </c>
    </row>
    <row r="4837" spans="13:20" x14ac:dyDescent="0.2">
      <c r="M4837" s="20">
        <v>1.3055957454077739E-2</v>
      </c>
      <c r="N4837" s="20">
        <v>2.2647917804759429E-3</v>
      </c>
      <c r="O4837" s="20">
        <v>0.17346807298062888</v>
      </c>
      <c r="P4837" s="20">
        <v>0.69</v>
      </c>
      <c r="Q4837" s="20"/>
      <c r="R4837" s="20"/>
      <c r="S4837" s="20"/>
      <c r="T4837" s="20">
        <v>0.31</v>
      </c>
    </row>
    <row r="4838" spans="13:20" x14ac:dyDescent="0.2">
      <c r="M4838" s="20">
        <v>1.3876782910384536E-2</v>
      </c>
      <c r="N4838" s="20">
        <v>2.4768964548615336E-3</v>
      </c>
      <c r="O4838" s="20">
        <v>0.17849212392073785</v>
      </c>
      <c r="P4838" s="20">
        <v>0.8899999999999999</v>
      </c>
      <c r="Q4838" s="20"/>
      <c r="R4838" s="20"/>
      <c r="S4838" s="20"/>
      <c r="T4838" s="20">
        <v>0.11</v>
      </c>
    </row>
    <row r="4839" spans="13:20" x14ac:dyDescent="0.2">
      <c r="M4839" s="20">
        <v>1.6728668547775244E-2</v>
      </c>
      <c r="N4839" s="20">
        <v>1.2545368488733532E-3</v>
      </c>
      <c r="O4839" s="20">
        <v>7.4993227661277029E-2</v>
      </c>
      <c r="P4839" s="20"/>
      <c r="Q4839" s="20">
        <v>0.82</v>
      </c>
      <c r="R4839" s="20">
        <v>0.18000000000000005</v>
      </c>
      <c r="S4839" s="20"/>
      <c r="T4839" s="20"/>
    </row>
    <row r="4840" spans="13:20" x14ac:dyDescent="0.2">
      <c r="M4840" s="20">
        <v>1.141387838140962E-2</v>
      </c>
      <c r="N4840" s="20">
        <v>1.3089015646535222E-3</v>
      </c>
      <c r="O4840" s="20">
        <v>0.1146763195571979</v>
      </c>
      <c r="P4840" s="20"/>
      <c r="Q4840" s="20"/>
      <c r="R4840" s="20">
        <v>0.45</v>
      </c>
      <c r="S4840" s="20">
        <v>0.05</v>
      </c>
      <c r="T4840" s="20">
        <v>0.50000000000000011</v>
      </c>
    </row>
    <row r="4841" spans="13:20" x14ac:dyDescent="0.2">
      <c r="M4841" s="20">
        <v>1.5933010011191028E-2</v>
      </c>
      <c r="N4841" s="20">
        <v>1.6596064509886506E-3</v>
      </c>
      <c r="O4841" s="20">
        <v>0.10416151435434835</v>
      </c>
      <c r="P4841" s="20">
        <v>0.28999999999999998</v>
      </c>
      <c r="Q4841" s="20">
        <v>0.71</v>
      </c>
      <c r="R4841" s="20"/>
      <c r="S4841" s="20"/>
      <c r="T4841" s="20"/>
    </row>
    <row r="4842" spans="13:20" x14ac:dyDescent="0.2">
      <c r="M4842" s="20">
        <v>1.3449908905687114E-2</v>
      </c>
      <c r="N4842" s="20">
        <v>1.3983747094044475E-3</v>
      </c>
      <c r="O4842" s="20">
        <v>0.10396908404436579</v>
      </c>
      <c r="P4842" s="20"/>
      <c r="Q4842" s="20">
        <v>0.2</v>
      </c>
      <c r="R4842" s="20">
        <v>0.06</v>
      </c>
      <c r="S4842" s="20">
        <v>0.06</v>
      </c>
      <c r="T4842" s="20">
        <v>0.68</v>
      </c>
    </row>
    <row r="4843" spans="13:20" x14ac:dyDescent="0.2">
      <c r="M4843" s="20">
        <v>1.6728668547775244E-2</v>
      </c>
      <c r="N4843" s="20">
        <v>1.2545368488733534E-3</v>
      </c>
      <c r="O4843" s="20">
        <v>7.4993227661277029E-2</v>
      </c>
      <c r="P4843" s="20"/>
      <c r="Q4843" s="20">
        <v>0.82</v>
      </c>
      <c r="R4843" s="20">
        <v>0.18000000000000016</v>
      </c>
      <c r="S4843" s="20"/>
      <c r="T4843" s="20"/>
    </row>
    <row r="4844" spans="13:20" x14ac:dyDescent="0.2">
      <c r="M4844" s="20">
        <v>1.5879871097141299E-2</v>
      </c>
      <c r="N4844" s="20">
        <v>1.2453598265181449E-3</v>
      </c>
      <c r="O4844" s="20">
        <v>7.8423799469149041E-2</v>
      </c>
      <c r="P4844" s="20"/>
      <c r="Q4844" s="20">
        <v>0.75</v>
      </c>
      <c r="R4844" s="20">
        <v>0.25000000000000011</v>
      </c>
      <c r="S4844" s="20"/>
      <c r="T4844" s="20"/>
    </row>
    <row r="4845" spans="13:20" x14ac:dyDescent="0.2">
      <c r="M4845" s="20">
        <v>1.088145271491703E-2</v>
      </c>
      <c r="N4845" s="20">
        <v>1.5453153446746192E-3</v>
      </c>
      <c r="O4845" s="20">
        <v>0.14201369846107006</v>
      </c>
      <c r="P4845" s="20">
        <v>0.37</v>
      </c>
      <c r="Q4845" s="20">
        <v>0.14000000000000001</v>
      </c>
      <c r="R4845" s="20">
        <v>2.9999999999999916E-2</v>
      </c>
      <c r="S4845" s="20">
        <v>0.33</v>
      </c>
      <c r="T4845" s="20">
        <v>0.13</v>
      </c>
    </row>
    <row r="4846" spans="13:20" x14ac:dyDescent="0.2">
      <c r="M4846" s="20">
        <v>1.8794551774568874E-2</v>
      </c>
      <c r="N4846" s="20">
        <v>1.2755128999709724E-3</v>
      </c>
      <c r="O4846" s="20">
        <v>6.7866098392241725E-2</v>
      </c>
      <c r="P4846" s="20"/>
      <c r="Q4846" s="20">
        <v>0.98</v>
      </c>
      <c r="R4846" s="20">
        <v>2.0000000000000018E-2</v>
      </c>
      <c r="S4846" s="20"/>
      <c r="T4846" s="20"/>
    </row>
    <row r="4847" spans="13:20" x14ac:dyDescent="0.2">
      <c r="M4847" s="20">
        <v>1.5413130945862857E-2</v>
      </c>
      <c r="N4847" s="20">
        <v>1.2401158137437399E-3</v>
      </c>
      <c r="O4847" s="20">
        <v>8.0458397330141915E-2</v>
      </c>
      <c r="P4847" s="20"/>
      <c r="Q4847" s="20">
        <v>0.71</v>
      </c>
      <c r="R4847" s="20">
        <v>0.28999999999999992</v>
      </c>
      <c r="S4847" s="20"/>
      <c r="T4847" s="20"/>
    </row>
    <row r="4848" spans="13:20" x14ac:dyDescent="0.2">
      <c r="M4848" s="20">
        <v>1.022662499477398E-2</v>
      </c>
      <c r="N4848" s="20">
        <v>8.1691245447353534E-4</v>
      </c>
      <c r="O4848" s="20">
        <v>7.9880943604658902E-2</v>
      </c>
      <c r="P4848" s="20"/>
      <c r="Q4848" s="20"/>
      <c r="R4848" s="20"/>
      <c r="S4848" s="20">
        <v>0.71</v>
      </c>
      <c r="T4848" s="20">
        <v>0.28999999999999992</v>
      </c>
    </row>
    <row r="4849" spans="13:20" x14ac:dyDescent="0.2">
      <c r="M4849" s="20">
        <v>1.0700842383847118E-2</v>
      </c>
      <c r="N4849" s="20">
        <v>1.0536456357568133E-3</v>
      </c>
      <c r="O4849" s="20">
        <v>9.8463802938288991E-2</v>
      </c>
      <c r="P4849" s="20"/>
      <c r="Q4849" s="20">
        <v>0.19</v>
      </c>
      <c r="R4849" s="20">
        <v>0.62</v>
      </c>
      <c r="S4849" s="20">
        <v>0.19000000000000006</v>
      </c>
      <c r="T4849" s="20"/>
    </row>
    <row r="4850" spans="13:20" x14ac:dyDescent="0.2">
      <c r="M4850" s="20">
        <v>1.774207684011481E-2</v>
      </c>
      <c r="N4850" s="20">
        <v>1.2650248744221627E-3</v>
      </c>
      <c r="O4850" s="20">
        <v>7.1300833934048999E-2</v>
      </c>
      <c r="P4850" s="20"/>
      <c r="Q4850" s="20">
        <v>0.9</v>
      </c>
      <c r="R4850" s="20">
        <v>9.9999999999999867E-2</v>
      </c>
      <c r="S4850" s="20"/>
      <c r="T4850" s="20"/>
    </row>
    <row r="4851" spans="13:20" x14ac:dyDescent="0.2">
      <c r="M4851" s="20">
        <v>1.3169166002341536E-2</v>
      </c>
      <c r="N4851" s="20">
        <v>2.0102661712132343E-3</v>
      </c>
      <c r="O4851" s="20">
        <v>0.15264946700920923</v>
      </c>
      <c r="P4851" s="20">
        <v>0.44999999999999996</v>
      </c>
      <c r="Q4851" s="20"/>
      <c r="R4851" s="20"/>
      <c r="S4851" s="20"/>
      <c r="T4851" s="20">
        <v>0.55000000000000004</v>
      </c>
    </row>
    <row r="4852" spans="13:20" x14ac:dyDescent="0.2">
      <c r="M4852" s="20">
        <v>1.3582694831933981E-2</v>
      </c>
      <c r="N4852" s="20">
        <v>1.5889226491805147E-3</v>
      </c>
      <c r="O4852" s="20">
        <v>0.11698139940866764</v>
      </c>
      <c r="P4852" s="20">
        <v>0.12</v>
      </c>
      <c r="Q4852" s="20">
        <v>0.27999999999999992</v>
      </c>
      <c r="R4852" s="20"/>
      <c r="S4852" s="20"/>
      <c r="T4852" s="20">
        <v>0.6</v>
      </c>
    </row>
    <row r="4853" spans="13:20" x14ac:dyDescent="0.2">
      <c r="M4853" s="20">
        <v>9.4907725154830362E-3</v>
      </c>
      <c r="N4853" s="20">
        <v>8.7457500642001301E-4</v>
      </c>
      <c r="O4853" s="20">
        <v>9.2150033624054384E-2</v>
      </c>
      <c r="P4853" s="20"/>
      <c r="Q4853" s="20"/>
      <c r="R4853" s="20">
        <v>0.53</v>
      </c>
      <c r="S4853" s="20">
        <v>0.45</v>
      </c>
      <c r="T4853" s="20">
        <v>2.0000000000000018E-2</v>
      </c>
    </row>
    <row r="4854" spans="13:20" x14ac:dyDescent="0.2">
      <c r="M4854" s="20">
        <v>1.3598641621461611E-2</v>
      </c>
      <c r="N4854" s="20">
        <v>1.0796551544370993E-3</v>
      </c>
      <c r="O4854" s="20">
        <v>7.9394338382531446E-2</v>
      </c>
      <c r="P4854" s="20"/>
      <c r="Q4854" s="20">
        <v>0.51</v>
      </c>
      <c r="R4854" s="20">
        <v>0.08</v>
      </c>
      <c r="S4854" s="20">
        <v>0.28999999999999998</v>
      </c>
      <c r="T4854" s="20">
        <v>0.12000000000000022</v>
      </c>
    </row>
    <row r="4855" spans="13:20" x14ac:dyDescent="0.2">
      <c r="M4855" s="20">
        <v>1.2965631113948009E-2</v>
      </c>
      <c r="N4855" s="20">
        <v>1.7662393022517711E-3</v>
      </c>
      <c r="O4855" s="20">
        <v>0.13622470720701807</v>
      </c>
      <c r="P4855" s="20">
        <v>0.39</v>
      </c>
      <c r="Q4855" s="20">
        <v>0.42</v>
      </c>
      <c r="R4855" s="20">
        <v>0.18999999999999995</v>
      </c>
      <c r="S4855" s="20"/>
      <c r="T4855" s="20"/>
    </row>
    <row r="4856" spans="13:20" x14ac:dyDescent="0.2">
      <c r="M4856" s="20">
        <v>1.3709273138729028E-2</v>
      </c>
      <c r="N4856" s="20">
        <v>1.2191397626461209E-3</v>
      </c>
      <c r="O4856" s="20">
        <v>8.8928110944264546E-2</v>
      </c>
      <c r="P4856" s="20"/>
      <c r="Q4856" s="20">
        <v>0.55000000000000004</v>
      </c>
      <c r="R4856" s="20">
        <v>0.45000000000000007</v>
      </c>
      <c r="S4856" s="20"/>
      <c r="T4856" s="20"/>
    </row>
    <row r="4857" spans="13:20" x14ac:dyDescent="0.2">
      <c r="M4857" s="20">
        <v>1.4910893426652935E-2</v>
      </c>
      <c r="N4857" s="20">
        <v>1.8306109365126572E-3</v>
      </c>
      <c r="O4857" s="20">
        <v>0.1227700369208243</v>
      </c>
      <c r="P4857" s="20">
        <v>0.42</v>
      </c>
      <c r="Q4857" s="20">
        <v>0.58000000000000007</v>
      </c>
      <c r="R4857" s="20"/>
      <c r="S4857" s="20"/>
      <c r="T4857" s="20"/>
    </row>
    <row r="4858" spans="13:20" x14ac:dyDescent="0.2">
      <c r="M4858" s="20">
        <v>9.608987485392512E-3</v>
      </c>
      <c r="N4858" s="20">
        <v>9.1666477431239304E-4</v>
      </c>
      <c r="O4858" s="20">
        <v>9.5396604034077237E-2</v>
      </c>
      <c r="P4858" s="20"/>
      <c r="Q4858" s="20"/>
      <c r="R4858" s="20">
        <v>0.63</v>
      </c>
      <c r="S4858" s="20">
        <v>0.36999999999999988</v>
      </c>
      <c r="T4858" s="20"/>
    </row>
    <row r="4859" spans="13:20" x14ac:dyDescent="0.2">
      <c r="M4859" s="20">
        <v>9.6934705756580048E-3</v>
      </c>
      <c r="N4859" s="20">
        <v>9.4779583008072559E-4</v>
      </c>
      <c r="O4859" s="20">
        <v>9.7776727404610492E-2</v>
      </c>
      <c r="P4859" s="20"/>
      <c r="Q4859" s="20"/>
      <c r="R4859" s="20">
        <v>0.68</v>
      </c>
      <c r="S4859" s="20">
        <v>0.31999999999999984</v>
      </c>
      <c r="T4859" s="20"/>
    </row>
    <row r="4860" spans="13:20" x14ac:dyDescent="0.2">
      <c r="M4860" s="20">
        <v>1.1766506833316757E-2</v>
      </c>
      <c r="N4860" s="20">
        <v>5.5467198709782987E-4</v>
      </c>
      <c r="O4860" s="20">
        <v>4.7139902687795263E-2</v>
      </c>
      <c r="P4860" s="20"/>
      <c r="Q4860" s="20"/>
      <c r="R4860" s="20"/>
      <c r="S4860" s="20">
        <v>0.97</v>
      </c>
      <c r="T4860" s="20">
        <v>2.9999999999999916E-2</v>
      </c>
    </row>
    <row r="4861" spans="13:20" x14ac:dyDescent="0.2">
      <c r="M4861" s="20">
        <v>1.5194608787896909E-2</v>
      </c>
      <c r="N4861" s="20">
        <v>1.7779941717360401E-3</v>
      </c>
      <c r="O4861" s="20">
        <v>0.11701480416871811</v>
      </c>
      <c r="P4861" s="20">
        <v>0.38</v>
      </c>
      <c r="Q4861" s="20">
        <v>0.62</v>
      </c>
      <c r="R4861" s="20"/>
      <c r="S4861" s="20"/>
      <c r="T4861" s="20"/>
    </row>
    <row r="4862" spans="13:20" x14ac:dyDescent="0.2">
      <c r="M4862" s="20">
        <v>9.8037998926552797E-3</v>
      </c>
      <c r="N4862" s="20">
        <v>1.0554683201721687E-3</v>
      </c>
      <c r="O4862" s="20">
        <v>0.10765910480923775</v>
      </c>
      <c r="P4862" s="20"/>
      <c r="Q4862" s="20">
        <v>7.0000000000000007E-2</v>
      </c>
      <c r="R4862" s="20">
        <v>0.59</v>
      </c>
      <c r="S4862" s="20">
        <v>0.23</v>
      </c>
      <c r="T4862" s="20">
        <v>0.10999999999999999</v>
      </c>
    </row>
    <row r="4863" spans="13:20" x14ac:dyDescent="0.2">
      <c r="M4863" s="20">
        <v>1.1773160982480031E-2</v>
      </c>
      <c r="N4863" s="20">
        <v>1.1863646828060906E-3</v>
      </c>
      <c r="O4863" s="20">
        <v>0.1007685773235882</v>
      </c>
      <c r="P4863" s="20"/>
      <c r="Q4863" s="20">
        <v>0.3</v>
      </c>
      <c r="R4863" s="20">
        <v>0.70000000000000007</v>
      </c>
      <c r="S4863" s="20"/>
      <c r="T4863" s="20"/>
    </row>
    <row r="4864" spans="13:20" x14ac:dyDescent="0.2">
      <c r="M4864" s="20">
        <v>1.0226624994773982E-2</v>
      </c>
      <c r="N4864" s="20">
        <v>8.1691245447353556E-4</v>
      </c>
      <c r="O4864" s="20">
        <v>7.9880943604658902E-2</v>
      </c>
      <c r="P4864" s="20"/>
      <c r="Q4864" s="20"/>
      <c r="R4864" s="20"/>
      <c r="S4864" s="20">
        <v>0.71</v>
      </c>
      <c r="T4864" s="20">
        <v>0.29000000000000004</v>
      </c>
    </row>
    <row r="4865" spans="13:20" x14ac:dyDescent="0.2">
      <c r="M4865" s="20">
        <v>1.5344006605141125E-2</v>
      </c>
      <c r="N4865" s="20">
        <v>1.6390829910384503E-3</v>
      </c>
      <c r="O4865" s="20">
        <v>0.10682235958431244</v>
      </c>
      <c r="P4865" s="20">
        <v>0.10000000000000009</v>
      </c>
      <c r="Q4865" s="20"/>
      <c r="R4865" s="20"/>
      <c r="S4865" s="20"/>
      <c r="T4865" s="20">
        <v>0.9</v>
      </c>
    </row>
    <row r="4866" spans="13:20" x14ac:dyDescent="0.2">
      <c r="M4866" s="20">
        <v>1.3651090665102414E-2</v>
      </c>
      <c r="N4866" s="20">
        <v>2.1963062835617764E-3</v>
      </c>
      <c r="O4866" s="20">
        <v>0.16088870387304685</v>
      </c>
      <c r="P4866" s="20">
        <v>0.7</v>
      </c>
      <c r="Q4866" s="20">
        <v>0.28000000000000003</v>
      </c>
      <c r="R4866" s="20">
        <v>2.0000000000000018E-2</v>
      </c>
      <c r="S4866" s="20"/>
      <c r="T4866" s="20"/>
    </row>
    <row r="4867" spans="13:20" x14ac:dyDescent="0.2">
      <c r="M4867" s="20">
        <v>9.717019206749786E-3</v>
      </c>
      <c r="N4867" s="20">
        <v>7.9214055123906274E-4</v>
      </c>
      <c r="O4867" s="20">
        <v>8.152094118418679E-2</v>
      </c>
      <c r="P4867" s="20"/>
      <c r="Q4867" s="20"/>
      <c r="R4867" s="20">
        <v>0.43</v>
      </c>
      <c r="S4867" s="20">
        <v>0.57000000000000006</v>
      </c>
      <c r="T4867" s="20"/>
    </row>
    <row r="4868" spans="13:20" x14ac:dyDescent="0.2">
      <c r="M4868" s="20">
        <v>1.0707956600985225E-2</v>
      </c>
      <c r="N4868" s="20">
        <v>9.1666899037614984E-4</v>
      </c>
      <c r="O4868" s="20">
        <v>8.5606341577048259E-2</v>
      </c>
      <c r="P4868" s="20"/>
      <c r="Q4868" s="20">
        <v>0.19</v>
      </c>
      <c r="R4868" s="20">
        <v>0.4</v>
      </c>
      <c r="S4868" s="20">
        <v>0.40999999999999981</v>
      </c>
      <c r="T4868" s="20"/>
    </row>
    <row r="4869" spans="13:20" x14ac:dyDescent="0.2">
      <c r="M4869" s="20">
        <v>1.3876909228259618E-2</v>
      </c>
      <c r="N4869" s="20">
        <v>1.99768241245586E-3</v>
      </c>
      <c r="O4869" s="20">
        <v>0.14395730198967374</v>
      </c>
      <c r="P4869" s="20">
        <v>0.55000000000000004</v>
      </c>
      <c r="Q4869" s="20">
        <v>0.42</v>
      </c>
      <c r="R4869" s="20">
        <v>3.0000000000000027E-2</v>
      </c>
      <c r="S4869" s="20"/>
      <c r="T4869" s="20"/>
    </row>
    <row r="4870" spans="13:20" x14ac:dyDescent="0.2">
      <c r="M4870" s="20">
        <v>9.4061268168608662E-3</v>
      </c>
      <c r="N4870" s="20">
        <v>1.2390653354642216E-3</v>
      </c>
      <c r="O4870" s="20">
        <v>0.13172960131083353</v>
      </c>
      <c r="P4870" s="20">
        <v>0.19000000000000006</v>
      </c>
      <c r="Q4870" s="20"/>
      <c r="R4870" s="20">
        <v>0.16</v>
      </c>
      <c r="S4870" s="20">
        <v>0.43</v>
      </c>
      <c r="T4870" s="20">
        <v>0.22</v>
      </c>
    </row>
    <row r="4871" spans="13:20" x14ac:dyDescent="0.2">
      <c r="M4871" s="20">
        <v>1.8928536094734424E-2</v>
      </c>
      <c r="N4871" s="20">
        <v>1.2768239031645736E-3</v>
      </c>
      <c r="O4871" s="20">
        <v>6.7454973632100512E-2</v>
      </c>
      <c r="P4871" s="20">
        <v>0</v>
      </c>
      <c r="Q4871" s="20">
        <v>0.99</v>
      </c>
      <c r="R4871" s="20">
        <v>9.9999999999998979E-3</v>
      </c>
      <c r="S4871" s="20"/>
      <c r="T4871" s="20"/>
    </row>
    <row r="4872" spans="13:20" x14ac:dyDescent="0.2">
      <c r="M4872" s="20">
        <v>1.0520100903489369E-2</v>
      </c>
      <c r="N4872" s="20">
        <v>7.2613690807425278E-4</v>
      </c>
      <c r="O4872" s="20">
        <v>6.9023758872255994E-2</v>
      </c>
      <c r="P4872" s="20"/>
      <c r="Q4872" s="20"/>
      <c r="R4872" s="20"/>
      <c r="S4872" s="20">
        <v>0.8</v>
      </c>
      <c r="T4872" s="20">
        <v>0.19999999999999996</v>
      </c>
    </row>
    <row r="4873" spans="13:20" x14ac:dyDescent="0.2">
      <c r="M4873" s="20">
        <v>1.1050488904892273E-2</v>
      </c>
      <c r="N4873" s="20">
        <v>1.0892390936713835E-3</v>
      </c>
      <c r="O4873" s="20">
        <v>9.8569312457221281E-2</v>
      </c>
      <c r="P4873" s="20"/>
      <c r="Q4873" s="20"/>
      <c r="R4873" s="20"/>
      <c r="S4873" s="20">
        <v>0.44</v>
      </c>
      <c r="T4873" s="20">
        <v>0.55999999999999994</v>
      </c>
    </row>
    <row r="4874" spans="13:20" x14ac:dyDescent="0.2">
      <c r="M4874" s="20">
        <v>1.457921900807845E-2</v>
      </c>
      <c r="N4874" s="20">
        <v>2.5803998345794547E-3</v>
      </c>
      <c r="O4874" s="20">
        <v>0.17699163673648338</v>
      </c>
      <c r="P4874" s="20">
        <v>0.99</v>
      </c>
      <c r="Q4874" s="20">
        <v>9.9999999999998979E-3</v>
      </c>
      <c r="R4874" s="20"/>
      <c r="S4874" s="20"/>
      <c r="T4874" s="20"/>
    </row>
    <row r="4875" spans="13:20" x14ac:dyDescent="0.2">
      <c r="M4875" s="20">
        <v>1.0909084634781437E-2</v>
      </c>
      <c r="N4875" s="20">
        <v>1.122129742383388E-3</v>
      </c>
      <c r="O4875" s="20">
        <v>0.10286195221235167</v>
      </c>
      <c r="P4875" s="20"/>
      <c r="Q4875" s="20"/>
      <c r="R4875" s="20">
        <v>0.96</v>
      </c>
      <c r="S4875" s="20">
        <v>4.0000000000000036E-2</v>
      </c>
      <c r="T4875" s="20"/>
    </row>
    <row r="4876" spans="13:20" x14ac:dyDescent="0.2">
      <c r="M4876" s="20">
        <v>1.4006256218093129E-2</v>
      </c>
      <c r="N4876" s="20">
        <v>1.2230727722269243E-3</v>
      </c>
      <c r="O4876" s="20">
        <v>8.7323318464428215E-2</v>
      </c>
      <c r="P4876" s="20"/>
      <c r="Q4876" s="20">
        <v>0.57999999999999996</v>
      </c>
      <c r="R4876" s="20">
        <v>0.42000000000000004</v>
      </c>
      <c r="S4876" s="20"/>
      <c r="T4876" s="20"/>
    </row>
    <row r="4877" spans="13:20" x14ac:dyDescent="0.2">
      <c r="M4877" s="20">
        <v>1.8794551774568877E-2</v>
      </c>
      <c r="N4877" s="20">
        <v>1.2755128999709727E-3</v>
      </c>
      <c r="O4877" s="20">
        <v>6.7866098392241725E-2</v>
      </c>
      <c r="P4877" s="20"/>
      <c r="Q4877" s="20">
        <v>0.98</v>
      </c>
      <c r="R4877" s="20">
        <v>2.0000000000000129E-2</v>
      </c>
      <c r="S4877" s="20"/>
      <c r="T4877" s="20"/>
    </row>
    <row r="4878" spans="13:20" x14ac:dyDescent="0.2">
      <c r="M4878" s="20">
        <v>9.5736305537674742E-3</v>
      </c>
      <c r="N4878" s="20">
        <v>8.5440266277572795E-4</v>
      </c>
      <c r="O4878" s="20">
        <v>8.924541823263675E-2</v>
      </c>
      <c r="P4878" s="20"/>
      <c r="Q4878" s="20">
        <v>0</v>
      </c>
      <c r="R4878" s="20">
        <v>0.53</v>
      </c>
      <c r="S4878" s="20">
        <v>0.47</v>
      </c>
      <c r="T4878" s="20"/>
    </row>
    <row r="4879" spans="13:20" x14ac:dyDescent="0.2">
      <c r="M4879" s="20">
        <v>1.2998122405389707E-2</v>
      </c>
      <c r="N4879" s="20">
        <v>2.2342042907774456E-3</v>
      </c>
      <c r="O4879" s="20">
        <v>0.17188669417753955</v>
      </c>
      <c r="P4879" s="20">
        <v>0.69</v>
      </c>
      <c r="Q4879" s="20">
        <v>0.12000000000000011</v>
      </c>
      <c r="R4879" s="20"/>
      <c r="S4879" s="20"/>
      <c r="T4879" s="20">
        <v>0.19</v>
      </c>
    </row>
    <row r="4880" spans="13:20" x14ac:dyDescent="0.2">
      <c r="M4880" s="20">
        <v>1.0081415372885393E-2</v>
      </c>
      <c r="N4880" s="20">
        <v>1.1102255653334034E-3</v>
      </c>
      <c r="O4880" s="20">
        <v>0.11012596190802985</v>
      </c>
      <c r="P4880" s="20">
        <v>0.20999999999999996</v>
      </c>
      <c r="Q4880" s="20"/>
      <c r="R4880" s="20"/>
      <c r="S4880" s="20">
        <v>0.64</v>
      </c>
      <c r="T4880" s="20">
        <v>0.15</v>
      </c>
    </row>
    <row r="4881" spans="13:20" x14ac:dyDescent="0.2">
      <c r="M4881" s="20">
        <v>1.3760407071507566E-2</v>
      </c>
      <c r="N4881" s="20">
        <v>2.4556859874229745E-3</v>
      </c>
      <c r="O4881" s="20">
        <v>0.178460271899059</v>
      </c>
      <c r="P4881" s="20">
        <v>0.86999999999999988</v>
      </c>
      <c r="Q4881" s="20"/>
      <c r="R4881" s="20"/>
      <c r="S4881" s="20"/>
      <c r="T4881" s="20">
        <v>0.13</v>
      </c>
    </row>
    <row r="4882" spans="13:20" x14ac:dyDescent="0.2">
      <c r="M4882" s="20">
        <v>1.1265890807758274E-2</v>
      </c>
      <c r="N4882" s="20">
        <v>1.553559979389492E-3</v>
      </c>
      <c r="O4882" s="20">
        <v>0.1378994351977591</v>
      </c>
      <c r="P4882" s="20">
        <v>0.16</v>
      </c>
      <c r="Q4882" s="20">
        <v>0.04</v>
      </c>
      <c r="R4882" s="20">
        <v>0.36</v>
      </c>
      <c r="S4882" s="20"/>
      <c r="T4882" s="20">
        <v>0.44</v>
      </c>
    </row>
    <row r="4883" spans="13:20" x14ac:dyDescent="0.2">
      <c r="M4883" s="20">
        <v>1.3045232510250847E-2</v>
      </c>
      <c r="N4883" s="20">
        <v>1.72210217640118E-3</v>
      </c>
      <c r="O4883" s="20">
        <v>0.1320100791647803</v>
      </c>
      <c r="P4883" s="20">
        <v>0.26</v>
      </c>
      <c r="Q4883" s="20">
        <v>0.34000000000000008</v>
      </c>
      <c r="R4883" s="20"/>
      <c r="S4883" s="20"/>
      <c r="T4883" s="20">
        <v>0.4</v>
      </c>
    </row>
    <row r="4884" spans="13:20" x14ac:dyDescent="0.2">
      <c r="M4884" s="20">
        <v>9.5688548890340459E-3</v>
      </c>
      <c r="N4884" s="20">
        <v>8.8553371854406039E-4</v>
      </c>
      <c r="O4884" s="20">
        <v>9.2543332385454632E-2</v>
      </c>
      <c r="P4884" s="20"/>
      <c r="Q4884" s="20"/>
      <c r="R4884" s="20">
        <v>0.57999999999999996</v>
      </c>
      <c r="S4884" s="20">
        <v>0.41999999999999993</v>
      </c>
      <c r="T4884" s="20"/>
    </row>
    <row r="4885" spans="13:20" x14ac:dyDescent="0.2">
      <c r="M4885" s="20">
        <v>1.0175353975714294E-2</v>
      </c>
      <c r="N4885" s="20">
        <v>1.0352915910463963E-3</v>
      </c>
      <c r="O4885" s="20">
        <v>0.10174501973271356</v>
      </c>
      <c r="P4885" s="20"/>
      <c r="Q4885" s="20">
        <v>0.05</v>
      </c>
      <c r="R4885" s="20">
        <v>0.76</v>
      </c>
      <c r="S4885" s="20">
        <v>0.18999999999999995</v>
      </c>
      <c r="T4885" s="20"/>
    </row>
    <row r="4886" spans="13:20" x14ac:dyDescent="0.2">
      <c r="M4886" s="20">
        <v>1.2009999053947099E-2</v>
      </c>
      <c r="N4886" s="20">
        <v>2.1661532101089486E-3</v>
      </c>
      <c r="O4886" s="20">
        <v>0.18036247966206459</v>
      </c>
      <c r="P4886" s="20">
        <v>0.7</v>
      </c>
      <c r="Q4886" s="20">
        <v>0.05</v>
      </c>
      <c r="R4886" s="20">
        <v>0.24999999999999989</v>
      </c>
      <c r="S4886" s="20"/>
      <c r="T4886" s="20"/>
    </row>
    <row r="4887" spans="13:20" x14ac:dyDescent="0.2">
      <c r="M4887" s="20">
        <v>1.5528474120001454E-2</v>
      </c>
      <c r="N4887" s="20">
        <v>1.241426816937341E-3</v>
      </c>
      <c r="O4887" s="20">
        <v>7.9945190193434462E-2</v>
      </c>
      <c r="P4887" s="20"/>
      <c r="Q4887" s="20">
        <v>0.72</v>
      </c>
      <c r="R4887" s="20">
        <v>0.28000000000000003</v>
      </c>
      <c r="S4887" s="20"/>
      <c r="T4887" s="20"/>
    </row>
    <row r="4888" spans="13:20" x14ac:dyDescent="0.2">
      <c r="M4888" s="20">
        <v>1.4830630810695749E-2</v>
      </c>
      <c r="N4888" s="20">
        <v>1.7027143933541276E-3</v>
      </c>
      <c r="O4888" s="20">
        <v>0.11481065202743378</v>
      </c>
      <c r="P4888" s="20">
        <v>0.16000000000000014</v>
      </c>
      <c r="Q4888" s="20"/>
      <c r="R4888" s="20"/>
      <c r="S4888" s="20"/>
      <c r="T4888" s="20">
        <v>0.84</v>
      </c>
    </row>
    <row r="4889" spans="13:20" x14ac:dyDescent="0.2">
      <c r="M4889" s="20">
        <v>9.6720610726149132E-3</v>
      </c>
      <c r="N4889" s="20">
        <v>7.9363426142234816E-4</v>
      </c>
      <c r="O4889" s="20">
        <v>8.2054306260473525E-2</v>
      </c>
      <c r="P4889" s="20"/>
      <c r="Q4889" s="20"/>
      <c r="R4889" s="20">
        <v>0.4</v>
      </c>
      <c r="S4889" s="20">
        <v>0.57999999999999996</v>
      </c>
      <c r="T4889" s="20">
        <v>2.0000000000000018E-2</v>
      </c>
    </row>
    <row r="4890" spans="13:20" x14ac:dyDescent="0.2">
      <c r="M4890" s="20">
        <v>1.2728879670685539E-2</v>
      </c>
      <c r="N4890" s="20">
        <v>2.1161142924613911E-3</v>
      </c>
      <c r="O4890" s="20">
        <v>0.16624513289529932</v>
      </c>
      <c r="P4890" s="20">
        <v>0.65</v>
      </c>
      <c r="Q4890" s="20">
        <v>0.22</v>
      </c>
      <c r="R4890" s="20">
        <v>0.13</v>
      </c>
      <c r="S4890" s="20"/>
      <c r="T4890" s="20"/>
    </row>
    <row r="4891" spans="13:20" x14ac:dyDescent="0.2">
      <c r="M4891" s="20">
        <v>1.4367156485985239E-2</v>
      </c>
      <c r="N4891" s="20">
        <v>2.5277830698028371E-3</v>
      </c>
      <c r="O4891" s="20">
        <v>0.17594177889470466</v>
      </c>
      <c r="P4891" s="20">
        <v>0.95</v>
      </c>
      <c r="Q4891" s="20">
        <v>5.0000000000000044E-2</v>
      </c>
      <c r="R4891" s="20"/>
      <c r="S4891" s="20"/>
      <c r="T4891" s="20"/>
    </row>
    <row r="4892" spans="13:20" x14ac:dyDescent="0.2">
      <c r="M4892" s="20">
        <v>1.0415862908379366E-2</v>
      </c>
      <c r="N4892" s="20">
        <v>9.7829120362781605E-4</v>
      </c>
      <c r="O4892" s="20">
        <v>9.3923202737317052E-2</v>
      </c>
      <c r="P4892" s="20"/>
      <c r="Q4892" s="20"/>
      <c r="R4892" s="20"/>
      <c r="S4892" s="20">
        <v>0.55000000000000004</v>
      </c>
      <c r="T4892" s="20">
        <v>0.45000000000000007</v>
      </c>
    </row>
    <row r="4893" spans="13:20" x14ac:dyDescent="0.2">
      <c r="M4893" s="20">
        <v>1.2514587919144535E-2</v>
      </c>
      <c r="N4893" s="20">
        <v>1.7672720686579028E-3</v>
      </c>
      <c r="O4893" s="20">
        <v>0.14121696056442815</v>
      </c>
      <c r="P4893" s="20">
        <v>0.28000000000000003</v>
      </c>
      <c r="Q4893" s="20">
        <v>0.14000000000000001</v>
      </c>
      <c r="R4893" s="20">
        <v>6.9999999999999951E-2</v>
      </c>
      <c r="S4893" s="20"/>
      <c r="T4893" s="20">
        <v>0.51</v>
      </c>
    </row>
    <row r="4894" spans="13:20" x14ac:dyDescent="0.2">
      <c r="M4894" s="20">
        <v>9.6097611956754737E-3</v>
      </c>
      <c r="N4894" s="20">
        <v>8.2949781816106191E-4</v>
      </c>
      <c r="O4894" s="20">
        <v>8.6318255081546405E-2</v>
      </c>
      <c r="P4894" s="20"/>
      <c r="Q4894" s="20"/>
      <c r="R4894" s="20">
        <v>0.49</v>
      </c>
      <c r="S4894" s="20">
        <v>0.51000000000000012</v>
      </c>
      <c r="T4894" s="20"/>
    </row>
    <row r="4895" spans="13:20" x14ac:dyDescent="0.2">
      <c r="M4895" s="20">
        <v>9.6232476208579377E-3</v>
      </c>
      <c r="N4895" s="20">
        <v>8.2327160700739529E-4</v>
      </c>
      <c r="O4895" s="20">
        <v>8.5550288160827617E-2</v>
      </c>
      <c r="P4895" s="20"/>
      <c r="Q4895" s="20"/>
      <c r="R4895" s="20">
        <v>0.48</v>
      </c>
      <c r="S4895" s="20">
        <v>0.52000000000000013</v>
      </c>
      <c r="T4895" s="20"/>
    </row>
    <row r="4896" spans="13:20" x14ac:dyDescent="0.2">
      <c r="M4896" s="20">
        <v>9.9533208727755271E-3</v>
      </c>
      <c r="N4896" s="20">
        <v>1.0038317304637244E-3</v>
      </c>
      <c r="O4896" s="20">
        <v>0.10085395048495022</v>
      </c>
      <c r="P4896" s="20"/>
      <c r="Q4896" s="20"/>
      <c r="R4896" s="20">
        <v>0.77</v>
      </c>
      <c r="S4896" s="20">
        <v>0.22999999999999998</v>
      </c>
      <c r="T4896" s="20"/>
    </row>
    <row r="4897" spans="13:20" x14ac:dyDescent="0.2">
      <c r="M4897" s="20">
        <v>1.1484025901896058E-2</v>
      </c>
      <c r="N4897" s="20">
        <v>1.1784986636444832E-3</v>
      </c>
      <c r="O4897" s="20">
        <v>0.10262069014054631</v>
      </c>
      <c r="P4897" s="20"/>
      <c r="Q4897" s="20">
        <v>0.24</v>
      </c>
      <c r="R4897" s="20">
        <v>0.76</v>
      </c>
      <c r="S4897" s="20"/>
      <c r="T4897" s="20"/>
    </row>
    <row r="4898" spans="13:20" x14ac:dyDescent="0.2">
      <c r="M4898" s="20">
        <v>1.4319271568267724E-2</v>
      </c>
      <c r="N4898" s="20">
        <v>2.5146288786086829E-3</v>
      </c>
      <c r="O4898" s="20">
        <v>0.17561150835222902</v>
      </c>
      <c r="P4898" s="20">
        <v>0.94</v>
      </c>
      <c r="Q4898" s="20">
        <v>6.0000000000000053E-2</v>
      </c>
      <c r="R4898" s="20"/>
      <c r="S4898" s="20"/>
      <c r="T4898" s="20"/>
    </row>
    <row r="4899" spans="13:20" x14ac:dyDescent="0.2">
      <c r="M4899" s="20">
        <v>1.0647053421891031E-2</v>
      </c>
      <c r="N4899" s="20">
        <v>1.8760177766984491E-3</v>
      </c>
      <c r="O4899" s="20">
        <v>0.17620065405525581</v>
      </c>
      <c r="P4899" s="20">
        <v>0.5</v>
      </c>
      <c r="Q4899" s="20">
        <v>0</v>
      </c>
      <c r="R4899" s="20">
        <v>0.25</v>
      </c>
      <c r="S4899" s="20">
        <v>0.09</v>
      </c>
      <c r="T4899" s="20">
        <v>0.16</v>
      </c>
    </row>
    <row r="4900" spans="13:20" x14ac:dyDescent="0.2">
      <c r="M4900" s="20">
        <v>1.0267488646913093E-2</v>
      </c>
      <c r="N4900" s="20">
        <v>7.967401108292505E-4</v>
      </c>
      <c r="O4900" s="20">
        <v>7.7598343492572497E-2</v>
      </c>
      <c r="P4900" s="20"/>
      <c r="Q4900" s="20"/>
      <c r="R4900" s="20"/>
      <c r="S4900" s="20">
        <v>0.73</v>
      </c>
      <c r="T4900" s="20">
        <v>0.27</v>
      </c>
    </row>
    <row r="4901" spans="13:20" x14ac:dyDescent="0.2">
      <c r="M4901" s="20">
        <v>1.3920174483762864E-2</v>
      </c>
      <c r="N4901" s="20">
        <v>2.1200031427840529E-3</v>
      </c>
      <c r="O4901" s="20">
        <v>0.15229716734204179</v>
      </c>
      <c r="P4901" s="20">
        <v>0.64</v>
      </c>
      <c r="Q4901" s="20">
        <v>0.36</v>
      </c>
      <c r="R4901" s="20"/>
      <c r="S4901" s="20"/>
      <c r="T4901" s="20"/>
    </row>
    <row r="4902" spans="13:20" x14ac:dyDescent="0.2">
      <c r="M4902" s="20">
        <v>1.0236602764243317E-2</v>
      </c>
      <c r="N4902" s="20">
        <v>8.1227109779560391E-4</v>
      </c>
      <c r="O4902" s="20">
        <v>7.9349674545630022E-2</v>
      </c>
      <c r="P4902" s="20">
        <v>0.03</v>
      </c>
      <c r="Q4902" s="20">
        <v>0.06</v>
      </c>
      <c r="R4902" s="20">
        <v>0.28999999999999998</v>
      </c>
      <c r="S4902" s="20">
        <v>0.62</v>
      </c>
      <c r="T4902" s="20">
        <v>0</v>
      </c>
    </row>
    <row r="4903" spans="13:20" x14ac:dyDescent="0.2">
      <c r="M4903" s="20">
        <v>1.1393171504955469E-2</v>
      </c>
      <c r="N4903" s="20">
        <v>1.2534466419704634E-3</v>
      </c>
      <c r="O4903" s="20">
        <v>0.11001735920724758</v>
      </c>
      <c r="P4903" s="20">
        <v>0.05</v>
      </c>
      <c r="Q4903" s="20">
        <v>0.26</v>
      </c>
      <c r="R4903" s="20">
        <v>0.69</v>
      </c>
      <c r="S4903" s="20"/>
      <c r="T4903" s="20"/>
    </row>
    <row r="4904" spans="13:20" x14ac:dyDescent="0.2">
      <c r="M4904" s="20">
        <v>1.2500262736278502E-2</v>
      </c>
      <c r="N4904" s="20">
        <v>2.0727187092981249E-3</v>
      </c>
      <c r="O4904" s="20">
        <v>0.16581401151534528</v>
      </c>
      <c r="P4904" s="20">
        <v>0.62</v>
      </c>
      <c r="Q4904" s="20">
        <v>0.22</v>
      </c>
      <c r="R4904" s="20">
        <v>0.16000000000000003</v>
      </c>
      <c r="S4904" s="20"/>
      <c r="T4904" s="20"/>
    </row>
    <row r="4905" spans="13:20" x14ac:dyDescent="0.2">
      <c r="M4905" s="20">
        <v>1.8661079521685268E-2</v>
      </c>
      <c r="N4905" s="20">
        <v>1.2742018967773713E-3</v>
      </c>
      <c r="O4905" s="20">
        <v>6.8281253252078691E-2</v>
      </c>
      <c r="P4905" s="20"/>
      <c r="Q4905" s="20">
        <v>0.97</v>
      </c>
      <c r="R4905" s="20">
        <v>3.0000000000000027E-2</v>
      </c>
      <c r="S4905" s="20"/>
      <c r="T4905" s="20"/>
    </row>
    <row r="4906" spans="13:20" x14ac:dyDescent="0.2">
      <c r="M4906" s="20">
        <v>1.2989156683119321E-2</v>
      </c>
      <c r="N4906" s="20">
        <v>2.2223708455988249E-3</v>
      </c>
      <c r="O4906" s="20">
        <v>0.1710943134966578</v>
      </c>
      <c r="P4906" s="20">
        <v>0.65</v>
      </c>
      <c r="Q4906" s="20"/>
      <c r="R4906" s="20"/>
      <c r="S4906" s="20"/>
      <c r="T4906" s="20">
        <v>0.35</v>
      </c>
    </row>
    <row r="4907" spans="13:20" x14ac:dyDescent="0.2">
      <c r="M4907" s="20">
        <v>1.5167446413524818E-2</v>
      </c>
      <c r="N4907" s="20">
        <v>1.6602934584770089E-3</v>
      </c>
      <c r="O4907" s="20">
        <v>0.10946427059709435</v>
      </c>
      <c r="P4907" s="20">
        <v>0.11999999999999988</v>
      </c>
      <c r="Q4907" s="20"/>
      <c r="R4907" s="20"/>
      <c r="S4907" s="20"/>
      <c r="T4907" s="20">
        <v>0.88</v>
      </c>
    </row>
    <row r="4908" spans="13:20" x14ac:dyDescent="0.2">
      <c r="M4908" s="20">
        <v>1.0187204148936788E-2</v>
      </c>
      <c r="N4908" s="20">
        <v>8.6734331358424811E-4</v>
      </c>
      <c r="O4908" s="20">
        <v>8.5140466501279502E-2</v>
      </c>
      <c r="P4908" s="20"/>
      <c r="Q4908" s="20"/>
      <c r="R4908" s="20"/>
      <c r="S4908" s="20">
        <v>0.66</v>
      </c>
      <c r="T4908" s="20">
        <v>0.33999999999999997</v>
      </c>
    </row>
    <row r="4909" spans="13:20" x14ac:dyDescent="0.2">
      <c r="M4909" s="20">
        <v>1.2938845706495103E-2</v>
      </c>
      <c r="N4909" s="20">
        <v>1.3015677638335138E-3</v>
      </c>
      <c r="O4909" s="20">
        <v>0.10059380823902604</v>
      </c>
      <c r="P4909" s="20">
        <v>1.0000000000000009E-2</v>
      </c>
      <c r="Q4909" s="20"/>
      <c r="R4909" s="20"/>
      <c r="S4909" s="20">
        <v>0.24</v>
      </c>
      <c r="T4909" s="20">
        <v>0.75</v>
      </c>
    </row>
    <row r="4910" spans="13:20" x14ac:dyDescent="0.2">
      <c r="M4910" s="20">
        <v>1.499625912981839E-2</v>
      </c>
      <c r="N4910" s="20">
        <v>1.6815039259155686E-3</v>
      </c>
      <c r="O4910" s="20">
        <v>0.11212822553673306</v>
      </c>
      <c r="P4910" s="20">
        <v>0.14000000000000012</v>
      </c>
      <c r="Q4910" s="20"/>
      <c r="R4910" s="20"/>
      <c r="S4910" s="20"/>
      <c r="T4910" s="20">
        <v>0.86</v>
      </c>
    </row>
    <row r="4911" spans="13:20" x14ac:dyDescent="0.2">
      <c r="M4911" s="20">
        <v>1.2737583146090536E-2</v>
      </c>
      <c r="N4911" s="20">
        <v>1.9308390856723353E-3</v>
      </c>
      <c r="O4911" s="20">
        <v>0.15158598483927896</v>
      </c>
      <c r="P4911" s="20">
        <v>0.44</v>
      </c>
      <c r="Q4911" s="20">
        <v>0.27000000000000013</v>
      </c>
      <c r="R4911" s="20"/>
      <c r="S4911" s="20"/>
      <c r="T4911" s="20">
        <v>0.28999999999999998</v>
      </c>
    </row>
    <row r="4912" spans="13:20" x14ac:dyDescent="0.2">
      <c r="M4912" s="20">
        <v>1.0166014611662727E-2</v>
      </c>
      <c r="N4912" s="20">
        <v>1.5042778740332167E-3</v>
      </c>
      <c r="O4912" s="20">
        <v>0.14797124846815274</v>
      </c>
      <c r="P4912" s="20">
        <v>0.23</v>
      </c>
      <c r="Q4912" s="20">
        <v>0.04</v>
      </c>
      <c r="R4912" s="20">
        <v>0.68</v>
      </c>
      <c r="S4912" s="20"/>
      <c r="T4912" s="20">
        <v>0.05</v>
      </c>
    </row>
    <row r="4913" spans="13:20" x14ac:dyDescent="0.2">
      <c r="M4913" s="20">
        <v>1.2342821936693608E-2</v>
      </c>
      <c r="N4913" s="20">
        <v>6.2239725814588294E-4</v>
      </c>
      <c r="O4913" s="20">
        <v>5.0425847617194958E-2</v>
      </c>
      <c r="P4913" s="20"/>
      <c r="Q4913" s="20">
        <v>0.13</v>
      </c>
      <c r="R4913" s="20">
        <v>0</v>
      </c>
      <c r="S4913" s="20">
        <v>0.87000000000000011</v>
      </c>
      <c r="T4913" s="20"/>
    </row>
    <row r="4914" spans="13:20" x14ac:dyDescent="0.2">
      <c r="M4914" s="20">
        <v>1.0322470639899549E-2</v>
      </c>
      <c r="N4914" s="20">
        <v>7.7656776718496544E-4</v>
      </c>
      <c r="O4914" s="20">
        <v>7.523080416264788E-2</v>
      </c>
      <c r="P4914" s="20"/>
      <c r="Q4914" s="20"/>
      <c r="R4914" s="20"/>
      <c r="S4914" s="20">
        <v>0.75</v>
      </c>
      <c r="T4914" s="20">
        <v>0.25</v>
      </c>
    </row>
    <row r="4915" spans="13:20" x14ac:dyDescent="0.2">
      <c r="M4915" s="20">
        <v>9.9589988512449636E-3</v>
      </c>
      <c r="N4915" s="20">
        <v>1.2620372045626788E-3</v>
      </c>
      <c r="O4915" s="20">
        <v>0.12672330054590908</v>
      </c>
      <c r="P4915" s="20">
        <v>0.22000000000000008</v>
      </c>
      <c r="Q4915" s="20"/>
      <c r="R4915" s="20"/>
      <c r="S4915" s="20">
        <v>0.5</v>
      </c>
      <c r="T4915" s="20">
        <v>0.28000000000000003</v>
      </c>
    </row>
    <row r="4916" spans="13:20" x14ac:dyDescent="0.2">
      <c r="M4916" s="20">
        <v>7.775377123624156E-3</v>
      </c>
      <c r="N4916" s="20">
        <v>1.1341359913104765E-3</v>
      </c>
      <c r="O4916" s="20">
        <v>0.14586250586670554</v>
      </c>
      <c r="P4916" s="20">
        <v>0.3</v>
      </c>
      <c r="Q4916" s="20">
        <v>7.0000000000000007E-2</v>
      </c>
      <c r="R4916" s="20">
        <v>0.02</v>
      </c>
      <c r="S4916" s="20">
        <v>0.26</v>
      </c>
      <c r="T4916" s="20">
        <v>7.0000000000000007E-2</v>
      </c>
    </row>
    <row r="4917" spans="13:20" x14ac:dyDescent="0.2">
      <c r="M4917" s="20">
        <v>1.7871638832514841E-2</v>
      </c>
      <c r="N4917" s="20">
        <v>1.2663358776157641E-3</v>
      </c>
      <c r="O4917" s="20">
        <v>7.0857288997573667E-2</v>
      </c>
      <c r="P4917" s="20"/>
      <c r="Q4917" s="20">
        <v>0.91</v>
      </c>
      <c r="R4917" s="20">
        <v>8.9999999999999858E-2</v>
      </c>
      <c r="S4917" s="20"/>
      <c r="T4917" s="20"/>
    </row>
    <row r="4918" spans="13:20" x14ac:dyDescent="0.2">
      <c r="M4918" s="20">
        <v>1.4632932006181711E-2</v>
      </c>
      <c r="N4918" s="20">
        <v>1.2309387913885315E-3</v>
      </c>
      <c r="O4918" s="20">
        <v>8.4121131080805878E-2</v>
      </c>
      <c r="P4918" s="20"/>
      <c r="Q4918" s="20">
        <v>0.64</v>
      </c>
      <c r="R4918" s="20">
        <v>0.3600000000000001</v>
      </c>
      <c r="S4918" s="20"/>
      <c r="T4918" s="20"/>
    </row>
    <row r="4919" spans="13:20" x14ac:dyDescent="0.2">
      <c r="M4919" s="20">
        <v>1.0226624994773982E-2</v>
      </c>
      <c r="N4919" s="20">
        <v>8.1691245447353578E-4</v>
      </c>
      <c r="O4919" s="20">
        <v>7.9880943604658916E-2</v>
      </c>
      <c r="P4919" s="20"/>
      <c r="Q4919" s="20"/>
      <c r="R4919" s="20"/>
      <c r="S4919" s="20">
        <v>0.71</v>
      </c>
      <c r="T4919" s="20">
        <v>0.29000000000000015</v>
      </c>
    </row>
    <row r="4920" spans="13:20" x14ac:dyDescent="0.2">
      <c r="M4920" s="20">
        <v>1.0629507518278614E-2</v>
      </c>
      <c r="N4920" s="20">
        <v>1.0461084214095455E-3</v>
      </c>
      <c r="O4920" s="20">
        <v>9.841551168863151E-2</v>
      </c>
      <c r="P4920" s="20"/>
      <c r="Q4920" s="20">
        <v>0.18</v>
      </c>
      <c r="R4920" s="20">
        <v>0.62</v>
      </c>
      <c r="S4920" s="20">
        <v>0.19999999999999984</v>
      </c>
      <c r="T4920" s="20"/>
    </row>
    <row r="4921" spans="13:20" x14ac:dyDescent="0.2">
      <c r="M4921" s="20">
        <v>1.6852964635850839E-2</v>
      </c>
      <c r="N4921" s="20">
        <v>1.2558478520669544E-3</v>
      </c>
      <c r="O4921" s="20">
        <v>7.4517918906411545E-2</v>
      </c>
      <c r="P4921" s="20"/>
      <c r="Q4921" s="20">
        <v>0.83</v>
      </c>
      <c r="R4921" s="20">
        <v>0.17000000000000004</v>
      </c>
      <c r="S4921" s="20"/>
      <c r="T4921" s="20"/>
    </row>
    <row r="4922" spans="13:20" x14ac:dyDescent="0.2">
      <c r="M4922" s="20">
        <v>1.0230010689704224E-2</v>
      </c>
      <c r="N4922" s="20">
        <v>1.1655519772948886E-3</v>
      </c>
      <c r="O4922" s="20">
        <v>0.11393458058337452</v>
      </c>
      <c r="P4922" s="20">
        <v>0.1100000000000001</v>
      </c>
      <c r="Q4922" s="20"/>
      <c r="R4922" s="20"/>
      <c r="S4922" s="20">
        <v>0.48</v>
      </c>
      <c r="T4922" s="20">
        <v>0.41</v>
      </c>
    </row>
    <row r="4923" spans="13:20" x14ac:dyDescent="0.2">
      <c r="M4923" s="20">
        <v>1.4188266558946014E-2</v>
      </c>
      <c r="N4923" s="20">
        <v>2.47516630502622E-3</v>
      </c>
      <c r="O4923" s="20">
        <v>0.1744516354230442</v>
      </c>
      <c r="P4923" s="20">
        <v>0.91</v>
      </c>
      <c r="Q4923" s="20">
        <v>8.9999999999999969E-2</v>
      </c>
      <c r="R4923" s="20"/>
      <c r="S4923" s="20"/>
      <c r="T4923" s="20"/>
    </row>
    <row r="4924" spans="13:20" x14ac:dyDescent="0.2">
      <c r="M4924" s="20">
        <v>9.4549152915738427E-3</v>
      </c>
      <c r="N4924" s="20">
        <v>8.8466117824215554E-4</v>
      </c>
      <c r="O4924" s="20">
        <v>9.3566272246834378E-2</v>
      </c>
      <c r="P4924" s="20"/>
      <c r="Q4924" s="20"/>
      <c r="R4924" s="20">
        <v>0.53</v>
      </c>
      <c r="S4924" s="20">
        <v>0.44</v>
      </c>
      <c r="T4924" s="20">
        <v>3.0000000000000027E-2</v>
      </c>
    </row>
    <row r="4925" spans="13:20" x14ac:dyDescent="0.2">
      <c r="M4925" s="20">
        <v>1.349118063436725E-2</v>
      </c>
      <c r="N4925" s="20">
        <v>1.1502583571920966E-3</v>
      </c>
      <c r="O4925" s="20">
        <v>8.5260021962936597E-2</v>
      </c>
      <c r="P4925" s="20"/>
      <c r="Q4925" s="20">
        <v>0.51</v>
      </c>
      <c r="R4925" s="20">
        <v>0.08</v>
      </c>
      <c r="S4925" s="20">
        <v>0.22</v>
      </c>
      <c r="T4925" s="20">
        <v>0.18999999999999995</v>
      </c>
    </row>
    <row r="4926" spans="13:20" x14ac:dyDescent="0.2">
      <c r="M4926" s="20">
        <v>1.2030262807684834E-2</v>
      </c>
      <c r="N4926" s="20">
        <v>1.6558059191822741E-3</v>
      </c>
      <c r="O4926" s="20">
        <v>0.13763672046503911</v>
      </c>
      <c r="P4926" s="20">
        <v>0.32</v>
      </c>
      <c r="Q4926" s="20">
        <v>0.35</v>
      </c>
      <c r="R4926" s="20">
        <v>0.33000000000000007</v>
      </c>
      <c r="S4926" s="20"/>
      <c r="T4926" s="20"/>
    </row>
    <row r="4927" spans="13:20" x14ac:dyDescent="0.2">
      <c r="M4927" s="20">
        <v>1.3063840172900756E-2</v>
      </c>
      <c r="N4927" s="20">
        <v>1.2099627402909121E-3</v>
      </c>
      <c r="O4927" s="20">
        <v>9.2619224077834558E-2</v>
      </c>
      <c r="P4927" s="20"/>
      <c r="Q4927" s="20">
        <v>0.48</v>
      </c>
      <c r="R4927" s="20">
        <v>0.52</v>
      </c>
      <c r="S4927" s="20"/>
      <c r="T4927" s="20"/>
    </row>
    <row r="4928" spans="13:20" x14ac:dyDescent="0.2">
      <c r="M4928" s="20">
        <v>1.4910893426652935E-2</v>
      </c>
      <c r="N4928" s="20">
        <v>1.8306109365126572E-3</v>
      </c>
      <c r="O4928" s="20">
        <v>0.1227700369208243</v>
      </c>
      <c r="P4928" s="20">
        <v>0.42</v>
      </c>
      <c r="Q4928" s="20">
        <v>0.58000000000000007</v>
      </c>
      <c r="R4928" s="20"/>
      <c r="S4928" s="20"/>
      <c r="T4928" s="20"/>
    </row>
    <row r="4929" spans="13:20" x14ac:dyDescent="0.2">
      <c r="M4929" s="20">
        <v>9.5973862690342839E-3</v>
      </c>
      <c r="N4929" s="20">
        <v>9.1043856315872653E-4</v>
      </c>
      <c r="O4929" s="20">
        <v>9.4863178123426456E-2</v>
      </c>
      <c r="P4929" s="20"/>
      <c r="Q4929" s="20"/>
      <c r="R4929" s="20">
        <v>0.62</v>
      </c>
      <c r="S4929" s="20">
        <v>0.38000000000000012</v>
      </c>
      <c r="T4929" s="20"/>
    </row>
    <row r="4930" spans="13:20" x14ac:dyDescent="0.2">
      <c r="M4930" s="20">
        <v>9.5875674124176469E-3</v>
      </c>
      <c r="N4930" s="20">
        <v>9.0421235200505992E-4</v>
      </c>
      <c r="O4930" s="20">
        <v>9.4310925087623385E-2</v>
      </c>
      <c r="P4930" s="20"/>
      <c r="Q4930" s="20"/>
      <c r="R4930" s="20">
        <v>0.61</v>
      </c>
      <c r="S4930" s="20">
        <v>0.3899999999999999</v>
      </c>
      <c r="T4930" s="20"/>
    </row>
    <row r="4931" spans="13:20" x14ac:dyDescent="0.2">
      <c r="M4931" s="20">
        <v>1.0609211937929571E-2</v>
      </c>
      <c r="N4931" s="20">
        <v>1.0909986866150555E-3</v>
      </c>
      <c r="O4931" s="20">
        <v>0.10283503553308862</v>
      </c>
      <c r="P4931" s="20"/>
      <c r="Q4931" s="20"/>
      <c r="R4931" s="20">
        <v>0.91</v>
      </c>
      <c r="S4931" s="20">
        <v>8.9999999999999858E-2</v>
      </c>
      <c r="T4931" s="20"/>
    </row>
    <row r="4932" spans="13:20" x14ac:dyDescent="0.2">
      <c r="M4932" s="20">
        <v>1.467724295351251E-2</v>
      </c>
      <c r="N4932" s="20">
        <v>1.6236968810984366E-3</v>
      </c>
      <c r="O4932" s="20">
        <v>0.11062683136343797</v>
      </c>
      <c r="P4932" s="20">
        <v>0.32</v>
      </c>
      <c r="Q4932" s="20">
        <v>0.57999999999999996</v>
      </c>
      <c r="R4932" s="20">
        <v>0</v>
      </c>
      <c r="S4932" s="20">
        <v>0.10000000000000009</v>
      </c>
      <c r="T4932" s="20"/>
    </row>
    <row r="4933" spans="13:20" x14ac:dyDescent="0.2">
      <c r="M4933" s="20">
        <v>1.4107761123317455E-2</v>
      </c>
      <c r="N4933" s="20">
        <v>1.2243837754205254E-3</v>
      </c>
      <c r="O4933" s="20">
        <v>8.6787957686414979E-2</v>
      </c>
      <c r="P4933" s="20"/>
      <c r="Q4933" s="20">
        <v>0.59</v>
      </c>
      <c r="R4933" s="20">
        <v>0.41000000000000003</v>
      </c>
      <c r="S4933" s="20"/>
      <c r="T4933" s="20"/>
    </row>
    <row r="4934" spans="13:20" x14ac:dyDescent="0.2">
      <c r="M4934" s="20">
        <v>1.1719600580907156E-2</v>
      </c>
      <c r="N4934" s="20">
        <v>1.1850536796124893E-3</v>
      </c>
      <c r="O4934" s="20">
        <v>0.10111724127724155</v>
      </c>
      <c r="P4934" s="20"/>
      <c r="Q4934" s="20">
        <v>0.28999999999999998</v>
      </c>
      <c r="R4934" s="20">
        <v>0.71000000000000008</v>
      </c>
      <c r="S4934" s="20"/>
      <c r="T4934" s="20"/>
    </row>
    <row r="4935" spans="13:20" x14ac:dyDescent="0.2">
      <c r="M4935" s="20">
        <v>9.6223646147814996E-3</v>
      </c>
      <c r="N4935" s="20">
        <v>9.2289098546605955E-4</v>
      </c>
      <c r="O4935" s="20">
        <v>9.5911038753234382E-2</v>
      </c>
      <c r="P4935" s="20"/>
      <c r="Q4935" s="20"/>
      <c r="R4935" s="20">
        <v>0.64</v>
      </c>
      <c r="S4935" s="20">
        <v>0.35999999999999988</v>
      </c>
      <c r="T4935" s="20"/>
    </row>
    <row r="4936" spans="13:20" x14ac:dyDescent="0.2">
      <c r="M4936" s="20">
        <v>1.0678381654700331E-2</v>
      </c>
      <c r="N4936" s="20">
        <v>6.9587839260782519E-4</v>
      </c>
      <c r="O4936" s="20">
        <v>6.5167027655498588E-2</v>
      </c>
      <c r="P4936" s="20"/>
      <c r="Q4936" s="20"/>
      <c r="R4936" s="20"/>
      <c r="S4936" s="20">
        <v>0.83</v>
      </c>
      <c r="T4936" s="20">
        <v>0.16999999999999993</v>
      </c>
    </row>
    <row r="4937" spans="13:20" x14ac:dyDescent="0.2">
      <c r="M4937" s="20">
        <v>1.2503283771941239E-2</v>
      </c>
      <c r="N4937" s="20">
        <v>2.0734204781849459E-3</v>
      </c>
      <c r="O4937" s="20">
        <v>0.16583007440316858</v>
      </c>
      <c r="P4937" s="20">
        <v>0.63</v>
      </c>
      <c r="Q4937" s="20">
        <v>0.21</v>
      </c>
      <c r="R4937" s="20">
        <v>0.14000000000000001</v>
      </c>
      <c r="S4937" s="20">
        <v>2.0000000000000129E-2</v>
      </c>
      <c r="T4937" s="20"/>
    </row>
    <row r="4938" spans="13:20" x14ac:dyDescent="0.2">
      <c r="M4938" s="20">
        <v>1.0561549031695776E-2</v>
      </c>
      <c r="N4938" s="20">
        <v>1.2309306529670438E-3</v>
      </c>
      <c r="O4938" s="20">
        <v>0.11654830643430758</v>
      </c>
      <c r="P4938" s="20">
        <v>0.21</v>
      </c>
      <c r="Q4938" s="20">
        <v>0.12</v>
      </c>
      <c r="R4938" s="20"/>
      <c r="S4938" s="20">
        <v>0.49</v>
      </c>
      <c r="T4938" s="20">
        <v>0.18</v>
      </c>
    </row>
    <row r="4939" spans="13:20" x14ac:dyDescent="0.2">
      <c r="M4939" s="20">
        <v>1.0652727665362276E-2</v>
      </c>
      <c r="N4939" s="20">
        <v>1.2654673490141372E-3</v>
      </c>
      <c r="O4939" s="20">
        <v>0.11879280018852349</v>
      </c>
      <c r="P4939" s="20">
        <v>1.0000000000000009E-2</v>
      </c>
      <c r="Q4939" s="20"/>
      <c r="R4939" s="20">
        <v>0.59</v>
      </c>
      <c r="S4939" s="20">
        <v>0.05</v>
      </c>
      <c r="T4939" s="20">
        <v>0.35</v>
      </c>
    </row>
    <row r="4940" spans="13:20" x14ac:dyDescent="0.2">
      <c r="M4940" s="20">
        <v>9.9838121248006454E-3</v>
      </c>
      <c r="N4940" s="20">
        <v>1.5449329766156663E-3</v>
      </c>
      <c r="O4940" s="20">
        <v>0.15474379498567689</v>
      </c>
      <c r="P4940" s="20">
        <v>0.39000000000000012</v>
      </c>
      <c r="Q4940" s="20"/>
      <c r="R4940" s="20">
        <v>0.1</v>
      </c>
      <c r="S4940" s="20">
        <v>0.36</v>
      </c>
      <c r="T4940" s="20">
        <v>0.15</v>
      </c>
    </row>
    <row r="4941" spans="13:20" x14ac:dyDescent="0.2">
      <c r="M4941" s="20">
        <v>1.5712515718385011E-2</v>
      </c>
      <c r="N4941" s="20">
        <v>1.5966620561613323E-3</v>
      </c>
      <c r="O4941" s="20">
        <v>0.1016172129771109</v>
      </c>
      <c r="P4941" s="20">
        <v>6.0000000000000164E-2</v>
      </c>
      <c r="Q4941" s="20"/>
      <c r="R4941" s="20"/>
      <c r="S4941" s="20"/>
      <c r="T4941" s="20">
        <v>0.94</v>
      </c>
    </row>
    <row r="4942" spans="13:20" x14ac:dyDescent="0.2">
      <c r="M4942" s="20">
        <v>1.3118446300647669E-2</v>
      </c>
      <c r="N4942" s="20">
        <v>1.7487687615112047E-3</v>
      </c>
      <c r="O4942" s="20">
        <v>0.13330608834560434</v>
      </c>
      <c r="P4942" s="20">
        <v>0.27</v>
      </c>
      <c r="Q4942" s="20"/>
      <c r="R4942" s="20"/>
      <c r="S4942" s="20">
        <v>7.0000000000000007E-2</v>
      </c>
      <c r="T4942" s="20">
        <v>0.66</v>
      </c>
    </row>
    <row r="4943" spans="13:20" x14ac:dyDescent="0.2">
      <c r="M4943" s="20">
        <v>1.1470398135439664E-2</v>
      </c>
      <c r="N4943" s="20">
        <v>1.1603613583235186E-3</v>
      </c>
      <c r="O4943" s="20">
        <v>0.10116138468972521</v>
      </c>
      <c r="P4943" s="20">
        <v>1.000000000000012E-2</v>
      </c>
      <c r="Q4943" s="20"/>
      <c r="R4943" s="20"/>
      <c r="S4943" s="20">
        <v>0.38</v>
      </c>
      <c r="T4943" s="20">
        <v>0.61</v>
      </c>
    </row>
    <row r="4944" spans="13:20" x14ac:dyDescent="0.2">
      <c r="M4944" s="20">
        <v>1.4637253852239254E-2</v>
      </c>
      <c r="N4944" s="20">
        <v>2.593554025773609E-3</v>
      </c>
      <c r="O4944" s="20">
        <v>0.17718856637693953</v>
      </c>
      <c r="P4944" s="20">
        <v>1</v>
      </c>
      <c r="Q4944" s="20">
        <v>0</v>
      </c>
      <c r="R4944" s="20"/>
      <c r="S4944" s="20"/>
      <c r="T4944" s="20"/>
    </row>
    <row r="4945" spans="13:20" x14ac:dyDescent="0.2">
      <c r="M4945" s="20">
        <v>1.0934468986873586E-2</v>
      </c>
      <c r="N4945" s="20">
        <v>1.297191272879878E-3</v>
      </c>
      <c r="O4945" s="20">
        <v>0.11863322072952119</v>
      </c>
      <c r="P4945" s="20">
        <v>0.11999999999999988</v>
      </c>
      <c r="Q4945" s="20"/>
      <c r="R4945" s="20"/>
      <c r="S4945" s="20">
        <v>0.36</v>
      </c>
      <c r="T4945" s="20">
        <v>0.52</v>
      </c>
    </row>
    <row r="4946" spans="13:20" x14ac:dyDescent="0.2">
      <c r="M4946" s="20">
        <v>1.499625912981839E-2</v>
      </c>
      <c r="N4946" s="20">
        <v>1.6815039259155686E-3</v>
      </c>
      <c r="O4946" s="20">
        <v>0.11212822553673306</v>
      </c>
      <c r="P4946" s="20">
        <v>0.14000000000000012</v>
      </c>
      <c r="Q4946" s="20"/>
      <c r="R4946" s="20"/>
      <c r="S4946" s="20"/>
      <c r="T4946" s="20">
        <v>0.86</v>
      </c>
    </row>
    <row r="4947" spans="13:20" x14ac:dyDescent="0.2">
      <c r="M4947" s="20">
        <v>1.422980672648998E-2</v>
      </c>
      <c r="N4947" s="20">
        <v>2.4883204962203747E-3</v>
      </c>
      <c r="O4947" s="20">
        <v>0.17486678097940414</v>
      </c>
      <c r="P4947" s="20">
        <v>0.92</v>
      </c>
      <c r="Q4947" s="20">
        <v>8.0000000000000071E-2</v>
      </c>
      <c r="R4947" s="20"/>
      <c r="S4947" s="20"/>
      <c r="T4947" s="20"/>
    </row>
    <row r="4948" spans="13:20" x14ac:dyDescent="0.2">
      <c r="M4948" s="20">
        <v>1.3575987010238868E-2</v>
      </c>
      <c r="N4948" s="20">
        <v>1.5689403932012968E-3</v>
      </c>
      <c r="O4948" s="20">
        <v>0.11556731691169254</v>
      </c>
      <c r="P4948" s="20">
        <v>0.13</v>
      </c>
      <c r="Q4948" s="20">
        <v>0.4</v>
      </c>
      <c r="R4948" s="20"/>
      <c r="S4948" s="20"/>
      <c r="T4948" s="20">
        <v>0.47</v>
      </c>
    </row>
    <row r="4949" spans="13:20" x14ac:dyDescent="0.2">
      <c r="M4949" s="20">
        <v>1.3967112561819482E-2</v>
      </c>
      <c r="N4949" s="20">
        <v>2.0936947603957439E-3</v>
      </c>
      <c r="O4949" s="20">
        <v>0.14990176037666303</v>
      </c>
      <c r="P4949" s="20">
        <v>0.62</v>
      </c>
      <c r="Q4949" s="20">
        <v>0.38</v>
      </c>
      <c r="R4949" s="20"/>
      <c r="S4949" s="20"/>
      <c r="T4949" s="20"/>
    </row>
    <row r="4950" spans="13:20" x14ac:dyDescent="0.2">
      <c r="M4950" s="20">
        <v>1.4201752820903989E-2</v>
      </c>
      <c r="N4950" s="20">
        <v>2.0016154220366634E-3</v>
      </c>
      <c r="O4950" s="20">
        <v>0.14094143499599748</v>
      </c>
      <c r="P4950" s="20">
        <v>0.55000000000000004</v>
      </c>
      <c r="Q4950" s="20">
        <v>0.44999999999999996</v>
      </c>
      <c r="R4950" s="20"/>
      <c r="S4950" s="20"/>
      <c r="T4950" s="20"/>
    </row>
    <row r="4951" spans="13:20" x14ac:dyDescent="0.2">
      <c r="M4951" s="20">
        <v>1.5419015476876895E-2</v>
      </c>
      <c r="N4951" s="20">
        <v>1.4725136229127994E-3</v>
      </c>
      <c r="O4951" s="20">
        <v>9.5499847258150319E-2</v>
      </c>
      <c r="P4951" s="20">
        <v>0</v>
      </c>
      <c r="Q4951" s="20"/>
      <c r="R4951" s="20"/>
      <c r="S4951" s="20">
        <v>0.06</v>
      </c>
      <c r="T4951" s="20">
        <v>0.94</v>
      </c>
    </row>
    <row r="4952" spans="13:20" x14ac:dyDescent="0.2">
      <c r="M4952" s="20">
        <v>1.4310291478180321E-2</v>
      </c>
      <c r="N4952" s="20">
        <v>2.526472066609236E-3</v>
      </c>
      <c r="O4952" s="20">
        <v>0.17654930861900928</v>
      </c>
      <c r="P4952" s="20">
        <v>0.95</v>
      </c>
      <c r="Q4952" s="20">
        <v>0.04</v>
      </c>
      <c r="R4952" s="20">
        <v>1.000000000000012E-2</v>
      </c>
      <c r="S4952" s="20"/>
      <c r="T4952" s="20"/>
    </row>
    <row r="4953" spans="13:20" x14ac:dyDescent="0.2">
      <c r="M4953" s="20">
        <v>1.0659660754928718E-2</v>
      </c>
      <c r="N4953" s="20">
        <v>1.6885467966989472E-3</v>
      </c>
      <c r="O4953" s="20">
        <v>0.15840530346317186</v>
      </c>
      <c r="P4953" s="20">
        <v>0.46999999999999986</v>
      </c>
      <c r="Q4953" s="20"/>
      <c r="R4953" s="20"/>
      <c r="S4953" s="20">
        <v>0.34</v>
      </c>
      <c r="T4953" s="20">
        <v>0.19</v>
      </c>
    </row>
    <row r="4954" spans="13:20" x14ac:dyDescent="0.2">
      <c r="M4954" s="20">
        <v>9.5799798832001421E-3</v>
      </c>
      <c r="N4954" s="20">
        <v>8.4817645162206144E-4</v>
      </c>
      <c r="O4954" s="20">
        <v>8.853634996765071E-2</v>
      </c>
      <c r="P4954" s="20"/>
      <c r="Q4954" s="20"/>
      <c r="R4954" s="20">
        <v>0.52</v>
      </c>
      <c r="S4954" s="20">
        <v>0.48000000000000009</v>
      </c>
      <c r="T4954" s="20"/>
    </row>
    <row r="4955" spans="13:20" x14ac:dyDescent="0.2">
      <c r="M4955" s="20">
        <v>1.906302168500059E-2</v>
      </c>
      <c r="N4955" s="20">
        <v>1.2781349063581749E-3</v>
      </c>
      <c r="O4955" s="20">
        <v>6.7047865101252727E-2</v>
      </c>
      <c r="P4955" s="20"/>
      <c r="Q4955" s="20">
        <v>1</v>
      </c>
      <c r="R4955" s="20">
        <v>0</v>
      </c>
      <c r="S4955" s="20"/>
      <c r="T4955" s="20"/>
    </row>
    <row r="4956" spans="13:20" x14ac:dyDescent="0.2">
      <c r="M4956" s="20">
        <v>1.1936268805503848E-2</v>
      </c>
      <c r="N4956" s="20">
        <v>9.9774229274141447E-4</v>
      </c>
      <c r="O4956" s="20">
        <v>8.3589127305959521E-2</v>
      </c>
      <c r="P4956" s="20">
        <v>0.05</v>
      </c>
      <c r="Q4956" s="20">
        <v>0.28999999999999992</v>
      </c>
      <c r="R4956" s="20"/>
      <c r="S4956" s="20">
        <v>0.51</v>
      </c>
      <c r="T4956" s="20">
        <v>0.15</v>
      </c>
    </row>
    <row r="4957" spans="13:20" x14ac:dyDescent="0.2">
      <c r="M4957" s="20">
        <v>1.4741319428931792E-2</v>
      </c>
      <c r="N4957" s="20">
        <v>1.2322497945821327E-3</v>
      </c>
      <c r="O4957" s="20">
        <v>8.3591553695232954E-2</v>
      </c>
      <c r="P4957" s="20"/>
      <c r="Q4957" s="20">
        <v>0.65</v>
      </c>
      <c r="R4957" s="20">
        <v>0.35</v>
      </c>
      <c r="S4957" s="20"/>
      <c r="T4957" s="20"/>
    </row>
    <row r="4958" spans="13:20" x14ac:dyDescent="0.2">
      <c r="M4958" s="20">
        <v>1.4297439516260625E-2</v>
      </c>
      <c r="N4958" s="20">
        <v>1.7769510293890842E-3</v>
      </c>
      <c r="O4958" s="20">
        <v>0.12428456349601195</v>
      </c>
      <c r="P4958" s="20">
        <v>0.22999999999999998</v>
      </c>
      <c r="Q4958" s="20"/>
      <c r="R4958" s="20"/>
      <c r="S4958" s="20"/>
      <c r="T4958" s="20">
        <v>0.77</v>
      </c>
    </row>
    <row r="4959" spans="13:20" x14ac:dyDescent="0.2">
      <c r="M4959" s="20">
        <v>9.3171229146309254E-3</v>
      </c>
      <c r="N4959" s="20">
        <v>8.8117101703453517E-4</v>
      </c>
      <c r="O4959" s="20">
        <v>9.4575441915745143E-2</v>
      </c>
      <c r="P4959" s="20"/>
      <c r="Q4959" s="20"/>
      <c r="R4959" s="20">
        <v>0.33</v>
      </c>
      <c r="S4959" s="20">
        <v>0.52</v>
      </c>
      <c r="T4959" s="20">
        <v>0.14999999999999991</v>
      </c>
    </row>
    <row r="4960" spans="13:20" x14ac:dyDescent="0.2">
      <c r="M4960" s="20">
        <v>1.1712001551684418E-2</v>
      </c>
      <c r="N4960" s="20">
        <v>2.005680909391894E-3</v>
      </c>
      <c r="O4960" s="20">
        <v>0.1712500549578084</v>
      </c>
      <c r="P4960" s="20">
        <v>0.57999999999999996</v>
      </c>
      <c r="Q4960" s="20">
        <v>0.15</v>
      </c>
      <c r="R4960" s="20">
        <v>0.27</v>
      </c>
      <c r="S4960" s="20"/>
      <c r="T4960" s="20"/>
    </row>
    <row r="4961" spans="13:20" x14ac:dyDescent="0.2">
      <c r="M4961" s="20">
        <v>1.4367156485985241E-2</v>
      </c>
      <c r="N4961" s="20">
        <v>2.5277830698028371E-3</v>
      </c>
      <c r="O4961" s="20">
        <v>0.17594177889470466</v>
      </c>
      <c r="P4961" s="20">
        <v>0.95</v>
      </c>
      <c r="Q4961" s="20">
        <v>5.0000000000000155E-2</v>
      </c>
      <c r="R4961" s="20"/>
      <c r="S4961" s="20"/>
      <c r="T4961" s="20"/>
    </row>
    <row r="4962" spans="13:20" x14ac:dyDescent="0.2">
      <c r="M4962" s="20">
        <v>9.6097611956754703E-3</v>
      </c>
      <c r="N4962" s="20">
        <v>8.2949781816106169E-4</v>
      </c>
      <c r="O4962" s="20">
        <v>8.6318255081546419E-2</v>
      </c>
      <c r="P4962" s="20"/>
      <c r="Q4962" s="20"/>
      <c r="R4962" s="20">
        <v>0.49</v>
      </c>
      <c r="S4962" s="20">
        <v>0.5099999999999999</v>
      </c>
      <c r="T4962" s="20"/>
    </row>
    <row r="4963" spans="13:20" x14ac:dyDescent="0.2">
      <c r="M4963" s="20">
        <v>1.1561905776903322E-2</v>
      </c>
      <c r="N4963" s="20">
        <v>1.649455119158906E-3</v>
      </c>
      <c r="O4963" s="20">
        <v>0.14266290964366318</v>
      </c>
      <c r="P4963" s="20">
        <v>0.22</v>
      </c>
      <c r="Q4963" s="20">
        <v>0.08</v>
      </c>
      <c r="R4963" s="20">
        <v>0.25</v>
      </c>
      <c r="S4963" s="20"/>
      <c r="T4963" s="20">
        <v>0.45</v>
      </c>
    </row>
    <row r="4964" spans="13:20" x14ac:dyDescent="0.2">
      <c r="M4964" s="20">
        <v>9.7170192067497843E-3</v>
      </c>
      <c r="N4964" s="20">
        <v>7.9214055123906263E-4</v>
      </c>
      <c r="O4964" s="20">
        <v>8.152094118418679E-2</v>
      </c>
      <c r="P4964" s="20"/>
      <c r="Q4964" s="20"/>
      <c r="R4964" s="20">
        <v>0.43</v>
      </c>
      <c r="S4964" s="20">
        <v>0.56999999999999995</v>
      </c>
      <c r="T4964" s="20"/>
    </row>
    <row r="4965" spans="13:20" x14ac:dyDescent="0.2">
      <c r="M4965" s="20">
        <v>9.6232476208579342E-3</v>
      </c>
      <c r="N4965" s="20">
        <v>8.2327160700739518E-4</v>
      </c>
      <c r="O4965" s="20">
        <v>8.5550288160827617E-2</v>
      </c>
      <c r="P4965" s="20"/>
      <c r="Q4965" s="20"/>
      <c r="R4965" s="20">
        <v>0.48</v>
      </c>
      <c r="S4965" s="20">
        <v>0.51999999999999991</v>
      </c>
      <c r="T4965" s="20"/>
    </row>
    <row r="4966" spans="13:20" x14ac:dyDescent="0.2">
      <c r="M4966" s="20">
        <v>9.9533208727755271E-3</v>
      </c>
      <c r="N4966" s="20">
        <v>1.0038317304637244E-3</v>
      </c>
      <c r="O4966" s="20">
        <v>0.10085395048495022</v>
      </c>
      <c r="P4966" s="20"/>
      <c r="Q4966" s="20"/>
      <c r="R4966" s="20">
        <v>0.77</v>
      </c>
      <c r="S4966" s="20">
        <v>0.22999999999999998</v>
      </c>
      <c r="T4966" s="20"/>
    </row>
    <row r="4967" spans="13:20" x14ac:dyDescent="0.2">
      <c r="M4967" s="20">
        <v>1.5591951989782103E-2</v>
      </c>
      <c r="N4967" s="20">
        <v>1.5004893127233401E-3</v>
      </c>
      <c r="O4967" s="20">
        <v>9.6234859734474418E-2</v>
      </c>
      <c r="P4967" s="20">
        <v>0.18</v>
      </c>
      <c r="Q4967" s="20">
        <v>0.71</v>
      </c>
      <c r="R4967" s="20">
        <v>0.11000000000000021</v>
      </c>
      <c r="S4967" s="20"/>
      <c r="T4967" s="20"/>
    </row>
    <row r="4968" spans="13:20" x14ac:dyDescent="0.2">
      <c r="M4968" s="20">
        <v>1.1716409573774044E-2</v>
      </c>
      <c r="N4968" s="20">
        <v>2.0132324214841607E-3</v>
      </c>
      <c r="O4968" s="20">
        <v>0.17183015059413512</v>
      </c>
      <c r="P4968" s="20">
        <v>0.63</v>
      </c>
      <c r="Q4968" s="20">
        <v>0.09</v>
      </c>
      <c r="R4968" s="20">
        <v>0.1399999999999999</v>
      </c>
      <c r="S4968" s="20">
        <v>0.11</v>
      </c>
      <c r="T4968" s="20">
        <v>0.03</v>
      </c>
    </row>
    <row r="4969" spans="13:20" x14ac:dyDescent="0.2">
      <c r="M4969" s="20">
        <v>1.0785346482839398E-2</v>
      </c>
      <c r="N4969" s="20">
        <v>1.109677320076055E-3</v>
      </c>
      <c r="O4969" s="20">
        <v>0.1028874985000868</v>
      </c>
      <c r="P4969" s="20"/>
      <c r="Q4969" s="20"/>
      <c r="R4969" s="20">
        <v>0.94</v>
      </c>
      <c r="S4969" s="20">
        <v>5.9999999999999942E-2</v>
      </c>
      <c r="T4969" s="20"/>
    </row>
    <row r="4970" spans="13:20" x14ac:dyDescent="0.2">
      <c r="M4970" s="20">
        <v>1.3386453101100431E-2</v>
      </c>
      <c r="N4970" s="20">
        <v>1.9466347688975568E-3</v>
      </c>
      <c r="O4970" s="20">
        <v>0.14541826383700804</v>
      </c>
      <c r="P4970" s="20">
        <v>0.39</v>
      </c>
      <c r="Q4970" s="20"/>
      <c r="R4970" s="20"/>
      <c r="S4970" s="20"/>
      <c r="T4970" s="20">
        <v>0.61</v>
      </c>
    </row>
    <row r="4971" spans="13:20" x14ac:dyDescent="0.2">
      <c r="M4971" s="20">
        <v>1.5275486507150462E-2</v>
      </c>
      <c r="N4971" s="20">
        <v>1.4624274510906567E-3</v>
      </c>
      <c r="O4971" s="20">
        <v>9.5736882121960146E-2</v>
      </c>
      <c r="P4971" s="20"/>
      <c r="Q4971" s="20"/>
      <c r="R4971" s="20"/>
      <c r="S4971" s="20">
        <v>7.0000000000000007E-2</v>
      </c>
      <c r="T4971" s="20">
        <v>0.92999999999999994</v>
      </c>
    </row>
    <row r="4972" spans="13:20" x14ac:dyDescent="0.2">
      <c r="M4972" s="20">
        <v>1.0825737332084057E-2</v>
      </c>
      <c r="N4972" s="20">
        <v>1.1912770650138395E-3</v>
      </c>
      <c r="O4972" s="20">
        <v>0.11004119428274613</v>
      </c>
      <c r="P4972" s="20">
        <v>7.0000000000000007E-2</v>
      </c>
      <c r="Q4972" s="20">
        <v>0.23</v>
      </c>
      <c r="R4972" s="20">
        <v>0.56000000000000005</v>
      </c>
      <c r="S4972" s="20">
        <v>0.13999999999999979</v>
      </c>
      <c r="T4972" s="20"/>
    </row>
    <row r="4973" spans="13:20" x14ac:dyDescent="0.2">
      <c r="M4973" s="20">
        <v>1.4579219008078452E-2</v>
      </c>
      <c r="N4973" s="20">
        <v>2.5803998345794547E-3</v>
      </c>
      <c r="O4973" s="20">
        <v>0.17699163673648338</v>
      </c>
      <c r="P4973" s="20">
        <v>0.99</v>
      </c>
      <c r="Q4973" s="20">
        <v>1.0000000000000009E-2</v>
      </c>
      <c r="R4973" s="20"/>
      <c r="S4973" s="20"/>
      <c r="T4973" s="20"/>
    </row>
    <row r="4974" spans="13:20" x14ac:dyDescent="0.2">
      <c r="M4974" s="20">
        <v>9.9682891772094051E-3</v>
      </c>
      <c r="N4974" s="20">
        <v>1.2030010215089855E-3</v>
      </c>
      <c r="O4974" s="20">
        <v>0.12068279723058378</v>
      </c>
      <c r="P4974" s="20">
        <v>3.0000000000000138E-2</v>
      </c>
      <c r="Q4974" s="20"/>
      <c r="R4974" s="20">
        <v>0.65</v>
      </c>
      <c r="S4974" s="20">
        <v>0.11</v>
      </c>
      <c r="T4974" s="20">
        <v>0.21</v>
      </c>
    </row>
    <row r="4975" spans="13:20" x14ac:dyDescent="0.2">
      <c r="M4975" s="20">
        <v>1.8661079521685268E-2</v>
      </c>
      <c r="N4975" s="20">
        <v>1.2742018967773713E-3</v>
      </c>
      <c r="O4975" s="20">
        <v>6.8281253252078691E-2</v>
      </c>
      <c r="P4975" s="20"/>
      <c r="Q4975" s="20">
        <v>0.97</v>
      </c>
      <c r="R4975" s="20">
        <v>3.0000000000000027E-2</v>
      </c>
      <c r="S4975" s="20"/>
      <c r="T4975" s="20"/>
    </row>
    <row r="4976" spans="13:20" x14ac:dyDescent="0.2">
      <c r="M4976" s="20">
        <v>1.3128194712138252E-2</v>
      </c>
      <c r="N4976" s="20">
        <v>2.2966074816337819E-3</v>
      </c>
      <c r="O4976" s="20">
        <v>0.17493703681210276</v>
      </c>
      <c r="P4976" s="20">
        <v>0.72</v>
      </c>
      <c r="Q4976" s="20"/>
      <c r="R4976" s="20"/>
      <c r="S4976" s="20"/>
      <c r="T4976" s="20">
        <v>0.28000000000000003</v>
      </c>
    </row>
    <row r="4977" spans="13:20" x14ac:dyDescent="0.2">
      <c r="M4977" s="20">
        <v>1.0622417067170098E-2</v>
      </c>
      <c r="N4977" s="20">
        <v>7.0596456442996783E-4</v>
      </c>
      <c r="O4977" s="20">
        <v>6.6459880078691247E-2</v>
      </c>
      <c r="P4977" s="20"/>
      <c r="Q4977" s="20"/>
      <c r="R4977" s="20"/>
      <c r="S4977" s="20">
        <v>0.82</v>
      </c>
      <c r="T4977" s="20">
        <v>0.18000000000000005</v>
      </c>
    </row>
    <row r="4978" spans="13:20" x14ac:dyDescent="0.2">
      <c r="M4978" s="20">
        <v>1.0283284436038655E-2</v>
      </c>
      <c r="N4978" s="20">
        <v>9.3794651633924582E-4</v>
      </c>
      <c r="O4978" s="20">
        <v>9.1210791860636617E-2</v>
      </c>
      <c r="P4978" s="20"/>
      <c r="Q4978" s="20"/>
      <c r="R4978" s="20"/>
      <c r="S4978" s="20">
        <v>0.59</v>
      </c>
      <c r="T4978" s="20">
        <v>0.41000000000000003</v>
      </c>
    </row>
    <row r="4979" spans="13:20" x14ac:dyDescent="0.2">
      <c r="M4979" s="20">
        <v>1.2851780203183156E-2</v>
      </c>
      <c r="N4979" s="20">
        <v>1.3121729975527931E-3</v>
      </c>
      <c r="O4979" s="20">
        <v>0.10210048544308216</v>
      </c>
      <c r="P4979" s="20">
        <v>2.0000000000000018E-2</v>
      </c>
      <c r="Q4979" s="20"/>
      <c r="R4979" s="20"/>
      <c r="S4979" s="20">
        <v>0.24</v>
      </c>
      <c r="T4979" s="20">
        <v>0.74</v>
      </c>
    </row>
    <row r="4980" spans="13:20" x14ac:dyDescent="0.2">
      <c r="M4980" s="20">
        <v>1.499625912981839E-2</v>
      </c>
      <c r="N4980" s="20">
        <v>1.6815039259155686E-3</v>
      </c>
      <c r="O4980" s="20">
        <v>0.11212822553673306</v>
      </c>
      <c r="P4980" s="20">
        <v>0.14000000000000012</v>
      </c>
      <c r="Q4980" s="20"/>
      <c r="R4980" s="20"/>
      <c r="S4980" s="20"/>
      <c r="T4980" s="20">
        <v>0.86</v>
      </c>
    </row>
    <row r="4981" spans="13:20" x14ac:dyDescent="0.2">
      <c r="M4981" s="20">
        <v>1.1076921176361535E-2</v>
      </c>
      <c r="N4981" s="20">
        <v>1.6488818610175073E-3</v>
      </c>
      <c r="O4981" s="20">
        <v>0.14885741577147524</v>
      </c>
      <c r="P4981" s="20">
        <v>0.34</v>
      </c>
      <c r="Q4981" s="20">
        <v>5.0000000000000044E-2</v>
      </c>
      <c r="R4981" s="20"/>
      <c r="S4981" s="20">
        <v>0.23</v>
      </c>
      <c r="T4981" s="20">
        <v>0.38</v>
      </c>
    </row>
    <row r="4982" spans="13:20" x14ac:dyDescent="0.2">
      <c r="M4982" s="20">
        <v>1.383981491350712E-2</v>
      </c>
      <c r="N4982" s="20">
        <v>2.2910076283080591E-3</v>
      </c>
      <c r="O4982" s="20">
        <v>0.16553744704144308</v>
      </c>
      <c r="P4982" s="20">
        <v>0.77</v>
      </c>
      <c r="Q4982" s="20">
        <v>0.22999999999999998</v>
      </c>
      <c r="R4982" s="20"/>
      <c r="S4982" s="20"/>
      <c r="T4982" s="20"/>
    </row>
    <row r="4983" spans="13:20" x14ac:dyDescent="0.2">
      <c r="M4983" s="20">
        <v>1.3876992723142755E-2</v>
      </c>
      <c r="N4983" s="20">
        <v>2.3304702018905219E-3</v>
      </c>
      <c r="O4983" s="20">
        <v>0.16793769719313761</v>
      </c>
      <c r="P4983" s="20">
        <v>0.8</v>
      </c>
      <c r="Q4983" s="20">
        <v>0.19999999999999996</v>
      </c>
      <c r="R4983" s="20"/>
      <c r="S4983" s="20"/>
      <c r="T4983" s="20"/>
    </row>
    <row r="4984" spans="13:20" x14ac:dyDescent="0.2">
      <c r="M4984" s="20">
        <v>1.6301105982438266E-2</v>
      </c>
      <c r="N4984" s="20">
        <v>1.5330306538456546E-3</v>
      </c>
      <c r="O4984" s="20">
        <v>9.4044579275617268E-2</v>
      </c>
      <c r="P4984" s="20">
        <v>0</v>
      </c>
      <c r="Q4984" s="20"/>
      <c r="R4984" s="20"/>
      <c r="S4984" s="20"/>
      <c r="T4984" s="20">
        <v>1</v>
      </c>
    </row>
    <row r="4985" spans="13:20" x14ac:dyDescent="0.2">
      <c r="M4985" s="20">
        <v>1.5879871097141299E-2</v>
      </c>
      <c r="N4985" s="20">
        <v>1.2453598265181449E-3</v>
      </c>
      <c r="O4985" s="20">
        <v>7.8423799469149041E-2</v>
      </c>
      <c r="P4985" s="20"/>
      <c r="Q4985" s="20">
        <v>0.75</v>
      </c>
      <c r="R4985" s="20">
        <v>0.25</v>
      </c>
      <c r="S4985" s="20"/>
      <c r="T4985" s="20"/>
    </row>
    <row r="4986" spans="13:20" x14ac:dyDescent="0.2">
      <c r="M4986" s="20">
        <v>1.5072756399316824E-2</v>
      </c>
      <c r="N4986" s="20">
        <v>1.2361828041629363E-3</v>
      </c>
      <c r="O4986" s="20">
        <v>8.2014382201451005E-2</v>
      </c>
      <c r="P4986" s="20"/>
      <c r="Q4986" s="20">
        <v>0.68</v>
      </c>
      <c r="R4986" s="20">
        <v>0.31999999999999995</v>
      </c>
      <c r="S4986" s="20"/>
      <c r="T4986" s="20"/>
    </row>
    <row r="4987" spans="13:20" x14ac:dyDescent="0.2">
      <c r="M4987" s="20">
        <v>9.4363675938818111E-3</v>
      </c>
      <c r="N4987" s="20">
        <v>1.3759012403845236E-3</v>
      </c>
      <c r="O4987" s="20">
        <v>0.14580835546048532</v>
      </c>
      <c r="P4987" s="20">
        <v>0.24</v>
      </c>
      <c r="Q4987" s="20">
        <v>0</v>
      </c>
      <c r="R4987" s="20">
        <v>0.57000000000000006</v>
      </c>
      <c r="S4987" s="20">
        <v>0.19</v>
      </c>
      <c r="T4987" s="20">
        <v>0</v>
      </c>
    </row>
    <row r="4988" spans="13:20" x14ac:dyDescent="0.2">
      <c r="M4988" s="20">
        <v>1.3984850690816109E-2</v>
      </c>
      <c r="N4988" s="20">
        <v>2.3962411578612938E-3</v>
      </c>
      <c r="O4988" s="20">
        <v>0.17134549455253834</v>
      </c>
      <c r="P4988" s="20">
        <v>0.85</v>
      </c>
      <c r="Q4988" s="20">
        <v>0.14999999999999991</v>
      </c>
      <c r="R4988" s="20"/>
      <c r="S4988" s="20"/>
      <c r="T4988" s="20"/>
    </row>
    <row r="4989" spans="13:20" x14ac:dyDescent="0.2">
      <c r="M4989" s="20">
        <v>1.4632932006181711E-2</v>
      </c>
      <c r="N4989" s="20">
        <v>1.2309387913885315E-3</v>
      </c>
      <c r="O4989" s="20">
        <v>8.4121131080805878E-2</v>
      </c>
      <c r="P4989" s="20"/>
      <c r="Q4989" s="20">
        <v>0.64</v>
      </c>
      <c r="R4989" s="20">
        <v>0.3600000000000001</v>
      </c>
      <c r="S4989" s="20"/>
      <c r="T4989" s="20"/>
    </row>
    <row r="4990" spans="13:20" x14ac:dyDescent="0.2">
      <c r="M4990" s="20">
        <v>9.6375102621556533E-3</v>
      </c>
      <c r="N4990" s="20">
        <v>9.2911719661972606E-4</v>
      </c>
      <c r="O4990" s="20">
        <v>9.6406350950220154E-2</v>
      </c>
      <c r="P4990" s="20"/>
      <c r="Q4990" s="20"/>
      <c r="R4990" s="20">
        <v>0.65</v>
      </c>
      <c r="S4990" s="20">
        <v>0.34999999999999987</v>
      </c>
      <c r="T4990" s="20"/>
    </row>
    <row r="4991" spans="13:20" x14ac:dyDescent="0.2">
      <c r="M4991" s="20">
        <v>1.3654520987914342E-2</v>
      </c>
      <c r="N4991" s="20">
        <v>1.3927220952991873E-3</v>
      </c>
      <c r="O4991" s="20">
        <v>0.10199714047324618</v>
      </c>
      <c r="P4991" s="20">
        <v>0.12</v>
      </c>
      <c r="Q4991" s="20">
        <v>0.55000000000000004</v>
      </c>
      <c r="R4991" s="20">
        <v>0.32999999999999996</v>
      </c>
      <c r="S4991" s="20"/>
      <c r="T4991" s="20"/>
    </row>
    <row r="4992" spans="13:20" x14ac:dyDescent="0.2">
      <c r="M4992" s="20">
        <v>1.5998727079513646E-2</v>
      </c>
      <c r="N4992" s="20">
        <v>1.246670829711746E-3</v>
      </c>
      <c r="O4992" s="20">
        <v>7.7923126228467698E-2</v>
      </c>
      <c r="P4992" s="20"/>
      <c r="Q4992" s="20">
        <v>0.76</v>
      </c>
      <c r="R4992" s="20">
        <v>0.2400000000000001</v>
      </c>
      <c r="S4992" s="20"/>
      <c r="T4992" s="20"/>
    </row>
    <row r="4993" spans="13:20" x14ac:dyDescent="0.2">
      <c r="M4993" s="20">
        <v>1.0320008971376771E-2</v>
      </c>
      <c r="N4993" s="20">
        <v>1.2897004105434213E-3</v>
      </c>
      <c r="O4993" s="20">
        <v>0.12497086137429636</v>
      </c>
      <c r="P4993" s="20">
        <v>0.17000000000000015</v>
      </c>
      <c r="Q4993" s="20"/>
      <c r="R4993" s="20"/>
      <c r="S4993" s="20">
        <v>0.42</v>
      </c>
      <c r="T4993" s="20">
        <v>0.41</v>
      </c>
    </row>
    <row r="4994" spans="13:20" x14ac:dyDescent="0.2">
      <c r="M4994" s="20">
        <v>1.4148879873072288E-2</v>
      </c>
      <c r="N4994" s="20">
        <v>2.4620121138320657E-3</v>
      </c>
      <c r="O4994" s="20">
        <v>0.17400756356110503</v>
      </c>
      <c r="P4994" s="20">
        <v>0.9</v>
      </c>
      <c r="Q4994" s="20">
        <v>9.9999999999999978E-2</v>
      </c>
      <c r="R4994" s="20"/>
      <c r="S4994" s="20"/>
      <c r="T4994" s="20"/>
    </row>
    <row r="4995" spans="13:20" x14ac:dyDescent="0.2">
      <c r="M4995" s="20">
        <v>1.2857125702901429E-2</v>
      </c>
      <c r="N4995" s="20">
        <v>1.1077213554450455E-3</v>
      </c>
      <c r="O4995" s="20">
        <v>8.6156220374750597E-2</v>
      </c>
      <c r="P4995" s="20"/>
      <c r="Q4995" s="20">
        <v>0.46</v>
      </c>
      <c r="R4995" s="20">
        <v>0.38</v>
      </c>
      <c r="S4995" s="20">
        <v>0.16000000000000003</v>
      </c>
      <c r="T4995" s="20"/>
    </row>
    <row r="4996" spans="13:20" x14ac:dyDescent="0.2">
      <c r="M4996" s="20">
        <v>1.349118063436725E-2</v>
      </c>
      <c r="N4996" s="20">
        <v>1.1502583571920966E-3</v>
      </c>
      <c r="O4996" s="20">
        <v>8.5260021962936597E-2</v>
      </c>
      <c r="P4996" s="20"/>
      <c r="Q4996" s="20">
        <v>0.51</v>
      </c>
      <c r="R4996" s="20">
        <v>0.08</v>
      </c>
      <c r="S4996" s="20">
        <v>0.22</v>
      </c>
      <c r="T4996" s="20">
        <v>0.18999999999999995</v>
      </c>
    </row>
    <row r="4997" spans="13:20" x14ac:dyDescent="0.2">
      <c r="M4997" s="20">
        <v>1.2030262807684834E-2</v>
      </c>
      <c r="N4997" s="20">
        <v>1.6558059191822741E-3</v>
      </c>
      <c r="O4997" s="20">
        <v>0.13763672046503911</v>
      </c>
      <c r="P4997" s="20">
        <v>0.32</v>
      </c>
      <c r="Q4997" s="20">
        <v>0.35</v>
      </c>
      <c r="R4997" s="20">
        <v>0.33000000000000007</v>
      </c>
      <c r="S4997" s="20"/>
      <c r="T4997" s="20"/>
    </row>
    <row r="4998" spans="13:20" x14ac:dyDescent="0.2">
      <c r="M4998" s="20">
        <v>1.2977494831131907E-2</v>
      </c>
      <c r="N4998" s="20">
        <v>1.208651737097311E-3</v>
      </c>
      <c r="O4998" s="20">
        <v>9.31344418028862E-2</v>
      </c>
      <c r="P4998" s="20"/>
      <c r="Q4998" s="20">
        <v>0.47</v>
      </c>
      <c r="R4998" s="20">
        <v>0.53</v>
      </c>
      <c r="S4998" s="20"/>
      <c r="T4998" s="20"/>
    </row>
    <row r="4999" spans="13:20" x14ac:dyDescent="0.2">
      <c r="M4999" s="20">
        <v>1.2947504530533947E-2</v>
      </c>
      <c r="N4999" s="20">
        <v>2.2092166544046706E-3</v>
      </c>
      <c r="O4999" s="20">
        <v>0.17062876087007356</v>
      </c>
      <c r="P4999" s="20">
        <v>0.64</v>
      </c>
      <c r="Q4999" s="20">
        <v>1.0000000000000009E-2</v>
      </c>
      <c r="R4999" s="20"/>
      <c r="S4999" s="20"/>
      <c r="T4999" s="20">
        <v>0.35</v>
      </c>
    </row>
    <row r="5000" spans="13:20" x14ac:dyDescent="0.2">
      <c r="M5000" s="20">
        <v>1.1369993683639858E-2</v>
      </c>
      <c r="N5000" s="20">
        <v>1.1295837809599538E-3</v>
      </c>
      <c r="O5000" s="20">
        <v>9.9347793181740973E-2</v>
      </c>
      <c r="P5000" s="20"/>
      <c r="Q5000" s="20"/>
      <c r="R5000" s="20"/>
      <c r="S5000" s="20">
        <v>0.4</v>
      </c>
      <c r="T5000" s="20">
        <v>0.6</v>
      </c>
    </row>
    <row r="5001" spans="13:20" x14ac:dyDescent="0.2">
      <c r="M5001" s="20">
        <v>1.1126261192309094E-2</v>
      </c>
      <c r="N5001" s="20">
        <v>1.0993252654935262E-3</v>
      </c>
      <c r="O5001" s="20">
        <v>9.8804553164132336E-2</v>
      </c>
      <c r="P5001" s="20"/>
      <c r="Q5001" s="20"/>
      <c r="R5001" s="20"/>
      <c r="S5001" s="20">
        <v>0.43</v>
      </c>
      <c r="T5001" s="20">
        <v>0.56999999999999995</v>
      </c>
    </row>
    <row r="5002" spans="13:20" x14ac:dyDescent="0.2">
      <c r="M5002" s="20">
        <v>9.2899796990666625E-3</v>
      </c>
      <c r="N5002" s="20">
        <v>1.0745782052910614E-3</v>
      </c>
      <c r="O5002" s="20">
        <v>0.1156706731446379</v>
      </c>
      <c r="P5002" s="20">
        <v>7.0000000000000173E-2</v>
      </c>
      <c r="Q5002" s="20"/>
      <c r="R5002" s="20">
        <v>0.56999999999999995</v>
      </c>
      <c r="S5002" s="20">
        <v>0.31</v>
      </c>
      <c r="T5002" s="20">
        <v>0.05</v>
      </c>
    </row>
    <row r="5003" spans="13:20" x14ac:dyDescent="0.2">
      <c r="M5003" s="20">
        <v>9.6147187975790267E-3</v>
      </c>
      <c r="N5003" s="20">
        <v>1.1003307471756244E-3</v>
      </c>
      <c r="O5003" s="20">
        <v>0.11444232227079654</v>
      </c>
      <c r="P5003" s="20"/>
      <c r="Q5003" s="20">
        <v>0</v>
      </c>
      <c r="R5003" s="20">
        <v>0.52</v>
      </c>
      <c r="S5003" s="20">
        <v>0.23</v>
      </c>
      <c r="T5003" s="20">
        <v>0.25</v>
      </c>
    </row>
    <row r="5004" spans="13:20" x14ac:dyDescent="0.2">
      <c r="M5004" s="20">
        <v>1.1719600580907156E-2</v>
      </c>
      <c r="N5004" s="20">
        <v>1.1850536796124893E-3</v>
      </c>
      <c r="O5004" s="20">
        <v>0.10111724127724155</v>
      </c>
      <c r="P5004" s="20"/>
      <c r="Q5004" s="20">
        <v>0.28999999999999998</v>
      </c>
      <c r="R5004" s="20">
        <v>0.71000000000000008</v>
      </c>
      <c r="S5004" s="20"/>
      <c r="T5004" s="20"/>
    </row>
    <row r="5005" spans="13:20" x14ac:dyDescent="0.2">
      <c r="M5005" s="20">
        <v>9.6223646147815031E-3</v>
      </c>
      <c r="N5005" s="20">
        <v>9.2289098546605966E-4</v>
      </c>
      <c r="O5005" s="20">
        <v>9.591103875323434E-2</v>
      </c>
      <c r="P5005" s="20"/>
      <c r="Q5005" s="20"/>
      <c r="R5005" s="20">
        <v>0.64</v>
      </c>
      <c r="S5005" s="20">
        <v>0.3600000000000001</v>
      </c>
      <c r="T5005" s="20"/>
    </row>
    <row r="5006" spans="13:20" x14ac:dyDescent="0.2">
      <c r="M5006" s="20">
        <v>1.0678381654700331E-2</v>
      </c>
      <c r="N5006" s="20">
        <v>6.9587839260782519E-4</v>
      </c>
      <c r="O5006" s="20">
        <v>6.5167027655498588E-2</v>
      </c>
      <c r="P5006" s="20"/>
      <c r="Q5006" s="20"/>
      <c r="R5006" s="20"/>
      <c r="S5006" s="20">
        <v>0.83</v>
      </c>
      <c r="T5006" s="20">
        <v>0.16999999999999993</v>
      </c>
    </row>
    <row r="5007" spans="13:20" x14ac:dyDescent="0.2">
      <c r="M5007" s="20">
        <v>1.3476815384015758E-2</v>
      </c>
      <c r="N5007" s="20">
        <v>2.1805300859804194E-3</v>
      </c>
      <c r="O5007" s="20">
        <v>0.16179861664994294</v>
      </c>
      <c r="P5007" s="20">
        <v>0.69</v>
      </c>
      <c r="Q5007" s="20">
        <v>0.27</v>
      </c>
      <c r="R5007" s="20">
        <v>4.0000000000000036E-2</v>
      </c>
      <c r="S5007" s="20"/>
      <c r="T5007" s="20"/>
    </row>
    <row r="5008" spans="13:20" x14ac:dyDescent="0.2">
      <c r="M5008" s="20">
        <v>9.7409704201740031E-3</v>
      </c>
      <c r="N5008" s="20">
        <v>7.8591434008539623E-4</v>
      </c>
      <c r="O5008" s="20">
        <v>8.0681318819912543E-2</v>
      </c>
      <c r="P5008" s="20"/>
      <c r="Q5008" s="20"/>
      <c r="R5008" s="20">
        <v>0.42</v>
      </c>
      <c r="S5008" s="20">
        <v>0.58000000000000007</v>
      </c>
      <c r="T5008" s="20"/>
    </row>
    <row r="5009" spans="13:20" x14ac:dyDescent="0.2">
      <c r="M5009" s="20">
        <v>1.066504244025005E-2</v>
      </c>
      <c r="N5009" s="20">
        <v>9.0290556487521568E-4</v>
      </c>
      <c r="O5009" s="20">
        <v>8.4660288032950989E-2</v>
      </c>
      <c r="P5009" s="20"/>
      <c r="Q5009" s="20">
        <v>0.18</v>
      </c>
      <c r="R5009" s="20">
        <v>0.39</v>
      </c>
      <c r="S5009" s="20">
        <v>0.43000000000000005</v>
      </c>
      <c r="T5009" s="20"/>
    </row>
    <row r="5010" spans="13:20" x14ac:dyDescent="0.2">
      <c r="M5010" s="20">
        <v>1.2726230744355057E-2</v>
      </c>
      <c r="N5010" s="20">
        <v>1.8872490293863626E-3</v>
      </c>
      <c r="O5010" s="20">
        <v>0.14829599331471224</v>
      </c>
      <c r="P5010" s="20">
        <v>0.48</v>
      </c>
      <c r="Q5010" s="20">
        <v>0.35</v>
      </c>
      <c r="R5010" s="20">
        <v>0.16999999999999993</v>
      </c>
      <c r="S5010" s="20"/>
      <c r="T5010" s="20"/>
    </row>
    <row r="5011" spans="13:20" x14ac:dyDescent="0.2">
      <c r="M5011" s="20">
        <v>9.4189515636548659E-3</v>
      </c>
      <c r="N5011" s="20">
        <v>1.2703619747249232E-3</v>
      </c>
      <c r="O5011" s="20">
        <v>0.13487297032367163</v>
      </c>
      <c r="P5011" s="20">
        <v>0.21000000000000008</v>
      </c>
      <c r="Q5011" s="20"/>
      <c r="R5011" s="20">
        <v>0.16</v>
      </c>
      <c r="S5011" s="20">
        <v>0.42</v>
      </c>
      <c r="T5011" s="20">
        <v>0.21</v>
      </c>
    </row>
    <row r="5012" spans="13:20" x14ac:dyDescent="0.2">
      <c r="M5012" s="20">
        <v>1.4637253852239254E-2</v>
      </c>
      <c r="N5012" s="20">
        <v>2.593554025773609E-3</v>
      </c>
      <c r="O5012" s="20">
        <v>0.17718856637693953</v>
      </c>
      <c r="P5012" s="20">
        <v>1</v>
      </c>
      <c r="Q5012" s="20">
        <v>0</v>
      </c>
      <c r="R5012" s="20"/>
      <c r="S5012" s="20"/>
      <c r="T5012" s="20"/>
    </row>
    <row r="5013" spans="13:20" x14ac:dyDescent="0.2">
      <c r="M5013" s="20">
        <v>1.3061675215031326E-2</v>
      </c>
      <c r="N5013" s="20">
        <v>1.7593739952304842E-3</v>
      </c>
      <c r="O5013" s="20">
        <v>0.13469742328348536</v>
      </c>
      <c r="P5013" s="20">
        <v>0.28000000000000003</v>
      </c>
      <c r="Q5013" s="20"/>
      <c r="R5013" s="20"/>
      <c r="S5013" s="20">
        <v>7.0000000000000007E-2</v>
      </c>
      <c r="T5013" s="20">
        <v>0.65</v>
      </c>
    </row>
    <row r="5014" spans="13:20" x14ac:dyDescent="0.2">
      <c r="M5014" s="20">
        <v>1.1486351318839291E-2</v>
      </c>
      <c r="N5014" s="20">
        <v>1.1810527638649406E-3</v>
      </c>
      <c r="O5014" s="20">
        <v>0.10282227411308949</v>
      </c>
      <c r="P5014" s="20">
        <v>2.0000000000000129E-2</v>
      </c>
      <c r="Q5014" s="20"/>
      <c r="R5014" s="20"/>
      <c r="S5014" s="20">
        <v>0.37</v>
      </c>
      <c r="T5014" s="20">
        <v>0.61</v>
      </c>
    </row>
    <row r="5015" spans="13:20" x14ac:dyDescent="0.2">
      <c r="M5015" s="20">
        <v>1.8456701259377491E-2</v>
      </c>
      <c r="N5015" s="20">
        <v>1.3439058623289466E-3</v>
      </c>
      <c r="O5015" s="20">
        <v>7.2813979239444757E-2</v>
      </c>
      <c r="P5015" s="20">
        <v>0.05</v>
      </c>
      <c r="Q5015" s="20">
        <v>0.95</v>
      </c>
      <c r="R5015" s="20">
        <v>0</v>
      </c>
      <c r="S5015" s="20"/>
      <c r="T5015" s="20"/>
    </row>
    <row r="5016" spans="13:20" x14ac:dyDescent="0.2">
      <c r="M5016" s="20">
        <v>9.7796298640014673E-3</v>
      </c>
      <c r="N5016" s="20">
        <v>9.8278684651753405E-4</v>
      </c>
      <c r="O5016" s="20">
        <v>0.1004932558986863</v>
      </c>
      <c r="P5016" s="20"/>
      <c r="Q5016" s="20"/>
      <c r="R5016" s="20">
        <v>0.72</v>
      </c>
      <c r="S5016" s="20">
        <v>0.27</v>
      </c>
      <c r="T5016" s="20">
        <v>9.9999999999998979E-3</v>
      </c>
    </row>
    <row r="5017" spans="13:20" x14ac:dyDescent="0.2">
      <c r="M5017" s="20">
        <v>1.8661079521685268E-2</v>
      </c>
      <c r="N5017" s="20">
        <v>1.2742018967773715E-3</v>
      </c>
      <c r="O5017" s="20">
        <v>6.8281253252078705E-2</v>
      </c>
      <c r="P5017" s="20"/>
      <c r="Q5017" s="20">
        <v>0.97</v>
      </c>
      <c r="R5017" s="20">
        <v>3.0000000000000138E-2</v>
      </c>
      <c r="S5017" s="20"/>
      <c r="T5017" s="20"/>
    </row>
    <row r="5018" spans="13:20" x14ac:dyDescent="0.2">
      <c r="M5018" s="20">
        <v>1.906302168500059E-2</v>
      </c>
      <c r="N5018" s="20">
        <v>1.2781349063581749E-3</v>
      </c>
      <c r="O5018" s="20">
        <v>6.7047865101252727E-2</v>
      </c>
      <c r="P5018" s="20"/>
      <c r="Q5018" s="20">
        <v>1</v>
      </c>
      <c r="R5018" s="20">
        <v>0</v>
      </c>
      <c r="S5018" s="20"/>
      <c r="T5018" s="20"/>
    </row>
    <row r="5019" spans="13:20" x14ac:dyDescent="0.2">
      <c r="M5019" s="20">
        <v>1.4043816940215014E-2</v>
      </c>
      <c r="N5019" s="20">
        <v>2.4225495402496028E-3</v>
      </c>
      <c r="O5019" s="20">
        <v>0.17249936755530743</v>
      </c>
      <c r="P5019" s="20">
        <v>0.87</v>
      </c>
      <c r="Q5019" s="20">
        <v>0.13</v>
      </c>
      <c r="R5019" s="20"/>
      <c r="S5019" s="20"/>
      <c r="T5019" s="20"/>
    </row>
    <row r="5020" spans="13:20" x14ac:dyDescent="0.2">
      <c r="M5020" s="20">
        <v>1.5072756399316824E-2</v>
      </c>
      <c r="N5020" s="20">
        <v>1.2361828041629363E-3</v>
      </c>
      <c r="O5020" s="20">
        <v>8.2014382201451005E-2</v>
      </c>
      <c r="P5020" s="20"/>
      <c r="Q5020" s="20">
        <v>0.68</v>
      </c>
      <c r="R5020" s="20">
        <v>0.31999999999999995</v>
      </c>
      <c r="S5020" s="20"/>
      <c r="T5020" s="20"/>
    </row>
    <row r="5021" spans="13:20" x14ac:dyDescent="0.2">
      <c r="M5021" s="20">
        <v>1.3993973667379783E-2</v>
      </c>
      <c r="N5021" s="20">
        <v>2.0805405692015896E-3</v>
      </c>
      <c r="O5021" s="20">
        <v>0.14867403774321578</v>
      </c>
      <c r="P5021" s="20">
        <v>0.61</v>
      </c>
      <c r="Q5021" s="20">
        <v>0.3899999999999999</v>
      </c>
      <c r="R5021" s="20"/>
      <c r="S5021" s="20"/>
      <c r="T5021" s="20"/>
    </row>
    <row r="5022" spans="13:20" x14ac:dyDescent="0.2">
      <c r="M5022" s="20">
        <v>1.3817706763828255E-2</v>
      </c>
      <c r="N5022" s="20">
        <v>2.466291221142254E-3</v>
      </c>
      <c r="O5022" s="20">
        <v>0.17848773774809487</v>
      </c>
      <c r="P5022" s="20">
        <v>0.87999999999999989</v>
      </c>
      <c r="Q5022" s="20"/>
      <c r="R5022" s="20"/>
      <c r="S5022" s="20"/>
      <c r="T5022" s="20">
        <v>0.12</v>
      </c>
    </row>
    <row r="5023" spans="13:20" x14ac:dyDescent="0.2">
      <c r="M5023" s="20">
        <v>1.1173025858215857E-2</v>
      </c>
      <c r="N5023" s="20">
        <v>1.5339238211396593E-3</v>
      </c>
      <c r="O5023" s="20">
        <v>0.1372881295188017</v>
      </c>
      <c r="P5023" s="20">
        <v>0.15</v>
      </c>
      <c r="Q5023" s="20">
        <v>0.03</v>
      </c>
      <c r="R5023" s="20">
        <v>0.39</v>
      </c>
      <c r="S5023" s="20">
        <v>0</v>
      </c>
      <c r="T5023" s="20">
        <v>0.43</v>
      </c>
    </row>
    <row r="5024" spans="13:20" x14ac:dyDescent="0.2">
      <c r="M5024" s="20">
        <v>1.3839814913507121E-2</v>
      </c>
      <c r="N5024" s="20">
        <v>2.2910076283080595E-3</v>
      </c>
      <c r="O5024" s="20">
        <v>0.1655374470414431</v>
      </c>
      <c r="P5024" s="20">
        <v>0.77</v>
      </c>
      <c r="Q5024" s="20">
        <v>0.23000000000000009</v>
      </c>
      <c r="R5024" s="20"/>
      <c r="S5024" s="20"/>
      <c r="T5024" s="20"/>
    </row>
    <row r="5025" spans="13:20" x14ac:dyDescent="0.2">
      <c r="M5025" s="20">
        <v>9.5688548890340459E-3</v>
      </c>
      <c r="N5025" s="20">
        <v>8.8553371854406039E-4</v>
      </c>
      <c r="O5025" s="20">
        <v>9.2543332385454632E-2</v>
      </c>
      <c r="P5025" s="20"/>
      <c r="Q5025" s="20"/>
      <c r="R5025" s="20">
        <v>0.57999999999999996</v>
      </c>
      <c r="S5025" s="20">
        <v>0.41999999999999993</v>
      </c>
      <c r="T5025" s="20"/>
    </row>
    <row r="5026" spans="13:20" x14ac:dyDescent="0.2">
      <c r="M5026" s="20">
        <v>1.0140191073869681E-2</v>
      </c>
      <c r="N5026" s="20">
        <v>1.0290653798927299E-3</v>
      </c>
      <c r="O5026" s="20">
        <v>0.10148382534373881</v>
      </c>
      <c r="P5026" s="20"/>
      <c r="Q5026" s="20">
        <v>0.05</v>
      </c>
      <c r="R5026" s="20">
        <v>0.75</v>
      </c>
      <c r="S5026" s="20">
        <v>0.19999999999999996</v>
      </c>
      <c r="T5026" s="20"/>
    </row>
    <row r="5027" spans="13:20" x14ac:dyDescent="0.2">
      <c r="M5027" s="20">
        <v>1.1882796521238389E-2</v>
      </c>
      <c r="N5027" s="20">
        <v>2.1503770125275916E-3</v>
      </c>
      <c r="O5027" s="20">
        <v>0.18096556721173962</v>
      </c>
      <c r="P5027" s="20">
        <v>0.69</v>
      </c>
      <c r="Q5027" s="20">
        <v>0.04</v>
      </c>
      <c r="R5027" s="20">
        <v>0.26999999999999991</v>
      </c>
      <c r="S5027" s="20"/>
      <c r="T5027" s="20"/>
    </row>
    <row r="5028" spans="13:20" x14ac:dyDescent="0.2">
      <c r="M5028" s="20">
        <v>1.4741319428931792E-2</v>
      </c>
      <c r="N5028" s="20">
        <v>1.2322497945821327E-3</v>
      </c>
      <c r="O5028" s="20">
        <v>8.3591553695232954E-2</v>
      </c>
      <c r="P5028" s="20"/>
      <c r="Q5028" s="20">
        <v>0.65</v>
      </c>
      <c r="R5028" s="20">
        <v>0.35</v>
      </c>
      <c r="S5028" s="20"/>
      <c r="T5028" s="20"/>
    </row>
    <row r="5029" spans="13:20" x14ac:dyDescent="0.2">
      <c r="M5029" s="20">
        <v>1.4749960029107695E-2</v>
      </c>
      <c r="N5029" s="20">
        <v>1.7133196270734065E-3</v>
      </c>
      <c r="O5029" s="20">
        <v>0.11615757762680896</v>
      </c>
      <c r="P5029" s="20">
        <v>0.16999999999999993</v>
      </c>
      <c r="Q5029" s="20"/>
      <c r="R5029" s="20"/>
      <c r="S5029" s="20"/>
      <c r="T5029" s="20">
        <v>0.83</v>
      </c>
    </row>
    <row r="5030" spans="13:20" x14ac:dyDescent="0.2">
      <c r="M5030" s="20">
        <v>9.6410829593058973E-3</v>
      </c>
      <c r="N5030" s="20">
        <v>7.9749422209082418E-4</v>
      </c>
      <c r="O5030" s="20">
        <v>8.2718323808328595E-2</v>
      </c>
      <c r="P5030" s="20"/>
      <c r="Q5030" s="20"/>
      <c r="R5030" s="20">
        <v>0.39</v>
      </c>
      <c r="S5030" s="20">
        <v>0.57999999999999996</v>
      </c>
      <c r="T5030" s="20">
        <v>3.0000000000000027E-2</v>
      </c>
    </row>
    <row r="5031" spans="13:20" x14ac:dyDescent="0.2">
      <c r="M5031" s="20">
        <v>1.2572189861927166E-2</v>
      </c>
      <c r="N5031" s="20">
        <v>2.100338094880035E-3</v>
      </c>
      <c r="O5031" s="20">
        <v>0.16706223163560135</v>
      </c>
      <c r="P5031" s="20">
        <v>0.64</v>
      </c>
      <c r="Q5031" s="20">
        <v>0.21</v>
      </c>
      <c r="R5031" s="20">
        <v>0.15000000000000002</v>
      </c>
      <c r="S5031" s="20"/>
      <c r="T5031" s="20"/>
    </row>
    <row r="5032" spans="13:20" x14ac:dyDescent="0.2">
      <c r="M5032" s="20">
        <v>1.4319271568267726E-2</v>
      </c>
      <c r="N5032" s="20">
        <v>2.5146288786086829E-3</v>
      </c>
      <c r="O5032" s="20">
        <v>0.175611508352229</v>
      </c>
      <c r="P5032" s="20">
        <v>0.94</v>
      </c>
      <c r="Q5032" s="20">
        <v>6.0000000000000164E-2</v>
      </c>
      <c r="R5032" s="20"/>
      <c r="S5032" s="20"/>
      <c r="T5032" s="20"/>
    </row>
    <row r="5033" spans="13:20" x14ac:dyDescent="0.2">
      <c r="M5033" s="20">
        <v>9.6232476208579377E-3</v>
      </c>
      <c r="N5033" s="20">
        <v>8.2327160700739529E-4</v>
      </c>
      <c r="O5033" s="20">
        <v>8.5550288160827617E-2</v>
      </c>
      <c r="P5033" s="20"/>
      <c r="Q5033" s="20"/>
      <c r="R5033" s="20">
        <v>0.48</v>
      </c>
      <c r="S5033" s="20">
        <v>0.52000000000000013</v>
      </c>
      <c r="T5033" s="20"/>
    </row>
    <row r="5034" spans="13:20" x14ac:dyDescent="0.2">
      <c r="M5034" s="20">
        <v>1.2461492430334014E-2</v>
      </c>
      <c r="N5034" s="20">
        <v>1.7659610654643017E-3</v>
      </c>
      <c r="O5034" s="20">
        <v>0.14171344847632888</v>
      </c>
      <c r="P5034" s="20">
        <v>0.28000000000000003</v>
      </c>
      <c r="Q5034" s="20">
        <v>0.13</v>
      </c>
      <c r="R5034" s="20">
        <v>7.999999999999996E-2</v>
      </c>
      <c r="S5034" s="20"/>
      <c r="T5034" s="20">
        <v>0.51</v>
      </c>
    </row>
    <row r="5035" spans="13:20" x14ac:dyDescent="0.2">
      <c r="M5035" s="20">
        <v>9.6232476208579342E-3</v>
      </c>
      <c r="N5035" s="20">
        <v>8.2327160700739518E-4</v>
      </c>
      <c r="O5035" s="20">
        <v>8.5550288160827617E-2</v>
      </c>
      <c r="P5035" s="20"/>
      <c r="Q5035" s="20"/>
      <c r="R5035" s="20">
        <v>0.48</v>
      </c>
      <c r="S5035" s="20">
        <v>0.51999999999999991</v>
      </c>
      <c r="T5035" s="20"/>
    </row>
    <row r="5036" spans="13:20" x14ac:dyDescent="0.2">
      <c r="M5036" s="20">
        <v>9.638502077334056E-3</v>
      </c>
      <c r="N5036" s="20">
        <v>8.1704539585372878E-4</v>
      </c>
      <c r="O5036" s="20">
        <v>8.4768918375304023E-2</v>
      </c>
      <c r="P5036" s="20"/>
      <c r="Q5036" s="20"/>
      <c r="R5036" s="20">
        <v>0.47</v>
      </c>
      <c r="S5036" s="20">
        <v>0.53000000000000014</v>
      </c>
      <c r="T5036" s="20"/>
    </row>
    <row r="5037" spans="13:20" x14ac:dyDescent="0.2">
      <c r="M5037" s="20">
        <v>9.9178413612654118E-3</v>
      </c>
      <c r="N5037" s="20">
        <v>9.9760551931005778E-4</v>
      </c>
      <c r="O5037" s="20">
        <v>0.10058696070762457</v>
      </c>
      <c r="P5037" s="20"/>
      <c r="Q5037" s="20"/>
      <c r="R5037" s="20">
        <v>0.76</v>
      </c>
      <c r="S5037" s="20">
        <v>0.24</v>
      </c>
      <c r="T5037" s="20"/>
    </row>
    <row r="5038" spans="13:20" x14ac:dyDescent="0.2">
      <c r="M5038" s="20">
        <v>1.5569474240932775E-2</v>
      </c>
      <c r="N5038" s="20">
        <v>1.4860241183355842E-3</v>
      </c>
      <c r="O5038" s="20">
        <v>9.5444720569225594E-2</v>
      </c>
      <c r="P5038" s="20">
        <v>0.17</v>
      </c>
      <c r="Q5038" s="20">
        <v>0.71</v>
      </c>
      <c r="R5038" s="20">
        <v>0.12</v>
      </c>
      <c r="S5038" s="20"/>
      <c r="T5038" s="20"/>
    </row>
    <row r="5039" spans="13:20" x14ac:dyDescent="0.2">
      <c r="M5039" s="20">
        <v>1.2203215142149552E-2</v>
      </c>
      <c r="N5039" s="20">
        <v>2.0805820721251467E-3</v>
      </c>
      <c r="O5039" s="20">
        <v>0.17049458260707676</v>
      </c>
      <c r="P5039" s="20">
        <v>0.69</v>
      </c>
      <c r="Q5039" s="20">
        <v>5.0000000000000155E-2</v>
      </c>
      <c r="R5039" s="20"/>
      <c r="S5039" s="20">
        <v>0.17</v>
      </c>
      <c r="T5039" s="20">
        <v>0.09</v>
      </c>
    </row>
    <row r="5040" spans="13:20" x14ac:dyDescent="0.2">
      <c r="M5040" s="20">
        <v>1.3044338301955732E-2</v>
      </c>
      <c r="N5040" s="20">
        <v>2.0632923398096318E-3</v>
      </c>
      <c r="O5040" s="20">
        <v>0.15817531652795938</v>
      </c>
      <c r="P5040" s="20">
        <v>0.5</v>
      </c>
      <c r="Q5040" s="20">
        <v>0</v>
      </c>
      <c r="R5040" s="20"/>
      <c r="S5040" s="20"/>
      <c r="T5040" s="20">
        <v>0.5</v>
      </c>
    </row>
    <row r="5041" spans="13:20" x14ac:dyDescent="0.2">
      <c r="M5041" s="20">
        <v>1.334525241386334E-2</v>
      </c>
      <c r="N5041" s="20">
        <v>1.9572400026168363E-3</v>
      </c>
      <c r="O5041" s="20">
        <v>0.14666189457635229</v>
      </c>
      <c r="P5041" s="20">
        <v>0.4</v>
      </c>
      <c r="Q5041" s="20"/>
      <c r="R5041" s="20"/>
      <c r="S5041" s="20"/>
      <c r="T5041" s="20">
        <v>0.6</v>
      </c>
    </row>
    <row r="5042" spans="13:20" x14ac:dyDescent="0.2">
      <c r="M5042" s="20">
        <v>1.5419015476876895E-2</v>
      </c>
      <c r="N5042" s="20">
        <v>1.4725136229127994E-3</v>
      </c>
      <c r="O5042" s="20">
        <v>9.5499847258150319E-2</v>
      </c>
      <c r="P5042" s="20"/>
      <c r="Q5042" s="20"/>
      <c r="R5042" s="20"/>
      <c r="S5042" s="20">
        <v>0.06</v>
      </c>
      <c r="T5042" s="20">
        <v>0.94</v>
      </c>
    </row>
    <row r="5043" spans="13:20" x14ac:dyDescent="0.2">
      <c r="M5043" s="20">
        <v>1.1448894409104977E-2</v>
      </c>
      <c r="N5043" s="20">
        <v>1.2738576180194448E-3</v>
      </c>
      <c r="O5043" s="20">
        <v>0.11126468395117545</v>
      </c>
      <c r="P5043" s="20">
        <v>7.0000000000000007E-2</v>
      </c>
      <c r="Q5043" s="20">
        <v>0.28999999999999998</v>
      </c>
      <c r="R5043" s="20">
        <v>0.62</v>
      </c>
      <c r="S5043" s="20">
        <v>2.0000000000000129E-2</v>
      </c>
      <c r="T5043" s="20"/>
    </row>
    <row r="5044" spans="13:20" x14ac:dyDescent="0.2">
      <c r="M5044" s="20"/>
      <c r="N5044" s="20"/>
      <c r="O5044" s="20"/>
      <c r="P5044" s="20"/>
      <c r="Q5044" s="20"/>
      <c r="R5044" s="20"/>
      <c r="S5044" s="20"/>
      <c r="T5044" s="20"/>
    </row>
    <row r="5045" spans="13:20" x14ac:dyDescent="0.2">
      <c r="M5045" s="20"/>
      <c r="N5045" s="20"/>
      <c r="O5045" s="20"/>
      <c r="P5045" s="20"/>
      <c r="Q5045" s="20"/>
      <c r="R5045" s="20"/>
      <c r="S5045" s="20"/>
      <c r="T5045" s="20"/>
    </row>
    <row r="5046" spans="13:20" x14ac:dyDescent="0.2">
      <c r="M5046" s="20"/>
      <c r="N5046" s="20"/>
      <c r="O5046" s="20"/>
      <c r="P5046" s="20"/>
      <c r="Q5046" s="20"/>
      <c r="R5046" s="20"/>
      <c r="S5046" s="20"/>
      <c r="T5046" s="20"/>
    </row>
    <row r="5047" spans="13:20" x14ac:dyDescent="0.2">
      <c r="M5047" s="20"/>
      <c r="N5047" s="20"/>
      <c r="O5047" s="20"/>
      <c r="P5047" s="20"/>
      <c r="Q5047" s="20"/>
      <c r="R5047" s="20"/>
      <c r="S5047" s="20"/>
      <c r="T5047" s="20"/>
    </row>
    <row r="5048" spans="13:20" x14ac:dyDescent="0.2">
      <c r="M5048" s="20"/>
      <c r="N5048" s="20"/>
      <c r="O5048" s="20"/>
      <c r="P5048" s="20"/>
      <c r="Q5048" s="20"/>
      <c r="R5048" s="20"/>
      <c r="S5048" s="20"/>
      <c r="T5048" s="20"/>
    </row>
    <row r="5049" spans="13:20" x14ac:dyDescent="0.2">
      <c r="M5049" s="20"/>
      <c r="N5049" s="20"/>
      <c r="O5049" s="20"/>
      <c r="P5049" s="20"/>
      <c r="Q5049" s="20"/>
      <c r="R5049" s="20"/>
      <c r="S5049" s="20"/>
      <c r="T5049" s="20"/>
    </row>
    <row r="5050" spans="13:20" x14ac:dyDescent="0.2">
      <c r="M5050" s="20"/>
      <c r="N5050" s="20"/>
      <c r="O5050" s="20"/>
      <c r="P5050" s="20"/>
      <c r="Q5050" s="20"/>
      <c r="R5050" s="20"/>
      <c r="S5050" s="20"/>
      <c r="T5050" s="20"/>
    </row>
    <row r="5051" spans="13:20" x14ac:dyDescent="0.2">
      <c r="M5051" s="20"/>
      <c r="N5051" s="20"/>
      <c r="O5051" s="20"/>
      <c r="P5051" s="20"/>
      <c r="Q5051" s="20"/>
      <c r="R5051" s="20"/>
      <c r="S5051" s="20"/>
      <c r="T5051" s="20"/>
    </row>
    <row r="5052" spans="13:20" x14ac:dyDescent="0.2">
      <c r="M5052" s="20"/>
      <c r="N5052" s="20"/>
      <c r="O5052" s="20"/>
      <c r="P5052" s="20"/>
      <c r="Q5052" s="20"/>
      <c r="R5052" s="20"/>
      <c r="S5052" s="20"/>
      <c r="T5052" s="20"/>
    </row>
    <row r="5053" spans="13:20" x14ac:dyDescent="0.2">
      <c r="M5053" s="20"/>
      <c r="N5053" s="20"/>
      <c r="O5053" s="20"/>
      <c r="P5053" s="20"/>
      <c r="Q5053" s="20"/>
      <c r="R5053" s="20"/>
      <c r="S5053" s="20"/>
      <c r="T5053" s="20"/>
    </row>
    <row r="5054" spans="13:20" x14ac:dyDescent="0.2">
      <c r="M5054" s="20"/>
      <c r="N5054" s="20"/>
      <c r="O5054" s="20"/>
      <c r="P5054" s="20"/>
      <c r="Q5054" s="20"/>
      <c r="R5054" s="20"/>
      <c r="S5054" s="20"/>
      <c r="T5054" s="20"/>
    </row>
    <row r="5055" spans="13:20" x14ac:dyDescent="0.2">
      <c r="M5055" s="20"/>
      <c r="N5055" s="20"/>
      <c r="O5055" s="20"/>
      <c r="P5055" s="20"/>
      <c r="Q5055" s="20"/>
      <c r="R5055" s="20"/>
      <c r="S5055" s="20"/>
      <c r="T5055" s="20"/>
    </row>
    <row r="5056" spans="13:20" x14ac:dyDescent="0.2">
      <c r="M5056" s="20"/>
      <c r="N5056" s="20"/>
      <c r="O5056" s="20"/>
      <c r="P5056" s="20"/>
      <c r="Q5056" s="20"/>
      <c r="R5056" s="20"/>
      <c r="S5056" s="20"/>
      <c r="T5056" s="20"/>
    </row>
    <row r="5057" spans="13:20" x14ac:dyDescent="0.2">
      <c r="M5057" s="20"/>
      <c r="N5057" s="20"/>
      <c r="O5057" s="20"/>
      <c r="P5057" s="20"/>
      <c r="Q5057" s="20"/>
      <c r="R5057" s="20"/>
      <c r="S5057" s="20"/>
      <c r="T5057" s="20"/>
    </row>
    <row r="5058" spans="13:20" x14ac:dyDescent="0.2">
      <c r="M5058" s="20"/>
      <c r="N5058" s="20"/>
      <c r="O5058" s="20"/>
      <c r="P5058" s="20"/>
      <c r="Q5058" s="20"/>
      <c r="R5058" s="20"/>
      <c r="S5058" s="20"/>
      <c r="T5058" s="20"/>
    </row>
    <row r="5059" spans="13:20" x14ac:dyDescent="0.2">
      <c r="M5059" s="20"/>
      <c r="N5059" s="20"/>
      <c r="O5059" s="20"/>
      <c r="P5059" s="20"/>
      <c r="Q5059" s="20"/>
      <c r="R5059" s="20"/>
      <c r="S5059" s="20"/>
      <c r="T5059" s="20"/>
    </row>
    <row r="5060" spans="13:20" x14ac:dyDescent="0.2">
      <c r="M5060" s="20"/>
      <c r="N5060" s="20"/>
      <c r="O5060" s="20"/>
      <c r="P5060" s="20"/>
      <c r="Q5060" s="20"/>
      <c r="R5060" s="20"/>
      <c r="S5060" s="20"/>
      <c r="T5060" s="20"/>
    </row>
    <row r="5061" spans="13:20" x14ac:dyDescent="0.2">
      <c r="M5061" s="20"/>
      <c r="N5061" s="20"/>
      <c r="O5061" s="20"/>
      <c r="P5061" s="20"/>
      <c r="Q5061" s="20"/>
      <c r="R5061" s="20"/>
      <c r="S5061" s="20"/>
      <c r="T5061" s="20"/>
    </row>
    <row r="5062" spans="13:20" x14ac:dyDescent="0.2">
      <c r="M5062" s="20"/>
      <c r="N5062" s="20"/>
      <c r="O5062" s="20"/>
      <c r="P5062" s="20"/>
      <c r="Q5062" s="20"/>
      <c r="R5062" s="20"/>
      <c r="S5062" s="20"/>
      <c r="T5062" s="20"/>
    </row>
    <row r="5063" spans="13:20" x14ac:dyDescent="0.2">
      <c r="M5063" s="20"/>
      <c r="N5063" s="20"/>
      <c r="O5063" s="20"/>
      <c r="P5063" s="20"/>
      <c r="Q5063" s="20"/>
      <c r="R5063" s="20"/>
      <c r="S5063" s="20"/>
      <c r="T5063" s="20"/>
    </row>
    <row r="5064" spans="13:20" x14ac:dyDescent="0.2">
      <c r="M5064" s="20"/>
      <c r="N5064" s="20"/>
      <c r="O5064" s="20"/>
      <c r="P5064" s="20"/>
      <c r="Q5064" s="20"/>
      <c r="R5064" s="20"/>
      <c r="S5064" s="20"/>
      <c r="T5064" s="20"/>
    </row>
    <row r="5065" spans="13:20" x14ac:dyDescent="0.2">
      <c r="M5065" s="20"/>
      <c r="N5065" s="20"/>
      <c r="O5065" s="20"/>
      <c r="P5065" s="20"/>
      <c r="Q5065" s="20"/>
      <c r="R5065" s="20"/>
      <c r="S5065" s="20"/>
      <c r="T5065" s="20"/>
    </row>
    <row r="5066" spans="13:20" x14ac:dyDescent="0.2">
      <c r="M5066" s="20"/>
      <c r="N5066" s="20"/>
      <c r="O5066" s="20"/>
      <c r="P5066" s="20"/>
      <c r="Q5066" s="20"/>
      <c r="R5066" s="20"/>
      <c r="S5066" s="20"/>
      <c r="T5066" s="20"/>
    </row>
    <row r="5067" spans="13:20" x14ac:dyDescent="0.2">
      <c r="M5067" s="20"/>
      <c r="N5067" s="20"/>
      <c r="O5067" s="20"/>
      <c r="P5067" s="20"/>
      <c r="Q5067" s="20"/>
      <c r="R5067" s="20"/>
      <c r="S5067" s="20"/>
      <c r="T5067" s="20"/>
    </row>
    <row r="5068" spans="13:20" x14ac:dyDescent="0.2">
      <c r="M5068" s="20"/>
      <c r="N5068" s="20"/>
      <c r="O5068" s="20"/>
      <c r="P5068" s="20"/>
      <c r="Q5068" s="20"/>
      <c r="R5068" s="20"/>
      <c r="S5068" s="20"/>
      <c r="T5068" s="20"/>
    </row>
    <row r="5069" spans="13:20" x14ac:dyDescent="0.2">
      <c r="M5069" s="20"/>
      <c r="N5069" s="20"/>
      <c r="O5069" s="20"/>
      <c r="P5069" s="20"/>
      <c r="Q5069" s="20"/>
      <c r="R5069" s="20"/>
      <c r="S5069" s="20"/>
      <c r="T5069" s="20"/>
    </row>
    <row r="5070" spans="13:20" x14ac:dyDescent="0.2">
      <c r="M5070" s="20"/>
      <c r="N5070" s="20"/>
      <c r="O5070" s="20"/>
      <c r="P5070" s="20"/>
      <c r="Q5070" s="20"/>
      <c r="R5070" s="20"/>
      <c r="S5070" s="20"/>
      <c r="T5070" s="20"/>
    </row>
    <row r="5071" spans="13:20" x14ac:dyDescent="0.2">
      <c r="M5071" s="20"/>
      <c r="N5071" s="20"/>
      <c r="O5071" s="20"/>
      <c r="P5071" s="20"/>
      <c r="Q5071" s="20"/>
      <c r="R5071" s="20"/>
      <c r="S5071" s="20"/>
      <c r="T5071" s="20"/>
    </row>
    <row r="5072" spans="13:20" x14ac:dyDescent="0.2">
      <c r="M5072" s="20"/>
      <c r="N5072" s="20"/>
      <c r="O5072" s="20"/>
      <c r="P5072" s="20"/>
      <c r="Q5072" s="20"/>
      <c r="R5072" s="20"/>
      <c r="S5072" s="20"/>
      <c r="T5072" s="20"/>
    </row>
    <row r="5073" spans="13:20" x14ac:dyDescent="0.2">
      <c r="M5073" s="20"/>
      <c r="N5073" s="20"/>
      <c r="O5073" s="20"/>
      <c r="P5073" s="20"/>
      <c r="Q5073" s="20"/>
      <c r="R5073" s="20"/>
      <c r="S5073" s="20"/>
      <c r="T5073" s="20"/>
    </row>
    <row r="5074" spans="13:20" x14ac:dyDescent="0.2">
      <c r="M5074" s="20"/>
      <c r="N5074" s="20"/>
      <c r="O5074" s="20"/>
      <c r="P5074" s="20"/>
      <c r="Q5074" s="20"/>
      <c r="R5074" s="20"/>
      <c r="S5074" s="20"/>
      <c r="T5074" s="20"/>
    </row>
    <row r="5075" spans="13:20" x14ac:dyDescent="0.2">
      <c r="M5075" s="20"/>
      <c r="N5075" s="20"/>
      <c r="O5075" s="20"/>
      <c r="P5075" s="20"/>
      <c r="Q5075" s="20"/>
      <c r="R5075" s="20"/>
      <c r="S5075" s="20"/>
      <c r="T5075" s="20"/>
    </row>
    <row r="5076" spans="13:20" x14ac:dyDescent="0.2">
      <c r="M5076" s="20"/>
      <c r="N5076" s="20"/>
      <c r="O5076" s="20"/>
      <c r="P5076" s="20"/>
      <c r="Q5076" s="20"/>
      <c r="R5076" s="20"/>
      <c r="S5076" s="20"/>
      <c r="T5076" s="20"/>
    </row>
    <row r="5077" spans="13:20" x14ac:dyDescent="0.2">
      <c r="M5077" s="20"/>
      <c r="N5077" s="20"/>
      <c r="O5077" s="20"/>
      <c r="P5077" s="20"/>
      <c r="Q5077" s="20"/>
      <c r="R5077" s="20"/>
      <c r="S5077" s="20"/>
      <c r="T5077" s="20"/>
    </row>
    <row r="5078" spans="13:20" x14ac:dyDescent="0.2">
      <c r="M5078" s="20"/>
      <c r="N5078" s="20"/>
      <c r="O5078" s="20"/>
      <c r="P5078" s="20"/>
      <c r="Q5078" s="20"/>
      <c r="R5078" s="20"/>
      <c r="S5078" s="20"/>
      <c r="T5078" s="20"/>
    </row>
    <row r="5079" spans="13:20" x14ac:dyDescent="0.2">
      <c r="M5079" s="20"/>
      <c r="N5079" s="20"/>
      <c r="O5079" s="20"/>
      <c r="P5079" s="20"/>
      <c r="Q5079" s="20"/>
      <c r="R5079" s="20"/>
      <c r="S5079" s="20"/>
      <c r="T5079" s="20"/>
    </row>
    <row r="5080" spans="13:20" x14ac:dyDescent="0.2">
      <c r="M5080" s="20"/>
      <c r="N5080" s="20"/>
      <c r="O5080" s="20"/>
      <c r="P5080" s="20"/>
      <c r="Q5080" s="20"/>
      <c r="R5080" s="20"/>
      <c r="S5080" s="20"/>
      <c r="T5080" s="20"/>
    </row>
    <row r="5081" spans="13:20" x14ac:dyDescent="0.2">
      <c r="M5081" s="20"/>
      <c r="N5081" s="20"/>
      <c r="O5081" s="20"/>
      <c r="P5081" s="20"/>
      <c r="Q5081" s="20"/>
      <c r="R5081" s="20"/>
      <c r="S5081" s="20"/>
      <c r="T5081" s="20"/>
    </row>
    <row r="5082" spans="13:20" x14ac:dyDescent="0.2">
      <c r="M5082" s="20"/>
      <c r="N5082" s="20"/>
      <c r="O5082" s="20"/>
      <c r="P5082" s="20"/>
      <c r="Q5082" s="20"/>
      <c r="R5082" s="20"/>
      <c r="S5082" s="20"/>
      <c r="T5082" s="20"/>
    </row>
    <row r="5083" spans="13:20" x14ac:dyDescent="0.2">
      <c r="M5083" s="20"/>
      <c r="N5083" s="20"/>
      <c r="O5083" s="20"/>
      <c r="P5083" s="20"/>
      <c r="Q5083" s="20"/>
      <c r="R5083" s="20"/>
      <c r="S5083" s="20"/>
      <c r="T5083" s="20"/>
    </row>
    <row r="5084" spans="13:20" x14ac:dyDescent="0.2">
      <c r="M5084" s="20"/>
      <c r="N5084" s="20"/>
      <c r="O5084" s="20"/>
      <c r="P5084" s="20"/>
      <c r="Q5084" s="20"/>
      <c r="R5084" s="20"/>
      <c r="S5084" s="20"/>
      <c r="T5084" s="20"/>
    </row>
    <row r="5085" spans="13:20" x14ac:dyDescent="0.2">
      <c r="M5085" s="20"/>
      <c r="N5085" s="20"/>
      <c r="O5085" s="20"/>
      <c r="P5085" s="20"/>
      <c r="Q5085" s="20"/>
      <c r="R5085" s="20"/>
      <c r="S5085" s="20"/>
      <c r="T5085" s="20"/>
    </row>
    <row r="5086" spans="13:20" x14ac:dyDescent="0.2">
      <c r="M5086" s="20"/>
      <c r="N5086" s="20"/>
      <c r="O5086" s="20"/>
      <c r="P5086" s="20"/>
      <c r="Q5086" s="20"/>
      <c r="R5086" s="20"/>
      <c r="S5086" s="20"/>
      <c r="T5086" s="20"/>
    </row>
    <row r="5087" spans="13:20" x14ac:dyDescent="0.2">
      <c r="M5087" s="20"/>
      <c r="N5087" s="20"/>
      <c r="O5087" s="20"/>
      <c r="P5087" s="20"/>
      <c r="Q5087" s="20"/>
      <c r="R5087" s="20"/>
      <c r="S5087" s="20"/>
      <c r="T5087" s="20"/>
    </row>
    <row r="5088" spans="13:20" x14ac:dyDescent="0.2">
      <c r="M5088" s="20"/>
      <c r="N5088" s="20"/>
      <c r="O5088" s="20"/>
      <c r="P5088" s="20"/>
      <c r="Q5088" s="20"/>
      <c r="R5088" s="20"/>
      <c r="S5088" s="20"/>
      <c r="T5088" s="20"/>
    </row>
    <row r="5089" spans="13:20" x14ac:dyDescent="0.2">
      <c r="M5089" s="20"/>
      <c r="N5089" s="20"/>
      <c r="O5089" s="20"/>
      <c r="P5089" s="20"/>
      <c r="Q5089" s="20"/>
      <c r="R5089" s="20"/>
      <c r="S5089" s="20"/>
      <c r="T5089" s="20"/>
    </row>
    <row r="5090" spans="13:20" x14ac:dyDescent="0.2">
      <c r="M5090" s="20"/>
      <c r="N5090" s="20"/>
      <c r="O5090" s="20"/>
      <c r="P5090" s="20"/>
      <c r="Q5090" s="20"/>
      <c r="R5090" s="20"/>
      <c r="S5090" s="20"/>
      <c r="T5090" s="20"/>
    </row>
    <row r="5091" spans="13:20" x14ac:dyDescent="0.2">
      <c r="M5091" s="20"/>
      <c r="N5091" s="20"/>
      <c r="O5091" s="20"/>
      <c r="P5091" s="20"/>
      <c r="Q5091" s="20"/>
      <c r="R5091" s="20"/>
      <c r="S5091" s="20"/>
      <c r="T5091" s="20"/>
    </row>
    <row r="5092" spans="13:20" x14ac:dyDescent="0.2">
      <c r="M5092" s="20"/>
      <c r="N5092" s="20"/>
      <c r="O5092" s="20"/>
      <c r="P5092" s="20"/>
      <c r="Q5092" s="20"/>
      <c r="R5092" s="20"/>
      <c r="S5092" s="20"/>
      <c r="T5092" s="20"/>
    </row>
    <row r="5093" spans="13:20" x14ac:dyDescent="0.2">
      <c r="M5093" s="20"/>
      <c r="N5093" s="20"/>
      <c r="O5093" s="20"/>
      <c r="P5093" s="20"/>
      <c r="Q5093" s="20"/>
      <c r="R5093" s="20"/>
      <c r="S5093" s="20"/>
      <c r="T5093" s="20"/>
    </row>
    <row r="5094" spans="13:20" x14ac:dyDescent="0.2">
      <c r="M5094" s="20"/>
      <c r="N5094" s="20"/>
      <c r="O5094" s="20"/>
      <c r="P5094" s="20"/>
      <c r="Q5094" s="20"/>
      <c r="R5094" s="20"/>
      <c r="S5094" s="20"/>
      <c r="T5094" s="20"/>
    </row>
    <row r="5095" spans="13:20" x14ac:dyDescent="0.2">
      <c r="M5095" s="20"/>
      <c r="N5095" s="20"/>
      <c r="O5095" s="20"/>
      <c r="P5095" s="20"/>
      <c r="Q5095" s="20"/>
      <c r="R5095" s="20"/>
      <c r="S5095" s="20"/>
      <c r="T5095" s="20"/>
    </row>
    <row r="5096" spans="13:20" x14ac:dyDescent="0.2">
      <c r="M5096" s="20"/>
      <c r="N5096" s="20"/>
      <c r="O5096" s="20"/>
      <c r="P5096" s="20"/>
      <c r="Q5096" s="20"/>
      <c r="R5096" s="20"/>
      <c r="S5096" s="20"/>
      <c r="T5096" s="20"/>
    </row>
    <row r="5097" spans="13:20" x14ac:dyDescent="0.2">
      <c r="M5097" s="20"/>
      <c r="N5097" s="20"/>
      <c r="O5097" s="20"/>
      <c r="P5097" s="20"/>
      <c r="Q5097" s="20"/>
      <c r="R5097" s="20"/>
      <c r="S5097" s="20"/>
      <c r="T5097" s="20"/>
    </row>
    <row r="5098" spans="13:20" x14ac:dyDescent="0.2">
      <c r="M5098" s="20"/>
      <c r="N5098" s="20"/>
      <c r="O5098" s="20"/>
      <c r="P5098" s="20"/>
      <c r="Q5098" s="20"/>
      <c r="R5098" s="20"/>
      <c r="S5098" s="20"/>
      <c r="T5098" s="20"/>
    </row>
    <row r="5099" spans="13:20" x14ac:dyDescent="0.2">
      <c r="M5099" s="20"/>
      <c r="N5099" s="20"/>
      <c r="O5099" s="20"/>
      <c r="P5099" s="20"/>
      <c r="Q5099" s="20"/>
      <c r="R5099" s="20"/>
      <c r="S5099" s="20"/>
      <c r="T5099" s="20"/>
    </row>
    <row r="5100" spans="13:20" x14ac:dyDescent="0.2">
      <c r="M5100" s="20"/>
      <c r="N5100" s="20"/>
      <c r="O5100" s="20"/>
      <c r="P5100" s="20"/>
      <c r="Q5100" s="20"/>
      <c r="R5100" s="20"/>
      <c r="S5100" s="20"/>
      <c r="T5100" s="20"/>
    </row>
    <row r="5101" spans="13:20" x14ac:dyDescent="0.2">
      <c r="M5101" s="20"/>
      <c r="N5101" s="20"/>
      <c r="O5101" s="20"/>
      <c r="P5101" s="20"/>
      <c r="Q5101" s="20"/>
      <c r="R5101" s="20"/>
      <c r="S5101" s="20"/>
      <c r="T5101" s="20"/>
    </row>
    <row r="5102" spans="13:20" x14ac:dyDescent="0.2">
      <c r="M5102" s="20"/>
      <c r="N5102" s="20"/>
      <c r="O5102" s="20"/>
      <c r="P5102" s="20"/>
      <c r="Q5102" s="20"/>
      <c r="R5102" s="20"/>
      <c r="S5102" s="20"/>
      <c r="T5102" s="20"/>
    </row>
    <row r="5103" spans="13:20" x14ac:dyDescent="0.2">
      <c r="M5103" s="20"/>
      <c r="N5103" s="20"/>
      <c r="O5103" s="20"/>
      <c r="P5103" s="20"/>
      <c r="Q5103" s="20"/>
      <c r="R5103" s="20"/>
      <c r="S5103" s="20"/>
      <c r="T5103" s="20"/>
    </row>
    <row r="5104" spans="13:20" x14ac:dyDescent="0.2">
      <c r="M5104" s="20"/>
      <c r="N5104" s="20"/>
      <c r="O5104" s="20"/>
      <c r="P5104" s="20"/>
      <c r="Q5104" s="20"/>
      <c r="R5104" s="20"/>
      <c r="S5104" s="20"/>
      <c r="T5104" s="20"/>
    </row>
    <row r="5105" spans="13:20" x14ac:dyDescent="0.2">
      <c r="M5105" s="20"/>
      <c r="N5105" s="20"/>
      <c r="O5105" s="20"/>
      <c r="P5105" s="20"/>
      <c r="Q5105" s="20"/>
      <c r="R5105" s="20"/>
      <c r="S5105" s="20"/>
      <c r="T5105" s="20"/>
    </row>
    <row r="5106" spans="13:20" x14ac:dyDescent="0.2">
      <c r="M5106" s="20"/>
      <c r="N5106" s="20"/>
      <c r="O5106" s="20"/>
      <c r="P5106" s="20"/>
      <c r="Q5106" s="20"/>
      <c r="R5106" s="20"/>
      <c r="S5106" s="20"/>
      <c r="T5106" s="20"/>
    </row>
    <row r="5107" spans="13:20" x14ac:dyDescent="0.2">
      <c r="M5107" s="20"/>
      <c r="N5107" s="20"/>
      <c r="O5107" s="20"/>
      <c r="P5107" s="20"/>
      <c r="Q5107" s="20"/>
      <c r="R5107" s="20"/>
      <c r="S5107" s="20"/>
      <c r="T5107" s="20"/>
    </row>
    <row r="5108" spans="13:20" x14ac:dyDescent="0.2">
      <c r="M5108" s="20"/>
      <c r="N5108" s="20"/>
      <c r="O5108" s="20"/>
      <c r="P5108" s="20"/>
      <c r="Q5108" s="20"/>
      <c r="R5108" s="20"/>
      <c r="S5108" s="20"/>
      <c r="T5108" s="20"/>
    </row>
    <row r="5109" spans="13:20" x14ac:dyDescent="0.2">
      <c r="M5109" s="20"/>
      <c r="N5109" s="20"/>
      <c r="O5109" s="20"/>
      <c r="P5109" s="20"/>
      <c r="Q5109" s="20"/>
      <c r="R5109" s="20"/>
      <c r="S5109" s="20"/>
      <c r="T5109" s="20"/>
    </row>
    <row r="5110" spans="13:20" x14ac:dyDescent="0.2">
      <c r="M5110" s="20"/>
      <c r="N5110" s="20"/>
      <c r="O5110" s="20"/>
      <c r="P5110" s="20"/>
      <c r="Q5110" s="20"/>
      <c r="R5110" s="20"/>
      <c r="S5110" s="20"/>
      <c r="T5110" s="20"/>
    </row>
    <row r="5111" spans="13:20" x14ac:dyDescent="0.2">
      <c r="M5111" s="20"/>
      <c r="N5111" s="20"/>
      <c r="O5111" s="20"/>
      <c r="P5111" s="20"/>
      <c r="Q5111" s="20"/>
      <c r="R5111" s="20"/>
      <c r="S5111" s="20"/>
      <c r="T5111" s="20"/>
    </row>
    <row r="5112" spans="13:20" x14ac:dyDescent="0.2">
      <c r="M5112" s="20"/>
      <c r="N5112" s="20"/>
      <c r="O5112" s="20"/>
      <c r="P5112" s="20"/>
      <c r="Q5112" s="20"/>
      <c r="R5112" s="20"/>
      <c r="S5112" s="20"/>
      <c r="T5112" s="20"/>
    </row>
    <row r="5113" spans="13:20" x14ac:dyDescent="0.2">
      <c r="M5113" s="20"/>
      <c r="N5113" s="20"/>
      <c r="O5113" s="20"/>
      <c r="P5113" s="20"/>
      <c r="Q5113" s="20"/>
      <c r="R5113" s="20"/>
      <c r="S5113" s="20"/>
      <c r="T5113" s="20"/>
    </row>
    <row r="5114" spans="13:20" x14ac:dyDescent="0.2">
      <c r="M5114" s="20"/>
      <c r="N5114" s="20"/>
      <c r="O5114" s="20"/>
      <c r="P5114" s="20"/>
      <c r="Q5114" s="20"/>
      <c r="R5114" s="20"/>
      <c r="S5114" s="20"/>
      <c r="T5114" s="20"/>
    </row>
    <row r="5115" spans="13:20" x14ac:dyDescent="0.2">
      <c r="M5115" s="20"/>
      <c r="N5115" s="20"/>
      <c r="O5115" s="20"/>
      <c r="P5115" s="20"/>
      <c r="Q5115" s="20"/>
      <c r="R5115" s="20"/>
      <c r="S5115" s="20"/>
      <c r="T5115" s="20"/>
    </row>
    <row r="5116" spans="13:20" x14ac:dyDescent="0.2">
      <c r="M5116" s="20"/>
      <c r="N5116" s="20"/>
      <c r="O5116" s="20"/>
      <c r="P5116" s="20"/>
      <c r="Q5116" s="20"/>
      <c r="R5116" s="20"/>
      <c r="S5116" s="20"/>
      <c r="T5116" s="20"/>
    </row>
    <row r="5117" spans="13:20" x14ac:dyDescent="0.2">
      <c r="M5117" s="20"/>
      <c r="N5117" s="20"/>
      <c r="O5117" s="20"/>
      <c r="P5117" s="20"/>
      <c r="Q5117" s="20"/>
      <c r="R5117" s="20"/>
      <c r="S5117" s="20"/>
      <c r="T5117" s="20"/>
    </row>
    <row r="5118" spans="13:20" x14ac:dyDescent="0.2">
      <c r="M5118" s="20"/>
      <c r="N5118" s="20"/>
      <c r="O5118" s="20"/>
      <c r="P5118" s="20"/>
      <c r="Q5118" s="20"/>
      <c r="R5118" s="20"/>
      <c r="S5118" s="20"/>
      <c r="T5118" s="20"/>
    </row>
    <row r="5119" spans="13:20" x14ac:dyDescent="0.2">
      <c r="M5119" s="20"/>
      <c r="N5119" s="20"/>
      <c r="O5119" s="20"/>
      <c r="P5119" s="20"/>
      <c r="Q5119" s="20"/>
      <c r="R5119" s="20"/>
      <c r="S5119" s="20"/>
      <c r="T5119" s="20"/>
    </row>
    <row r="5120" spans="13:20" x14ac:dyDescent="0.2">
      <c r="M5120" s="20"/>
      <c r="N5120" s="20"/>
      <c r="O5120" s="20"/>
      <c r="P5120" s="20"/>
      <c r="Q5120" s="20"/>
      <c r="R5120" s="20"/>
      <c r="S5120" s="20"/>
      <c r="T5120" s="20"/>
    </row>
    <row r="5121" spans="13:20" x14ac:dyDescent="0.2">
      <c r="M5121" s="20"/>
      <c r="N5121" s="20"/>
      <c r="O5121" s="20"/>
      <c r="P5121" s="20"/>
      <c r="Q5121" s="20"/>
      <c r="R5121" s="20"/>
      <c r="S5121" s="20"/>
      <c r="T5121" s="20"/>
    </row>
    <row r="5122" spans="13:20" x14ac:dyDescent="0.2">
      <c r="M5122" s="20"/>
      <c r="N5122" s="20"/>
      <c r="O5122" s="20"/>
      <c r="P5122" s="20"/>
      <c r="Q5122" s="20"/>
      <c r="R5122" s="20"/>
      <c r="S5122" s="20"/>
      <c r="T5122" s="20"/>
    </row>
    <row r="5123" spans="13:20" x14ac:dyDescent="0.2">
      <c r="M5123" s="20"/>
      <c r="N5123" s="20"/>
      <c r="O5123" s="20"/>
      <c r="P5123" s="20"/>
      <c r="Q5123" s="20"/>
      <c r="R5123" s="20"/>
      <c r="S5123" s="20"/>
      <c r="T5123" s="20"/>
    </row>
    <row r="5124" spans="13:20" x14ac:dyDescent="0.2">
      <c r="M5124" s="20"/>
      <c r="N5124" s="20"/>
      <c r="O5124" s="20"/>
      <c r="P5124" s="20"/>
      <c r="Q5124" s="20"/>
      <c r="R5124" s="20"/>
      <c r="S5124" s="20"/>
      <c r="T5124" s="20"/>
    </row>
    <row r="5125" spans="13:20" x14ac:dyDescent="0.2">
      <c r="M5125" s="20"/>
      <c r="N5125" s="20"/>
      <c r="O5125" s="20"/>
      <c r="P5125" s="20"/>
      <c r="Q5125" s="20"/>
      <c r="R5125" s="20"/>
      <c r="S5125" s="20"/>
      <c r="T5125" s="20"/>
    </row>
    <row r="5126" spans="13:20" x14ac:dyDescent="0.2">
      <c r="M5126" s="20"/>
      <c r="N5126" s="20"/>
      <c r="O5126" s="20"/>
      <c r="P5126" s="20"/>
      <c r="Q5126" s="20"/>
      <c r="R5126" s="20"/>
      <c r="S5126" s="20"/>
      <c r="T5126" s="20"/>
    </row>
    <row r="5127" spans="13:20" x14ac:dyDescent="0.2">
      <c r="M5127" s="20"/>
      <c r="N5127" s="20"/>
      <c r="O5127" s="20"/>
      <c r="P5127" s="20"/>
      <c r="Q5127" s="20"/>
      <c r="R5127" s="20"/>
      <c r="S5127" s="20"/>
      <c r="T5127" s="20"/>
    </row>
    <row r="5128" spans="13:20" x14ac:dyDescent="0.2">
      <c r="M5128" s="20"/>
      <c r="N5128" s="20"/>
      <c r="O5128" s="20"/>
      <c r="P5128" s="20"/>
      <c r="Q5128" s="20"/>
      <c r="R5128" s="20"/>
      <c r="S5128" s="20"/>
      <c r="T5128" s="20"/>
    </row>
    <row r="5129" spans="13:20" x14ac:dyDescent="0.2">
      <c r="M5129" s="20"/>
      <c r="N5129" s="20"/>
      <c r="O5129" s="20"/>
      <c r="P5129" s="20"/>
      <c r="Q5129" s="20"/>
      <c r="R5129" s="20"/>
      <c r="S5129" s="20"/>
      <c r="T5129" s="20"/>
    </row>
    <row r="5130" spans="13:20" x14ac:dyDescent="0.2">
      <c r="M5130" s="20"/>
      <c r="N5130" s="20"/>
      <c r="O5130" s="20"/>
      <c r="P5130" s="20"/>
      <c r="Q5130" s="20"/>
      <c r="R5130" s="20"/>
      <c r="S5130" s="20"/>
      <c r="T5130" s="20"/>
    </row>
    <row r="5131" spans="13:20" x14ac:dyDescent="0.2">
      <c r="M5131" s="20"/>
      <c r="N5131" s="20"/>
      <c r="O5131" s="20"/>
      <c r="P5131" s="20"/>
      <c r="Q5131" s="20"/>
      <c r="R5131" s="20"/>
      <c r="S5131" s="20"/>
      <c r="T5131" s="20"/>
    </row>
    <row r="5132" spans="13:20" x14ac:dyDescent="0.2">
      <c r="M5132" s="20"/>
      <c r="N5132" s="20"/>
      <c r="O5132" s="20"/>
      <c r="P5132" s="20"/>
      <c r="Q5132" s="20"/>
      <c r="R5132" s="20"/>
      <c r="S5132" s="20"/>
      <c r="T5132" s="20"/>
    </row>
    <row r="5133" spans="13:20" x14ac:dyDescent="0.2">
      <c r="M5133" s="20"/>
      <c r="N5133" s="20"/>
      <c r="O5133" s="20"/>
      <c r="P5133" s="20"/>
      <c r="Q5133" s="20"/>
      <c r="R5133" s="20"/>
      <c r="S5133" s="20"/>
      <c r="T5133" s="20"/>
    </row>
    <row r="5134" spans="13:20" x14ac:dyDescent="0.2">
      <c r="M5134" s="20"/>
      <c r="N5134" s="20"/>
      <c r="O5134" s="20"/>
      <c r="P5134" s="20"/>
      <c r="Q5134" s="20"/>
      <c r="R5134" s="20"/>
      <c r="S5134" s="20"/>
      <c r="T5134" s="20"/>
    </row>
    <row r="5135" spans="13:20" x14ac:dyDescent="0.2">
      <c r="M5135" s="20"/>
      <c r="N5135" s="20"/>
      <c r="O5135" s="20"/>
      <c r="P5135" s="20"/>
      <c r="Q5135" s="20"/>
      <c r="R5135" s="20"/>
      <c r="S5135" s="20"/>
      <c r="T5135" s="20"/>
    </row>
    <row r="5136" spans="13:20" x14ac:dyDescent="0.2">
      <c r="M5136" s="20"/>
      <c r="N5136" s="20"/>
      <c r="O5136" s="20"/>
      <c r="P5136" s="20"/>
      <c r="Q5136" s="20"/>
      <c r="R5136" s="20"/>
      <c r="S5136" s="20"/>
      <c r="T5136" s="20"/>
    </row>
    <row r="5137" spans="13:20" x14ac:dyDescent="0.2">
      <c r="M5137" s="20"/>
      <c r="N5137" s="20"/>
      <c r="O5137" s="20"/>
      <c r="P5137" s="20"/>
      <c r="Q5137" s="20"/>
      <c r="R5137" s="20"/>
      <c r="S5137" s="20"/>
      <c r="T5137" s="20"/>
    </row>
    <row r="5138" spans="13:20" x14ac:dyDescent="0.2">
      <c r="M5138" s="20"/>
      <c r="N5138" s="20"/>
      <c r="O5138" s="20"/>
      <c r="P5138" s="20"/>
      <c r="Q5138" s="20"/>
      <c r="R5138" s="20"/>
      <c r="S5138" s="20"/>
      <c r="T5138" s="20"/>
    </row>
    <row r="5139" spans="13:20" x14ac:dyDescent="0.2">
      <c r="M5139" s="20"/>
      <c r="N5139" s="20"/>
      <c r="O5139" s="20"/>
      <c r="P5139" s="20"/>
      <c r="Q5139" s="20"/>
      <c r="R5139" s="20"/>
      <c r="S5139" s="20"/>
      <c r="T5139" s="20"/>
    </row>
    <row r="5140" spans="13:20" x14ac:dyDescent="0.2">
      <c r="M5140" s="20"/>
      <c r="N5140" s="20"/>
      <c r="O5140" s="20"/>
      <c r="P5140" s="20"/>
      <c r="Q5140" s="20"/>
      <c r="R5140" s="20"/>
      <c r="S5140" s="20"/>
      <c r="T5140" s="20"/>
    </row>
    <row r="5141" spans="13:20" x14ac:dyDescent="0.2">
      <c r="M5141" s="20"/>
      <c r="N5141" s="20"/>
      <c r="O5141" s="20"/>
      <c r="P5141" s="20"/>
      <c r="Q5141" s="20"/>
      <c r="R5141" s="20"/>
      <c r="S5141" s="20"/>
      <c r="T5141" s="20"/>
    </row>
    <row r="5142" spans="13:20" x14ac:dyDescent="0.2">
      <c r="M5142" s="20"/>
      <c r="N5142" s="20"/>
      <c r="O5142" s="20"/>
      <c r="P5142" s="20"/>
      <c r="Q5142" s="20"/>
      <c r="R5142" s="20"/>
      <c r="S5142" s="20"/>
      <c r="T5142" s="20"/>
    </row>
    <row r="5143" spans="13:20" x14ac:dyDescent="0.2">
      <c r="M5143" s="20"/>
      <c r="N5143" s="20"/>
      <c r="O5143" s="20"/>
      <c r="P5143" s="20"/>
      <c r="Q5143" s="20"/>
      <c r="R5143" s="20"/>
      <c r="S5143" s="20"/>
      <c r="T5143" s="20"/>
    </row>
    <row r="5144" spans="13:20" x14ac:dyDescent="0.2">
      <c r="M5144" s="20"/>
      <c r="N5144" s="20"/>
      <c r="O5144" s="20"/>
      <c r="P5144" s="20"/>
      <c r="Q5144" s="20"/>
      <c r="R5144" s="20"/>
      <c r="S5144" s="20"/>
      <c r="T5144" s="20"/>
    </row>
    <row r="5145" spans="13:20" x14ac:dyDescent="0.2">
      <c r="M5145" s="20"/>
      <c r="N5145" s="20"/>
      <c r="O5145" s="20"/>
      <c r="P5145" s="20"/>
      <c r="Q5145" s="20"/>
      <c r="R5145" s="20"/>
      <c r="S5145" s="20"/>
      <c r="T5145" s="20"/>
    </row>
    <row r="5146" spans="13:20" x14ac:dyDescent="0.2">
      <c r="M5146" s="20"/>
      <c r="N5146" s="20"/>
      <c r="O5146" s="20"/>
      <c r="P5146" s="20"/>
      <c r="Q5146" s="20"/>
      <c r="R5146" s="20"/>
      <c r="S5146" s="20"/>
      <c r="T5146" s="20"/>
    </row>
    <row r="5147" spans="13:20" x14ac:dyDescent="0.2">
      <c r="M5147" s="20"/>
      <c r="N5147" s="20"/>
      <c r="O5147" s="20"/>
      <c r="P5147" s="20"/>
      <c r="Q5147" s="20"/>
      <c r="R5147" s="20"/>
      <c r="S5147" s="20"/>
      <c r="T5147" s="20"/>
    </row>
    <row r="5148" spans="13:20" x14ac:dyDescent="0.2">
      <c r="M5148" s="20"/>
      <c r="N5148" s="20"/>
      <c r="O5148" s="20"/>
      <c r="P5148" s="20"/>
      <c r="Q5148" s="20"/>
      <c r="R5148" s="20"/>
      <c r="S5148" s="20"/>
      <c r="T5148" s="20"/>
    </row>
    <row r="5149" spans="13:20" x14ac:dyDescent="0.2">
      <c r="M5149" s="20"/>
      <c r="N5149" s="20"/>
      <c r="O5149" s="20"/>
      <c r="P5149" s="20"/>
      <c r="Q5149" s="20"/>
      <c r="R5149" s="20"/>
      <c r="S5149" s="20"/>
      <c r="T5149" s="20"/>
    </row>
    <row r="5150" spans="13:20" x14ac:dyDescent="0.2">
      <c r="M5150" s="20"/>
      <c r="N5150" s="20"/>
      <c r="O5150" s="20"/>
      <c r="P5150" s="20"/>
      <c r="Q5150" s="20"/>
      <c r="R5150" s="20"/>
      <c r="S5150" s="20"/>
      <c r="T5150" s="20"/>
    </row>
    <row r="5151" spans="13:20" x14ac:dyDescent="0.2">
      <c r="M5151" s="20"/>
      <c r="N5151" s="20"/>
      <c r="O5151" s="20"/>
      <c r="P5151" s="20"/>
      <c r="Q5151" s="20"/>
      <c r="R5151" s="20"/>
      <c r="S5151" s="20"/>
      <c r="T5151" s="20"/>
    </row>
    <row r="5152" spans="13:20" x14ac:dyDescent="0.2">
      <c r="M5152" s="20"/>
      <c r="N5152" s="20"/>
      <c r="O5152" s="20"/>
      <c r="P5152" s="20"/>
      <c r="Q5152" s="20"/>
      <c r="R5152" s="20"/>
      <c r="S5152" s="20"/>
      <c r="T5152" s="20"/>
    </row>
    <row r="5153" spans="13:20" x14ac:dyDescent="0.2">
      <c r="M5153" s="20"/>
      <c r="N5153" s="20"/>
      <c r="O5153" s="20"/>
      <c r="P5153" s="20"/>
      <c r="Q5153" s="20"/>
      <c r="R5153" s="20"/>
      <c r="S5153" s="20"/>
      <c r="T5153" s="20"/>
    </row>
    <row r="5154" spans="13:20" x14ac:dyDescent="0.2">
      <c r="M5154" s="20"/>
      <c r="N5154" s="20"/>
      <c r="O5154" s="20"/>
      <c r="P5154" s="20"/>
      <c r="Q5154" s="20"/>
      <c r="R5154" s="20"/>
      <c r="S5154" s="20"/>
      <c r="T5154" s="20"/>
    </row>
    <row r="5155" spans="13:20" x14ac:dyDescent="0.2">
      <c r="M5155" s="20"/>
      <c r="N5155" s="20"/>
      <c r="O5155" s="20"/>
      <c r="P5155" s="20"/>
      <c r="Q5155" s="20"/>
      <c r="R5155" s="20"/>
      <c r="S5155" s="20"/>
      <c r="T5155" s="20"/>
    </row>
    <row r="5156" spans="13:20" x14ac:dyDescent="0.2">
      <c r="M5156" s="20"/>
      <c r="N5156" s="20"/>
      <c r="O5156" s="20"/>
      <c r="P5156" s="20"/>
      <c r="Q5156" s="20"/>
      <c r="R5156" s="20"/>
      <c r="S5156" s="20"/>
      <c r="T5156" s="20"/>
    </row>
    <row r="5157" spans="13:20" x14ac:dyDescent="0.2">
      <c r="M5157" s="20"/>
      <c r="N5157" s="20"/>
      <c r="O5157" s="20"/>
      <c r="P5157" s="20"/>
      <c r="Q5157" s="20"/>
      <c r="R5157" s="20"/>
      <c r="S5157" s="20"/>
      <c r="T5157" s="20"/>
    </row>
    <row r="5158" spans="13:20" x14ac:dyDescent="0.2">
      <c r="M5158" s="20"/>
      <c r="N5158" s="20"/>
      <c r="O5158" s="20"/>
      <c r="P5158" s="20"/>
      <c r="Q5158" s="20"/>
      <c r="R5158" s="20"/>
      <c r="S5158" s="20"/>
      <c r="T5158" s="20"/>
    </row>
    <row r="5159" spans="13:20" x14ac:dyDescent="0.2">
      <c r="M5159" s="20"/>
      <c r="N5159" s="20"/>
      <c r="O5159" s="20"/>
      <c r="P5159" s="20"/>
      <c r="Q5159" s="20"/>
      <c r="R5159" s="20"/>
      <c r="S5159" s="20"/>
      <c r="T5159" s="20"/>
    </row>
    <row r="5160" spans="13:20" x14ac:dyDescent="0.2">
      <c r="M5160" s="20"/>
      <c r="N5160" s="20"/>
      <c r="O5160" s="20"/>
      <c r="P5160" s="20"/>
      <c r="Q5160" s="20"/>
      <c r="R5160" s="20"/>
      <c r="S5160" s="20"/>
      <c r="T5160" s="20"/>
    </row>
    <row r="5161" spans="13:20" x14ac:dyDescent="0.2">
      <c r="M5161" s="20"/>
      <c r="N5161" s="20"/>
      <c r="O5161" s="20"/>
      <c r="P5161" s="20"/>
      <c r="Q5161" s="20"/>
      <c r="R5161" s="20"/>
      <c r="S5161" s="20"/>
      <c r="T5161" s="20"/>
    </row>
    <row r="5162" spans="13:20" x14ac:dyDescent="0.2">
      <c r="M5162" s="20"/>
      <c r="N5162" s="20"/>
      <c r="O5162" s="20"/>
      <c r="P5162" s="20"/>
      <c r="Q5162" s="20"/>
      <c r="R5162" s="20"/>
      <c r="S5162" s="20"/>
      <c r="T5162" s="20"/>
    </row>
    <row r="5163" spans="13:20" x14ac:dyDescent="0.2">
      <c r="M5163" s="20"/>
      <c r="N5163" s="20"/>
      <c r="O5163" s="20"/>
      <c r="P5163" s="20"/>
      <c r="Q5163" s="20"/>
      <c r="R5163" s="20"/>
      <c r="S5163" s="20"/>
      <c r="T5163" s="20"/>
    </row>
    <row r="5164" spans="13:20" x14ac:dyDescent="0.2">
      <c r="M5164" s="20"/>
      <c r="N5164" s="20"/>
      <c r="O5164" s="20"/>
      <c r="P5164" s="20"/>
      <c r="Q5164" s="20"/>
      <c r="R5164" s="20"/>
      <c r="S5164" s="20"/>
      <c r="T5164" s="20"/>
    </row>
    <row r="5165" spans="13:20" x14ac:dyDescent="0.2">
      <c r="M5165" s="20"/>
      <c r="N5165" s="20"/>
      <c r="O5165" s="20"/>
      <c r="P5165" s="20"/>
      <c r="Q5165" s="20"/>
      <c r="R5165" s="20"/>
      <c r="S5165" s="20"/>
      <c r="T5165" s="20"/>
    </row>
    <row r="5166" spans="13:20" x14ac:dyDescent="0.2">
      <c r="M5166" s="20"/>
      <c r="N5166" s="20"/>
      <c r="O5166" s="20"/>
      <c r="P5166" s="20"/>
      <c r="Q5166" s="20"/>
      <c r="R5166" s="20"/>
      <c r="S5166" s="20"/>
      <c r="T5166" s="20"/>
    </row>
    <row r="5167" spans="13:20" x14ac:dyDescent="0.2">
      <c r="M5167" s="20"/>
      <c r="N5167" s="20"/>
      <c r="O5167" s="20"/>
      <c r="P5167" s="20"/>
      <c r="Q5167" s="20"/>
      <c r="R5167" s="20"/>
      <c r="S5167" s="20"/>
      <c r="T5167" s="20"/>
    </row>
    <row r="5168" spans="13:20" x14ac:dyDescent="0.2">
      <c r="M5168" s="20"/>
      <c r="N5168" s="20"/>
      <c r="O5168" s="20"/>
      <c r="P5168" s="20"/>
      <c r="Q5168" s="20"/>
      <c r="R5168" s="20"/>
      <c r="S5168" s="20"/>
      <c r="T5168" s="20"/>
    </row>
    <row r="5169" spans="13:20" x14ac:dyDescent="0.2">
      <c r="M5169" s="20"/>
      <c r="N5169" s="20"/>
      <c r="O5169" s="20"/>
      <c r="P5169" s="20"/>
      <c r="Q5169" s="20"/>
      <c r="R5169" s="20"/>
      <c r="S5169" s="20"/>
      <c r="T5169" s="20"/>
    </row>
    <row r="5170" spans="13:20" x14ac:dyDescent="0.2">
      <c r="M5170" s="20"/>
      <c r="N5170" s="20"/>
      <c r="O5170" s="20"/>
      <c r="P5170" s="20"/>
      <c r="Q5170" s="20"/>
      <c r="R5170" s="20"/>
      <c r="S5170" s="20"/>
      <c r="T5170" s="20"/>
    </row>
    <row r="5171" spans="13:20" x14ac:dyDescent="0.2">
      <c r="M5171" s="20"/>
      <c r="N5171" s="20"/>
      <c r="O5171" s="20"/>
      <c r="P5171" s="20"/>
      <c r="Q5171" s="20"/>
      <c r="R5171" s="20"/>
      <c r="S5171" s="20"/>
      <c r="T5171" s="20"/>
    </row>
    <row r="5172" spans="13:20" x14ac:dyDescent="0.2">
      <c r="M5172" s="20"/>
      <c r="N5172" s="20"/>
      <c r="O5172" s="20"/>
      <c r="P5172" s="20"/>
      <c r="Q5172" s="20"/>
      <c r="R5172" s="20"/>
      <c r="S5172" s="20"/>
      <c r="T5172" s="20"/>
    </row>
    <row r="5173" spans="13:20" x14ac:dyDescent="0.2">
      <c r="M5173" s="20"/>
      <c r="N5173" s="20"/>
      <c r="O5173" s="20"/>
      <c r="P5173" s="20"/>
      <c r="Q5173" s="20"/>
      <c r="R5173" s="20"/>
      <c r="S5173" s="20"/>
      <c r="T5173" s="20"/>
    </row>
    <row r="5174" spans="13:20" x14ac:dyDescent="0.2">
      <c r="M5174" s="20"/>
      <c r="N5174" s="20"/>
      <c r="O5174" s="20"/>
      <c r="P5174" s="20"/>
      <c r="Q5174" s="20"/>
      <c r="R5174" s="20"/>
      <c r="S5174" s="20"/>
      <c r="T5174" s="20"/>
    </row>
    <row r="5175" spans="13:20" x14ac:dyDescent="0.2">
      <c r="M5175" s="20"/>
      <c r="N5175" s="20"/>
      <c r="O5175" s="20"/>
      <c r="P5175" s="20"/>
      <c r="Q5175" s="20"/>
      <c r="R5175" s="20"/>
      <c r="S5175" s="20"/>
      <c r="T5175" s="20"/>
    </row>
    <row r="5176" spans="13:20" x14ac:dyDescent="0.2">
      <c r="M5176" s="20"/>
      <c r="N5176" s="20"/>
      <c r="O5176" s="20"/>
      <c r="P5176" s="20"/>
      <c r="Q5176" s="20"/>
      <c r="R5176" s="20"/>
      <c r="S5176" s="20"/>
      <c r="T5176" s="20"/>
    </row>
    <row r="5177" spans="13:20" x14ac:dyDescent="0.2">
      <c r="M5177" s="20"/>
      <c r="N5177" s="20"/>
      <c r="O5177" s="20"/>
      <c r="P5177" s="20"/>
      <c r="Q5177" s="20"/>
      <c r="R5177" s="20"/>
      <c r="S5177" s="20"/>
      <c r="T5177" s="20"/>
    </row>
    <row r="5178" spans="13:20" x14ac:dyDescent="0.2">
      <c r="M5178" s="20"/>
      <c r="N5178" s="20"/>
      <c r="O5178" s="20"/>
      <c r="P5178" s="20"/>
      <c r="Q5178" s="20"/>
      <c r="R5178" s="20"/>
      <c r="S5178" s="20"/>
      <c r="T5178" s="20"/>
    </row>
    <row r="5179" spans="13:20" x14ac:dyDescent="0.2">
      <c r="M5179" s="20"/>
      <c r="N5179" s="20"/>
      <c r="O5179" s="20"/>
      <c r="P5179" s="20"/>
      <c r="Q5179" s="20"/>
      <c r="R5179" s="20"/>
      <c r="S5179" s="20"/>
      <c r="T5179" s="20"/>
    </row>
    <row r="5180" spans="13:20" x14ac:dyDescent="0.2">
      <c r="M5180" s="20"/>
      <c r="N5180" s="20"/>
      <c r="O5180" s="20"/>
      <c r="P5180" s="20"/>
      <c r="Q5180" s="20"/>
      <c r="R5180" s="20"/>
      <c r="S5180" s="20"/>
      <c r="T5180" s="20"/>
    </row>
    <row r="5181" spans="13:20" x14ac:dyDescent="0.2">
      <c r="M5181" s="20"/>
      <c r="N5181" s="20"/>
      <c r="O5181" s="20"/>
      <c r="P5181" s="20"/>
      <c r="Q5181" s="20"/>
      <c r="R5181" s="20"/>
      <c r="S5181" s="20"/>
      <c r="T5181" s="20"/>
    </row>
    <row r="5182" spans="13:20" x14ac:dyDescent="0.2">
      <c r="M5182" s="20"/>
      <c r="N5182" s="20"/>
      <c r="O5182" s="20"/>
      <c r="P5182" s="20"/>
      <c r="Q5182" s="20"/>
      <c r="R5182" s="20"/>
      <c r="S5182" s="20"/>
      <c r="T5182" s="20"/>
    </row>
    <row r="5183" spans="13:20" x14ac:dyDescent="0.2">
      <c r="M5183" s="20"/>
      <c r="N5183" s="20"/>
      <c r="O5183" s="20"/>
      <c r="P5183" s="20"/>
      <c r="Q5183" s="20"/>
      <c r="R5183" s="20"/>
      <c r="S5183" s="20"/>
      <c r="T5183" s="20"/>
    </row>
    <row r="5184" spans="13:20" x14ac:dyDescent="0.2">
      <c r="M5184" s="20"/>
      <c r="N5184" s="20"/>
      <c r="O5184" s="20"/>
      <c r="P5184" s="20"/>
      <c r="Q5184" s="20"/>
      <c r="R5184" s="20"/>
      <c r="S5184" s="20"/>
      <c r="T5184" s="20"/>
    </row>
    <row r="5185" spans="13:20" x14ac:dyDescent="0.2">
      <c r="M5185" s="20"/>
      <c r="N5185" s="20"/>
      <c r="O5185" s="20"/>
      <c r="P5185" s="20"/>
      <c r="Q5185" s="20"/>
      <c r="R5185" s="20"/>
      <c r="S5185" s="20"/>
      <c r="T5185" s="20"/>
    </row>
    <row r="5186" spans="13:20" x14ac:dyDescent="0.2">
      <c r="M5186" s="20"/>
      <c r="N5186" s="20"/>
      <c r="O5186" s="20"/>
      <c r="P5186" s="20"/>
      <c r="Q5186" s="20"/>
      <c r="R5186" s="20"/>
      <c r="S5186" s="20"/>
      <c r="T5186" s="20"/>
    </row>
    <row r="5187" spans="13:20" x14ac:dyDescent="0.2">
      <c r="M5187" s="20"/>
      <c r="N5187" s="20"/>
      <c r="O5187" s="20"/>
      <c r="P5187" s="20"/>
      <c r="Q5187" s="20"/>
      <c r="R5187" s="20"/>
      <c r="S5187" s="20"/>
      <c r="T5187" s="20"/>
    </row>
    <row r="5188" spans="13:20" x14ac:dyDescent="0.2">
      <c r="M5188" s="20"/>
      <c r="N5188" s="20"/>
      <c r="O5188" s="20"/>
      <c r="P5188" s="20"/>
      <c r="Q5188" s="20"/>
      <c r="R5188" s="20"/>
      <c r="S5188" s="20"/>
      <c r="T5188" s="20"/>
    </row>
    <row r="5189" spans="13:20" x14ac:dyDescent="0.2">
      <c r="M5189" s="20"/>
      <c r="N5189" s="20"/>
      <c r="O5189" s="20"/>
      <c r="P5189" s="20"/>
      <c r="Q5189" s="20"/>
      <c r="R5189" s="20"/>
      <c r="S5189" s="20"/>
      <c r="T5189" s="20"/>
    </row>
    <row r="5190" spans="13:20" x14ac:dyDescent="0.2">
      <c r="M5190" s="20"/>
      <c r="N5190" s="20"/>
      <c r="O5190" s="20"/>
      <c r="P5190" s="20"/>
      <c r="Q5190" s="20"/>
      <c r="R5190" s="20"/>
      <c r="S5190" s="20"/>
      <c r="T5190" s="20"/>
    </row>
    <row r="5191" spans="13:20" x14ac:dyDescent="0.2">
      <c r="M5191" s="20"/>
      <c r="N5191" s="20"/>
      <c r="O5191" s="20"/>
      <c r="P5191" s="20"/>
      <c r="Q5191" s="20"/>
      <c r="R5191" s="20"/>
      <c r="S5191" s="20"/>
      <c r="T5191" s="20"/>
    </row>
    <row r="5192" spans="13:20" x14ac:dyDescent="0.2">
      <c r="M5192" s="20"/>
      <c r="N5192" s="20"/>
      <c r="O5192" s="20"/>
      <c r="P5192" s="20"/>
      <c r="Q5192" s="20"/>
      <c r="R5192" s="20"/>
      <c r="S5192" s="20"/>
      <c r="T5192" s="20"/>
    </row>
    <row r="5193" spans="13:20" x14ac:dyDescent="0.2">
      <c r="M5193" s="20"/>
      <c r="N5193" s="20"/>
      <c r="O5193" s="20"/>
      <c r="P5193" s="20"/>
      <c r="Q5193" s="20"/>
      <c r="R5193" s="20"/>
      <c r="S5193" s="20"/>
      <c r="T5193" s="20"/>
    </row>
    <row r="5194" spans="13:20" x14ac:dyDescent="0.2">
      <c r="M5194" s="20"/>
      <c r="N5194" s="20"/>
      <c r="O5194" s="20"/>
      <c r="P5194" s="20"/>
      <c r="Q5194" s="20"/>
      <c r="R5194" s="20"/>
      <c r="S5194" s="20"/>
      <c r="T5194" s="20"/>
    </row>
    <row r="5195" spans="13:20" x14ac:dyDescent="0.2">
      <c r="M5195" s="20"/>
      <c r="N5195" s="20"/>
      <c r="O5195" s="20"/>
      <c r="P5195" s="20"/>
      <c r="Q5195" s="20"/>
      <c r="R5195" s="20"/>
      <c r="S5195" s="20"/>
      <c r="T5195" s="20"/>
    </row>
    <row r="5196" spans="13:20" x14ac:dyDescent="0.2">
      <c r="M5196" s="20"/>
      <c r="N5196" s="20"/>
      <c r="O5196" s="20"/>
      <c r="P5196" s="20"/>
      <c r="Q5196" s="20"/>
      <c r="R5196" s="20"/>
      <c r="S5196" s="20"/>
      <c r="T5196" s="20"/>
    </row>
    <row r="5197" spans="13:20" x14ac:dyDescent="0.2">
      <c r="M5197" s="20"/>
      <c r="N5197" s="20"/>
      <c r="O5197" s="20"/>
      <c r="P5197" s="20"/>
      <c r="Q5197" s="20"/>
      <c r="R5197" s="20"/>
      <c r="S5197" s="20"/>
      <c r="T5197" s="20"/>
    </row>
    <row r="5198" spans="13:20" x14ac:dyDescent="0.2">
      <c r="M5198" s="20"/>
      <c r="N5198" s="20"/>
      <c r="O5198" s="20"/>
      <c r="P5198" s="20"/>
      <c r="Q5198" s="20"/>
      <c r="R5198" s="20"/>
      <c r="S5198" s="20"/>
      <c r="T5198" s="20"/>
    </row>
    <row r="5199" spans="13:20" x14ac:dyDescent="0.2">
      <c r="M5199" s="20"/>
      <c r="N5199" s="20"/>
      <c r="O5199" s="20"/>
      <c r="P5199" s="20"/>
      <c r="Q5199" s="20"/>
      <c r="R5199" s="20"/>
      <c r="S5199" s="20"/>
      <c r="T5199" s="20"/>
    </row>
    <row r="5200" spans="13:20" x14ac:dyDescent="0.2">
      <c r="M5200" s="20"/>
      <c r="N5200" s="20"/>
      <c r="O5200" s="20"/>
      <c r="P5200" s="20"/>
      <c r="Q5200" s="20"/>
      <c r="R5200" s="20"/>
      <c r="S5200" s="20"/>
      <c r="T5200" s="20"/>
    </row>
    <row r="5201" spans="13:20" x14ac:dyDescent="0.2">
      <c r="M5201" s="20"/>
      <c r="N5201" s="20"/>
      <c r="O5201" s="20"/>
      <c r="P5201" s="20"/>
      <c r="Q5201" s="20"/>
      <c r="R5201" s="20"/>
      <c r="S5201" s="20"/>
      <c r="T5201" s="20"/>
    </row>
    <row r="5202" spans="13:20" x14ac:dyDescent="0.2">
      <c r="M5202" s="20"/>
      <c r="N5202" s="20"/>
      <c r="O5202" s="20"/>
      <c r="P5202" s="20"/>
      <c r="Q5202" s="20"/>
      <c r="R5202" s="20"/>
      <c r="S5202" s="20"/>
      <c r="T5202" s="20"/>
    </row>
    <row r="5203" spans="13:20" x14ac:dyDescent="0.2">
      <c r="M5203" s="20"/>
      <c r="N5203" s="20"/>
      <c r="O5203" s="20"/>
      <c r="P5203" s="20"/>
      <c r="Q5203" s="20"/>
      <c r="R5203" s="20"/>
      <c r="S5203" s="20"/>
      <c r="T5203" s="20"/>
    </row>
    <row r="5204" spans="13:20" x14ac:dyDescent="0.2">
      <c r="M5204" s="20"/>
      <c r="N5204" s="20"/>
      <c r="O5204" s="20"/>
      <c r="P5204" s="20"/>
      <c r="Q5204" s="20"/>
      <c r="R5204" s="20"/>
      <c r="S5204" s="20"/>
      <c r="T5204" s="20"/>
    </row>
    <row r="5205" spans="13:20" x14ac:dyDescent="0.2">
      <c r="M5205" s="20"/>
      <c r="N5205" s="20"/>
      <c r="O5205" s="20"/>
      <c r="P5205" s="20"/>
      <c r="Q5205" s="20"/>
      <c r="R5205" s="20"/>
      <c r="S5205" s="20"/>
      <c r="T5205" s="20"/>
    </row>
    <row r="5206" spans="13:20" x14ac:dyDescent="0.2">
      <c r="M5206" s="20"/>
      <c r="N5206" s="20"/>
      <c r="O5206" s="20"/>
      <c r="P5206" s="20"/>
      <c r="Q5206" s="20"/>
      <c r="R5206" s="20"/>
      <c r="S5206" s="20"/>
      <c r="T5206" s="20"/>
    </row>
    <row r="5207" spans="13:20" x14ac:dyDescent="0.2">
      <c r="M5207" s="20"/>
      <c r="N5207" s="20"/>
      <c r="O5207" s="20"/>
      <c r="P5207" s="20"/>
      <c r="Q5207" s="20"/>
      <c r="R5207" s="20"/>
      <c r="S5207" s="20"/>
      <c r="T5207" s="20"/>
    </row>
    <row r="5208" spans="13:20" x14ac:dyDescent="0.2">
      <c r="M5208" s="20"/>
      <c r="N5208" s="20"/>
      <c r="O5208" s="20"/>
      <c r="P5208" s="20"/>
      <c r="Q5208" s="20"/>
      <c r="R5208" s="20"/>
      <c r="S5208" s="20"/>
      <c r="T5208" s="20"/>
    </row>
    <row r="5209" spans="13:20" x14ac:dyDescent="0.2">
      <c r="M5209" s="20"/>
      <c r="N5209" s="20"/>
      <c r="O5209" s="20"/>
      <c r="P5209" s="20"/>
      <c r="Q5209" s="20"/>
      <c r="R5209" s="20"/>
      <c r="S5209" s="20"/>
      <c r="T5209" s="20"/>
    </row>
    <row r="5210" spans="13:20" x14ac:dyDescent="0.2">
      <c r="M5210" s="20"/>
      <c r="N5210" s="20"/>
      <c r="O5210" s="20"/>
      <c r="P5210" s="20"/>
      <c r="Q5210" s="20"/>
      <c r="R5210" s="20"/>
      <c r="S5210" s="20"/>
      <c r="T5210" s="20"/>
    </row>
    <row r="5211" spans="13:20" x14ac:dyDescent="0.2">
      <c r="M5211" s="20"/>
      <c r="N5211" s="20"/>
      <c r="O5211" s="20"/>
      <c r="P5211" s="20"/>
      <c r="Q5211" s="20"/>
      <c r="R5211" s="20"/>
      <c r="S5211" s="20"/>
      <c r="T5211" s="20"/>
    </row>
    <row r="5212" spans="13:20" x14ac:dyDescent="0.2">
      <c r="M5212" s="20"/>
      <c r="N5212" s="20"/>
      <c r="O5212" s="20"/>
      <c r="P5212" s="20"/>
      <c r="Q5212" s="20"/>
      <c r="R5212" s="20"/>
      <c r="S5212" s="20"/>
      <c r="T5212" s="20"/>
    </row>
    <row r="5213" spans="13:20" x14ac:dyDescent="0.2">
      <c r="M5213" s="20"/>
      <c r="N5213" s="20"/>
      <c r="O5213" s="20"/>
      <c r="P5213" s="20"/>
      <c r="Q5213" s="20"/>
      <c r="R5213" s="20"/>
      <c r="S5213" s="20"/>
      <c r="T5213" s="20"/>
    </row>
    <row r="5214" spans="13:20" x14ac:dyDescent="0.2">
      <c r="M5214" s="20"/>
      <c r="N5214" s="20"/>
      <c r="O5214" s="20"/>
      <c r="P5214" s="20"/>
      <c r="Q5214" s="20"/>
      <c r="R5214" s="20"/>
      <c r="S5214" s="20"/>
      <c r="T5214" s="20"/>
    </row>
    <row r="5215" spans="13:20" x14ac:dyDescent="0.2">
      <c r="M5215" s="20"/>
      <c r="N5215" s="20"/>
      <c r="O5215" s="20"/>
      <c r="P5215" s="20"/>
      <c r="Q5215" s="20"/>
      <c r="R5215" s="20"/>
      <c r="S5215" s="20"/>
      <c r="T5215" s="20"/>
    </row>
    <row r="5216" spans="13:20" x14ac:dyDescent="0.2">
      <c r="M5216" s="20"/>
      <c r="N5216" s="20"/>
      <c r="O5216" s="20"/>
      <c r="P5216" s="20"/>
      <c r="Q5216" s="20"/>
      <c r="R5216" s="20"/>
      <c r="S5216" s="20"/>
      <c r="T5216" s="20"/>
    </row>
    <row r="5217" spans="13:20" x14ac:dyDescent="0.2">
      <c r="M5217" s="20"/>
      <c r="N5217" s="20"/>
      <c r="O5217" s="20"/>
      <c r="P5217" s="20"/>
      <c r="Q5217" s="20"/>
      <c r="R5217" s="20"/>
      <c r="S5217" s="20"/>
      <c r="T5217" s="20"/>
    </row>
    <row r="5218" spans="13:20" x14ac:dyDescent="0.2">
      <c r="M5218" s="20"/>
      <c r="N5218" s="20"/>
      <c r="O5218" s="20"/>
      <c r="P5218" s="20"/>
      <c r="Q5218" s="20"/>
      <c r="R5218" s="20"/>
      <c r="S5218" s="20"/>
      <c r="T5218" s="20"/>
    </row>
    <row r="5219" spans="13:20" x14ac:dyDescent="0.2">
      <c r="M5219" s="20"/>
      <c r="N5219" s="20"/>
      <c r="O5219" s="20"/>
      <c r="P5219" s="20"/>
      <c r="Q5219" s="20"/>
      <c r="R5219" s="20"/>
      <c r="S5219" s="20"/>
      <c r="T5219" s="20"/>
    </row>
    <row r="5220" spans="13:20" x14ac:dyDescent="0.2">
      <c r="M5220" s="20"/>
      <c r="N5220" s="20"/>
      <c r="O5220" s="20"/>
      <c r="P5220" s="20"/>
      <c r="Q5220" s="20"/>
      <c r="R5220" s="20"/>
      <c r="S5220" s="20"/>
      <c r="T5220" s="20"/>
    </row>
    <row r="5221" spans="13:20" x14ac:dyDescent="0.2">
      <c r="M5221" s="20"/>
      <c r="N5221" s="20"/>
      <c r="O5221" s="20"/>
      <c r="P5221" s="20"/>
      <c r="Q5221" s="20"/>
      <c r="R5221" s="20"/>
      <c r="S5221" s="20"/>
      <c r="T5221" s="20"/>
    </row>
    <row r="5222" spans="13:20" x14ac:dyDescent="0.2">
      <c r="M5222" s="20"/>
      <c r="N5222" s="20"/>
      <c r="O5222" s="20"/>
      <c r="P5222" s="20"/>
      <c r="Q5222" s="20"/>
      <c r="R5222" s="20"/>
      <c r="S5222" s="20"/>
      <c r="T5222" s="20"/>
    </row>
    <row r="5223" spans="13:20" x14ac:dyDescent="0.2">
      <c r="M5223" s="20"/>
      <c r="N5223" s="20"/>
      <c r="O5223" s="20"/>
      <c r="P5223" s="20"/>
      <c r="Q5223" s="20"/>
      <c r="R5223" s="20"/>
      <c r="S5223" s="20"/>
      <c r="T5223" s="20"/>
    </row>
    <row r="5224" spans="13:20" x14ac:dyDescent="0.2">
      <c r="M5224" s="20"/>
      <c r="N5224" s="20"/>
      <c r="O5224" s="20"/>
      <c r="P5224" s="20"/>
      <c r="Q5224" s="20"/>
      <c r="R5224" s="20"/>
      <c r="S5224" s="20"/>
      <c r="T5224" s="20"/>
    </row>
    <row r="5225" spans="13:20" x14ac:dyDescent="0.2">
      <c r="M5225" s="20"/>
      <c r="N5225" s="20"/>
      <c r="O5225" s="20"/>
      <c r="P5225" s="20"/>
      <c r="Q5225" s="20"/>
      <c r="R5225" s="20"/>
      <c r="S5225" s="20"/>
      <c r="T5225" s="20"/>
    </row>
    <row r="5226" spans="13:20" x14ac:dyDescent="0.2">
      <c r="M5226" s="20"/>
      <c r="N5226" s="20"/>
      <c r="O5226" s="20"/>
      <c r="P5226" s="20"/>
      <c r="Q5226" s="20"/>
      <c r="R5226" s="20"/>
      <c r="S5226" s="20"/>
      <c r="T5226" s="20"/>
    </row>
    <row r="5227" spans="13:20" x14ac:dyDescent="0.2">
      <c r="M5227" s="20"/>
      <c r="N5227" s="20"/>
      <c r="O5227" s="20"/>
      <c r="P5227" s="20"/>
      <c r="Q5227" s="20"/>
      <c r="R5227" s="20"/>
      <c r="S5227" s="20"/>
      <c r="T5227" s="20"/>
    </row>
    <row r="5228" spans="13:20" x14ac:dyDescent="0.2">
      <c r="M5228" s="20"/>
      <c r="N5228" s="20"/>
      <c r="O5228" s="20"/>
      <c r="P5228" s="20"/>
      <c r="Q5228" s="20"/>
      <c r="R5228" s="20"/>
      <c r="S5228" s="20"/>
      <c r="T5228" s="20"/>
    </row>
    <row r="5229" spans="13:20" x14ac:dyDescent="0.2">
      <c r="M5229" s="20"/>
      <c r="N5229" s="20"/>
      <c r="O5229" s="20"/>
      <c r="P5229" s="20"/>
      <c r="Q5229" s="20"/>
      <c r="R5229" s="20"/>
      <c r="S5229" s="20"/>
      <c r="T5229" s="20"/>
    </row>
    <row r="5230" spans="13:20" x14ac:dyDescent="0.2">
      <c r="M5230" s="20"/>
      <c r="N5230" s="20"/>
      <c r="O5230" s="20"/>
      <c r="P5230" s="20"/>
      <c r="Q5230" s="20"/>
      <c r="R5230" s="20"/>
      <c r="S5230" s="20"/>
      <c r="T5230" s="20"/>
    </row>
    <row r="5231" spans="13:20" x14ac:dyDescent="0.2">
      <c r="M5231" s="20"/>
      <c r="N5231" s="20"/>
      <c r="O5231" s="20"/>
      <c r="P5231" s="20"/>
      <c r="Q5231" s="20"/>
      <c r="R5231" s="20"/>
      <c r="S5231" s="20"/>
      <c r="T5231" s="20"/>
    </row>
    <row r="5232" spans="13:20" x14ac:dyDescent="0.2">
      <c r="M5232" s="20"/>
      <c r="N5232" s="20"/>
      <c r="O5232" s="20"/>
      <c r="P5232" s="20"/>
      <c r="Q5232" s="20"/>
      <c r="R5232" s="20"/>
      <c r="S5232" s="20"/>
      <c r="T5232" s="20"/>
    </row>
    <row r="5233" spans="13:20" x14ac:dyDescent="0.2">
      <c r="M5233" s="20"/>
      <c r="N5233" s="20"/>
      <c r="O5233" s="20"/>
      <c r="P5233" s="20"/>
      <c r="Q5233" s="20"/>
      <c r="R5233" s="20"/>
      <c r="S5233" s="20"/>
      <c r="T5233" s="20"/>
    </row>
    <row r="5234" spans="13:20" x14ac:dyDescent="0.2">
      <c r="M5234" s="20"/>
      <c r="N5234" s="20"/>
      <c r="O5234" s="20"/>
      <c r="P5234" s="20"/>
      <c r="Q5234" s="20"/>
      <c r="R5234" s="20"/>
      <c r="S5234" s="20"/>
      <c r="T5234" s="20"/>
    </row>
    <row r="5235" spans="13:20" x14ac:dyDescent="0.2">
      <c r="M5235" s="20"/>
      <c r="N5235" s="20"/>
      <c r="O5235" s="20"/>
      <c r="P5235" s="20"/>
      <c r="Q5235" s="20"/>
      <c r="R5235" s="20"/>
      <c r="S5235" s="20"/>
      <c r="T5235" s="20"/>
    </row>
    <row r="5236" spans="13:20" x14ac:dyDescent="0.2">
      <c r="M5236" s="20"/>
      <c r="N5236" s="20"/>
      <c r="O5236" s="20"/>
      <c r="P5236" s="20"/>
      <c r="Q5236" s="20"/>
      <c r="R5236" s="20"/>
      <c r="S5236" s="20"/>
      <c r="T5236" s="20"/>
    </row>
    <row r="5237" spans="13:20" x14ac:dyDescent="0.2">
      <c r="M5237" s="20"/>
      <c r="N5237" s="20"/>
      <c r="O5237" s="20"/>
      <c r="P5237" s="20"/>
      <c r="Q5237" s="20"/>
      <c r="R5237" s="20"/>
      <c r="S5237" s="20"/>
      <c r="T5237" s="20"/>
    </row>
    <row r="5238" spans="13:20" x14ac:dyDescent="0.2">
      <c r="M5238" s="20"/>
      <c r="N5238" s="20"/>
      <c r="O5238" s="20"/>
      <c r="P5238" s="20"/>
      <c r="Q5238" s="20"/>
      <c r="R5238" s="20"/>
      <c r="S5238" s="20"/>
      <c r="T5238" s="20"/>
    </row>
    <row r="5239" spans="13:20" x14ac:dyDescent="0.2">
      <c r="M5239" s="20"/>
      <c r="N5239" s="20"/>
      <c r="O5239" s="20"/>
      <c r="P5239" s="20"/>
      <c r="Q5239" s="20"/>
      <c r="R5239" s="20"/>
      <c r="S5239" s="20"/>
      <c r="T5239" s="20"/>
    </row>
    <row r="5240" spans="13:20" x14ac:dyDescent="0.2">
      <c r="M5240" s="20"/>
      <c r="N5240" s="20"/>
      <c r="O5240" s="20"/>
      <c r="P5240" s="20"/>
      <c r="Q5240" s="20"/>
      <c r="R5240" s="20"/>
      <c r="S5240" s="20"/>
      <c r="T5240" s="20"/>
    </row>
    <row r="5241" spans="13:20" x14ac:dyDescent="0.2">
      <c r="M5241" s="20"/>
      <c r="N5241" s="20"/>
      <c r="O5241" s="20"/>
      <c r="P5241" s="20"/>
      <c r="Q5241" s="20"/>
      <c r="R5241" s="20"/>
      <c r="S5241" s="20"/>
      <c r="T5241" s="20"/>
    </row>
    <row r="5242" spans="13:20" x14ac:dyDescent="0.2">
      <c r="M5242" s="20"/>
      <c r="N5242" s="20"/>
      <c r="O5242" s="20"/>
      <c r="P5242" s="20"/>
      <c r="Q5242" s="20"/>
      <c r="R5242" s="20"/>
      <c r="S5242" s="20"/>
      <c r="T5242" s="20"/>
    </row>
    <row r="5243" spans="13:20" x14ac:dyDescent="0.2">
      <c r="M5243" s="20"/>
      <c r="N5243" s="20"/>
      <c r="O5243" s="20"/>
      <c r="P5243" s="20"/>
      <c r="Q5243" s="20"/>
      <c r="R5243" s="20"/>
      <c r="S5243" s="20"/>
      <c r="T5243" s="20"/>
    </row>
    <row r="5244" spans="13:20" x14ac:dyDescent="0.2">
      <c r="M5244" s="20"/>
      <c r="N5244" s="20"/>
      <c r="O5244" s="20"/>
      <c r="P5244" s="20"/>
      <c r="Q5244" s="20"/>
      <c r="R5244" s="20"/>
      <c r="S5244" s="20"/>
      <c r="T5244" s="20"/>
    </row>
    <row r="5245" spans="13:20" x14ac:dyDescent="0.2">
      <c r="M5245" s="20"/>
      <c r="N5245" s="20"/>
      <c r="O5245" s="20"/>
      <c r="P5245" s="20"/>
      <c r="Q5245" s="20"/>
      <c r="R5245" s="20"/>
      <c r="S5245" s="20"/>
      <c r="T5245" s="20"/>
    </row>
    <row r="5246" spans="13:20" x14ac:dyDescent="0.2">
      <c r="M5246" s="20"/>
      <c r="N5246" s="20"/>
      <c r="O5246" s="20"/>
      <c r="P5246" s="20"/>
      <c r="Q5246" s="20"/>
      <c r="R5246" s="20"/>
      <c r="S5246" s="20"/>
      <c r="T5246" s="20"/>
    </row>
    <row r="5247" spans="13:20" x14ac:dyDescent="0.2">
      <c r="M5247" s="20"/>
      <c r="N5247" s="20"/>
      <c r="O5247" s="20"/>
      <c r="P5247" s="20"/>
      <c r="Q5247" s="20"/>
      <c r="R5247" s="20"/>
      <c r="S5247" s="20"/>
      <c r="T5247" s="20"/>
    </row>
    <row r="5248" spans="13:20" x14ac:dyDescent="0.2">
      <c r="M5248" s="20"/>
      <c r="N5248" s="20"/>
      <c r="O5248" s="20"/>
      <c r="P5248" s="20"/>
      <c r="Q5248" s="20"/>
      <c r="R5248" s="20"/>
      <c r="S5248" s="20"/>
      <c r="T5248" s="20"/>
    </row>
    <row r="5249" spans="13:20" x14ac:dyDescent="0.2">
      <c r="M5249" s="20"/>
      <c r="N5249" s="20"/>
      <c r="O5249" s="20"/>
      <c r="P5249" s="20"/>
      <c r="Q5249" s="20"/>
      <c r="R5249" s="20"/>
      <c r="S5249" s="20"/>
      <c r="T5249" s="20"/>
    </row>
    <row r="5250" spans="13:20" x14ac:dyDescent="0.2">
      <c r="M5250" s="20"/>
      <c r="N5250" s="20"/>
      <c r="O5250" s="20"/>
      <c r="P5250" s="20"/>
      <c r="Q5250" s="20"/>
      <c r="R5250" s="20"/>
      <c r="S5250" s="20"/>
      <c r="T5250" s="20"/>
    </row>
    <row r="5251" spans="13:20" x14ac:dyDescent="0.2">
      <c r="M5251" s="20"/>
      <c r="N5251" s="20"/>
      <c r="O5251" s="20"/>
      <c r="P5251" s="20"/>
      <c r="Q5251" s="20"/>
      <c r="R5251" s="20"/>
      <c r="S5251" s="20"/>
      <c r="T5251" s="20"/>
    </row>
    <row r="5252" spans="13:20" x14ac:dyDescent="0.2">
      <c r="M5252" s="20"/>
      <c r="N5252" s="20"/>
      <c r="O5252" s="20"/>
      <c r="P5252" s="20"/>
      <c r="Q5252" s="20"/>
      <c r="R5252" s="20"/>
      <c r="S5252" s="20"/>
      <c r="T5252" s="20"/>
    </row>
    <row r="5253" spans="13:20" x14ac:dyDescent="0.2">
      <c r="M5253" s="20"/>
      <c r="N5253" s="20"/>
      <c r="O5253" s="20"/>
      <c r="P5253" s="20"/>
      <c r="Q5253" s="20"/>
      <c r="R5253" s="20"/>
      <c r="S5253" s="20"/>
      <c r="T5253" s="20"/>
    </row>
    <row r="5254" spans="13:20" x14ac:dyDescent="0.2">
      <c r="M5254" s="20"/>
      <c r="N5254" s="20"/>
      <c r="O5254" s="20"/>
      <c r="P5254" s="20"/>
      <c r="Q5254" s="20"/>
      <c r="R5254" s="20"/>
      <c r="S5254" s="20"/>
      <c r="T5254" s="20"/>
    </row>
    <row r="5255" spans="13:20" x14ac:dyDescent="0.2">
      <c r="M5255" s="20"/>
      <c r="N5255" s="20"/>
      <c r="O5255" s="20"/>
      <c r="P5255" s="20"/>
      <c r="Q5255" s="20"/>
      <c r="R5255" s="20"/>
      <c r="S5255" s="20"/>
      <c r="T5255" s="20"/>
    </row>
    <row r="5256" spans="13:20" x14ac:dyDescent="0.2">
      <c r="M5256" s="20"/>
      <c r="N5256" s="20"/>
      <c r="O5256" s="20"/>
      <c r="P5256" s="20"/>
      <c r="Q5256" s="20"/>
      <c r="R5256" s="20"/>
      <c r="S5256" s="20"/>
      <c r="T5256" s="20"/>
    </row>
    <row r="5257" spans="13:20" x14ac:dyDescent="0.2">
      <c r="M5257" s="20"/>
      <c r="N5257" s="20"/>
      <c r="O5257" s="20"/>
      <c r="P5257" s="20"/>
      <c r="Q5257" s="20"/>
      <c r="R5257" s="20"/>
      <c r="S5257" s="20"/>
      <c r="T5257" s="20"/>
    </row>
    <row r="5258" spans="13:20" x14ac:dyDescent="0.2">
      <c r="M5258" s="20"/>
      <c r="N5258" s="20"/>
      <c r="O5258" s="20"/>
      <c r="P5258" s="20"/>
      <c r="Q5258" s="20"/>
      <c r="R5258" s="20"/>
      <c r="S5258" s="20"/>
      <c r="T5258" s="20"/>
    </row>
    <row r="5259" spans="13:20" x14ac:dyDescent="0.2">
      <c r="M5259" s="20"/>
      <c r="N5259" s="20"/>
      <c r="O5259" s="20"/>
      <c r="P5259" s="20"/>
      <c r="Q5259" s="20"/>
      <c r="R5259" s="20"/>
      <c r="S5259" s="20"/>
      <c r="T5259" s="20"/>
    </row>
    <row r="5260" spans="13:20" x14ac:dyDescent="0.2">
      <c r="M5260" s="20"/>
      <c r="N5260" s="20"/>
      <c r="O5260" s="20"/>
      <c r="P5260" s="20"/>
      <c r="Q5260" s="20"/>
      <c r="R5260" s="20"/>
      <c r="S5260" s="20"/>
      <c r="T5260" s="20"/>
    </row>
    <row r="5261" spans="13:20" x14ac:dyDescent="0.2">
      <c r="M5261" s="20"/>
      <c r="N5261" s="20"/>
      <c r="O5261" s="20"/>
      <c r="P5261" s="20"/>
      <c r="Q5261" s="20"/>
      <c r="R5261" s="20"/>
      <c r="S5261" s="20"/>
      <c r="T5261" s="20"/>
    </row>
    <row r="5262" spans="13:20" x14ac:dyDescent="0.2">
      <c r="M5262" s="20"/>
      <c r="N5262" s="20"/>
      <c r="O5262" s="20"/>
      <c r="P5262" s="20"/>
      <c r="Q5262" s="20"/>
      <c r="R5262" s="20"/>
      <c r="S5262" s="20"/>
      <c r="T5262" s="20"/>
    </row>
    <row r="5263" spans="13:20" x14ac:dyDescent="0.2">
      <c r="M5263" s="20"/>
      <c r="N5263" s="20"/>
      <c r="O5263" s="20"/>
      <c r="P5263" s="20"/>
      <c r="Q5263" s="20"/>
      <c r="R5263" s="20"/>
      <c r="S5263" s="20"/>
      <c r="T5263" s="20"/>
    </row>
    <row r="5264" spans="13:20" x14ac:dyDescent="0.2">
      <c r="M5264" s="20"/>
      <c r="N5264" s="20"/>
      <c r="O5264" s="20"/>
      <c r="P5264" s="20"/>
      <c r="Q5264" s="20"/>
      <c r="R5264" s="20"/>
      <c r="S5264" s="20"/>
      <c r="T5264" s="20"/>
    </row>
    <row r="5265" spans="13:20" x14ac:dyDescent="0.2">
      <c r="M5265" s="20"/>
      <c r="N5265" s="20"/>
      <c r="O5265" s="20"/>
      <c r="P5265" s="20"/>
      <c r="Q5265" s="20"/>
      <c r="R5265" s="20"/>
      <c r="S5265" s="20"/>
      <c r="T5265" s="20"/>
    </row>
    <row r="5266" spans="13:20" x14ac:dyDescent="0.2">
      <c r="M5266" s="20"/>
      <c r="N5266" s="20"/>
      <c r="O5266" s="20"/>
      <c r="P5266" s="20"/>
      <c r="Q5266" s="20"/>
      <c r="R5266" s="20"/>
      <c r="S5266" s="20"/>
      <c r="T5266" s="20"/>
    </row>
    <row r="5267" spans="13:20" x14ac:dyDescent="0.2">
      <c r="M5267" s="20"/>
      <c r="N5267" s="20"/>
      <c r="O5267" s="20"/>
      <c r="P5267" s="20"/>
      <c r="Q5267" s="20"/>
      <c r="R5267" s="20"/>
      <c r="S5267" s="20"/>
      <c r="T5267" s="20"/>
    </row>
    <row r="5268" spans="13:20" x14ac:dyDescent="0.2">
      <c r="M5268" s="20"/>
      <c r="N5268" s="20"/>
      <c r="O5268" s="20"/>
      <c r="P5268" s="20"/>
      <c r="Q5268" s="20"/>
      <c r="R5268" s="20"/>
      <c r="S5268" s="20"/>
      <c r="T5268" s="20"/>
    </row>
    <row r="5269" spans="13:20" x14ac:dyDescent="0.2">
      <c r="M5269" s="20"/>
      <c r="N5269" s="20"/>
      <c r="O5269" s="20"/>
      <c r="P5269" s="20"/>
      <c r="Q5269" s="20"/>
      <c r="R5269" s="20"/>
      <c r="S5269" s="20"/>
      <c r="T5269" s="20"/>
    </row>
    <row r="5270" spans="13:20" x14ac:dyDescent="0.2">
      <c r="M5270" s="20"/>
      <c r="N5270" s="20"/>
      <c r="O5270" s="20"/>
      <c r="P5270" s="20"/>
      <c r="Q5270" s="20"/>
      <c r="R5270" s="20"/>
      <c r="S5270" s="20"/>
      <c r="T5270" s="20"/>
    </row>
    <row r="5271" spans="13:20" x14ac:dyDescent="0.2">
      <c r="M5271" s="20"/>
      <c r="N5271" s="20"/>
      <c r="O5271" s="20"/>
      <c r="P5271" s="20"/>
      <c r="Q5271" s="20"/>
      <c r="R5271" s="20"/>
      <c r="S5271" s="20"/>
      <c r="T5271" s="20"/>
    </row>
    <row r="5272" spans="13:20" x14ac:dyDescent="0.2">
      <c r="M5272" s="20"/>
      <c r="N5272" s="20"/>
      <c r="O5272" s="20"/>
      <c r="P5272" s="20"/>
      <c r="Q5272" s="20"/>
      <c r="R5272" s="20"/>
      <c r="S5272" s="20"/>
      <c r="T5272" s="20"/>
    </row>
    <row r="5273" spans="13:20" x14ac:dyDescent="0.2">
      <c r="M5273" s="20"/>
      <c r="N5273" s="20"/>
      <c r="O5273" s="20"/>
      <c r="P5273" s="20"/>
      <c r="Q5273" s="20"/>
      <c r="R5273" s="20"/>
      <c r="S5273" s="20"/>
      <c r="T5273" s="20"/>
    </row>
    <row r="5274" spans="13:20" x14ac:dyDescent="0.2">
      <c r="M5274" s="20"/>
      <c r="N5274" s="20"/>
      <c r="O5274" s="20"/>
      <c r="P5274" s="20"/>
      <c r="Q5274" s="20"/>
      <c r="R5274" s="20"/>
      <c r="S5274" s="20"/>
      <c r="T5274" s="20"/>
    </row>
    <row r="5275" spans="13:20" x14ac:dyDescent="0.2">
      <c r="M5275" s="20"/>
      <c r="N5275" s="20"/>
      <c r="O5275" s="20"/>
      <c r="P5275" s="20"/>
      <c r="Q5275" s="20"/>
      <c r="R5275" s="20"/>
      <c r="S5275" s="20"/>
      <c r="T5275" s="20"/>
    </row>
    <row r="5276" spans="13:20" x14ac:dyDescent="0.2">
      <c r="M5276" s="20"/>
      <c r="N5276" s="20"/>
      <c r="O5276" s="20"/>
      <c r="P5276" s="20"/>
      <c r="Q5276" s="20"/>
      <c r="R5276" s="20"/>
      <c r="S5276" s="20"/>
      <c r="T5276" s="20"/>
    </row>
    <row r="5277" spans="13:20" x14ac:dyDescent="0.2">
      <c r="M5277" s="20"/>
      <c r="N5277" s="20"/>
      <c r="O5277" s="20"/>
      <c r="P5277" s="20"/>
      <c r="Q5277" s="20"/>
      <c r="R5277" s="20"/>
      <c r="S5277" s="20"/>
      <c r="T5277" s="20"/>
    </row>
    <row r="5278" spans="13:20" x14ac:dyDescent="0.2">
      <c r="M5278" s="20"/>
      <c r="N5278" s="20"/>
      <c r="O5278" s="20"/>
      <c r="P5278" s="20"/>
      <c r="Q5278" s="20"/>
      <c r="R5278" s="20"/>
      <c r="S5278" s="20"/>
      <c r="T5278" s="20"/>
    </row>
    <row r="5279" spans="13:20" x14ac:dyDescent="0.2">
      <c r="M5279" s="20"/>
      <c r="N5279" s="20"/>
      <c r="O5279" s="20"/>
      <c r="P5279" s="20"/>
      <c r="Q5279" s="20"/>
      <c r="R5279" s="20"/>
      <c r="S5279" s="20"/>
      <c r="T5279" s="20"/>
    </row>
    <row r="5280" spans="13:20" x14ac:dyDescent="0.2">
      <c r="M5280" s="20"/>
      <c r="N5280" s="20"/>
      <c r="O5280" s="20"/>
      <c r="P5280" s="20"/>
      <c r="Q5280" s="20"/>
      <c r="R5280" s="20"/>
      <c r="S5280" s="20"/>
      <c r="T5280" s="20"/>
    </row>
    <row r="5281" spans="13:20" x14ac:dyDescent="0.2">
      <c r="M5281" s="20"/>
      <c r="N5281" s="20"/>
      <c r="O5281" s="20"/>
      <c r="P5281" s="20"/>
      <c r="Q5281" s="20"/>
      <c r="R5281" s="20"/>
      <c r="S5281" s="20"/>
      <c r="T5281" s="20"/>
    </row>
    <row r="5282" spans="13:20" x14ac:dyDescent="0.2">
      <c r="M5282" s="20"/>
      <c r="N5282" s="20"/>
      <c r="O5282" s="20"/>
      <c r="P5282" s="20"/>
      <c r="Q5282" s="20"/>
      <c r="R5282" s="20"/>
      <c r="S5282" s="20"/>
      <c r="T5282" s="20"/>
    </row>
    <row r="5283" spans="13:20" x14ac:dyDescent="0.2">
      <c r="M5283" s="20"/>
      <c r="N5283" s="20"/>
      <c r="O5283" s="20"/>
      <c r="P5283" s="20"/>
      <c r="Q5283" s="20"/>
      <c r="R5283" s="20"/>
      <c r="S5283" s="20"/>
      <c r="T5283" s="20"/>
    </row>
    <row r="5284" spans="13:20" x14ac:dyDescent="0.2">
      <c r="M5284" s="20"/>
      <c r="N5284" s="20"/>
      <c r="O5284" s="20"/>
      <c r="P5284" s="20"/>
      <c r="Q5284" s="20"/>
      <c r="R5284" s="20"/>
      <c r="S5284" s="20"/>
      <c r="T5284" s="20"/>
    </row>
    <row r="5285" spans="13:20" x14ac:dyDescent="0.2">
      <c r="M5285" s="20"/>
      <c r="N5285" s="20"/>
      <c r="O5285" s="20"/>
      <c r="P5285" s="20"/>
      <c r="Q5285" s="20"/>
      <c r="R5285" s="20"/>
      <c r="S5285" s="20"/>
      <c r="T5285" s="20"/>
    </row>
    <row r="5286" spans="13:20" x14ac:dyDescent="0.2">
      <c r="M5286" s="20"/>
      <c r="N5286" s="20"/>
      <c r="O5286" s="20"/>
      <c r="P5286" s="20"/>
      <c r="Q5286" s="20"/>
      <c r="R5286" s="20"/>
      <c r="S5286" s="20"/>
      <c r="T5286" s="20"/>
    </row>
    <row r="5287" spans="13:20" x14ac:dyDescent="0.2">
      <c r="M5287" s="20"/>
      <c r="N5287" s="20"/>
      <c r="O5287" s="20"/>
      <c r="P5287" s="20"/>
      <c r="Q5287" s="20"/>
      <c r="R5287" s="20"/>
      <c r="S5287" s="20"/>
      <c r="T5287" s="20"/>
    </row>
    <row r="5288" spans="13:20" x14ac:dyDescent="0.2">
      <c r="M5288" s="20"/>
      <c r="N5288" s="20"/>
      <c r="O5288" s="20"/>
      <c r="P5288" s="20"/>
      <c r="Q5288" s="20"/>
      <c r="R5288" s="20"/>
      <c r="S5288" s="20"/>
      <c r="T5288" s="20"/>
    </row>
    <row r="5289" spans="13:20" x14ac:dyDescent="0.2">
      <c r="M5289" s="20"/>
      <c r="N5289" s="20"/>
      <c r="O5289" s="20"/>
      <c r="P5289" s="20"/>
      <c r="Q5289" s="20"/>
      <c r="R5289" s="20"/>
      <c r="S5289" s="20"/>
      <c r="T5289" s="20"/>
    </row>
    <row r="5290" spans="13:20" x14ac:dyDescent="0.2">
      <c r="M5290" s="20"/>
      <c r="N5290" s="20"/>
      <c r="O5290" s="20"/>
      <c r="P5290" s="20"/>
      <c r="Q5290" s="20"/>
      <c r="R5290" s="20"/>
      <c r="S5290" s="20"/>
      <c r="T5290" s="20"/>
    </row>
    <row r="5291" spans="13:20" x14ac:dyDescent="0.2">
      <c r="M5291" s="20"/>
      <c r="N5291" s="20"/>
      <c r="O5291" s="20"/>
      <c r="P5291" s="20"/>
      <c r="Q5291" s="20"/>
      <c r="R5291" s="20"/>
      <c r="S5291" s="20"/>
      <c r="T5291" s="20"/>
    </row>
    <row r="5292" spans="13:20" x14ac:dyDescent="0.2">
      <c r="M5292" s="20"/>
      <c r="N5292" s="20"/>
      <c r="O5292" s="20"/>
      <c r="P5292" s="20"/>
      <c r="Q5292" s="20"/>
      <c r="R5292" s="20"/>
      <c r="S5292" s="20"/>
      <c r="T5292" s="20"/>
    </row>
    <row r="5293" spans="13:20" x14ac:dyDescent="0.2">
      <c r="M5293" s="20"/>
      <c r="N5293" s="20"/>
      <c r="O5293" s="20"/>
      <c r="P5293" s="20"/>
      <c r="Q5293" s="20"/>
      <c r="R5293" s="20"/>
      <c r="S5293" s="20"/>
      <c r="T5293" s="20"/>
    </row>
    <row r="5294" spans="13:20" x14ac:dyDescent="0.2">
      <c r="M5294" s="20"/>
      <c r="N5294" s="20"/>
      <c r="O5294" s="20"/>
      <c r="P5294" s="20"/>
      <c r="Q5294" s="20"/>
      <c r="R5294" s="20"/>
      <c r="S5294" s="20"/>
      <c r="T5294" s="20"/>
    </row>
    <row r="5295" spans="13:20" x14ac:dyDescent="0.2">
      <c r="M5295" s="20"/>
      <c r="N5295" s="20"/>
      <c r="O5295" s="20"/>
      <c r="P5295" s="20"/>
      <c r="Q5295" s="20"/>
      <c r="R5295" s="20"/>
      <c r="S5295" s="20"/>
      <c r="T5295" s="20"/>
    </row>
    <row r="5296" spans="13:20" x14ac:dyDescent="0.2">
      <c r="M5296" s="20"/>
      <c r="N5296" s="20"/>
      <c r="O5296" s="20"/>
      <c r="P5296" s="20"/>
      <c r="Q5296" s="20"/>
      <c r="R5296" s="20"/>
      <c r="S5296" s="20"/>
      <c r="T5296" s="20"/>
    </row>
    <row r="5297" spans="13:20" x14ac:dyDescent="0.2">
      <c r="M5297" s="20"/>
      <c r="N5297" s="20"/>
      <c r="O5297" s="20"/>
      <c r="P5297" s="20"/>
      <c r="Q5297" s="20"/>
      <c r="R5297" s="20"/>
      <c r="S5297" s="20"/>
      <c r="T5297" s="20"/>
    </row>
    <row r="5298" spans="13:20" x14ac:dyDescent="0.2">
      <c r="M5298" s="20"/>
      <c r="N5298" s="20"/>
      <c r="O5298" s="20"/>
      <c r="P5298" s="20"/>
      <c r="Q5298" s="20"/>
      <c r="R5298" s="20"/>
      <c r="S5298" s="20"/>
      <c r="T5298" s="20"/>
    </row>
    <row r="5299" spans="13:20" x14ac:dyDescent="0.2">
      <c r="M5299" s="20"/>
      <c r="N5299" s="20"/>
      <c r="O5299" s="20"/>
      <c r="P5299" s="20"/>
      <c r="Q5299" s="20"/>
      <c r="R5299" s="20"/>
      <c r="S5299" s="20"/>
      <c r="T5299" s="20"/>
    </row>
    <row r="5300" spans="13:20" x14ac:dyDescent="0.2">
      <c r="M5300" s="20"/>
      <c r="N5300" s="20"/>
      <c r="O5300" s="20"/>
      <c r="P5300" s="20"/>
      <c r="Q5300" s="20"/>
      <c r="R5300" s="20"/>
      <c r="S5300" s="20"/>
      <c r="T5300" s="20"/>
    </row>
    <row r="5301" spans="13:20" x14ac:dyDescent="0.2">
      <c r="M5301" s="20"/>
      <c r="N5301" s="20"/>
      <c r="O5301" s="20"/>
      <c r="P5301" s="20"/>
      <c r="Q5301" s="20"/>
      <c r="R5301" s="20"/>
      <c r="S5301" s="20"/>
      <c r="T5301" s="20"/>
    </row>
    <row r="5302" spans="13:20" x14ac:dyDescent="0.2">
      <c r="M5302" s="20"/>
      <c r="N5302" s="20"/>
      <c r="O5302" s="20"/>
      <c r="P5302" s="20"/>
      <c r="Q5302" s="20"/>
      <c r="R5302" s="20"/>
      <c r="S5302" s="20"/>
      <c r="T5302" s="20"/>
    </row>
    <row r="5303" spans="13:20" x14ac:dyDescent="0.2">
      <c r="M5303" s="20"/>
      <c r="N5303" s="20"/>
      <c r="O5303" s="20"/>
      <c r="P5303" s="20"/>
      <c r="Q5303" s="20"/>
      <c r="R5303" s="20"/>
      <c r="S5303" s="20"/>
      <c r="T5303" s="20"/>
    </row>
    <row r="5304" spans="13:20" x14ac:dyDescent="0.2">
      <c r="M5304" s="20"/>
      <c r="N5304" s="20"/>
      <c r="O5304" s="20"/>
      <c r="P5304" s="20"/>
      <c r="Q5304" s="20"/>
      <c r="R5304" s="20"/>
      <c r="S5304" s="20"/>
      <c r="T5304" s="20"/>
    </row>
    <row r="5305" spans="13:20" x14ac:dyDescent="0.2">
      <c r="M5305" s="20"/>
      <c r="N5305" s="20"/>
      <c r="O5305" s="20"/>
      <c r="P5305" s="20"/>
      <c r="Q5305" s="20"/>
      <c r="R5305" s="20"/>
      <c r="S5305" s="20"/>
      <c r="T5305" s="20"/>
    </row>
    <row r="5306" spans="13:20" x14ac:dyDescent="0.2">
      <c r="M5306" s="20"/>
      <c r="N5306" s="20"/>
      <c r="O5306" s="20"/>
      <c r="P5306" s="20"/>
      <c r="Q5306" s="20"/>
      <c r="R5306" s="20"/>
      <c r="S5306" s="20"/>
      <c r="T5306" s="20"/>
    </row>
    <row r="5307" spans="13:20" x14ac:dyDescent="0.2">
      <c r="M5307" s="20"/>
      <c r="N5307" s="20"/>
      <c r="O5307" s="20"/>
      <c r="P5307" s="20"/>
      <c r="Q5307" s="20"/>
      <c r="R5307" s="20"/>
      <c r="S5307" s="20"/>
      <c r="T5307" s="20"/>
    </row>
    <row r="5308" spans="13:20" x14ac:dyDescent="0.2">
      <c r="M5308" s="20"/>
      <c r="N5308" s="20"/>
      <c r="O5308" s="20"/>
      <c r="P5308" s="20"/>
      <c r="Q5308" s="20"/>
      <c r="R5308" s="20"/>
      <c r="S5308" s="20"/>
      <c r="T5308" s="20"/>
    </row>
    <row r="5309" spans="13:20" x14ac:dyDescent="0.2">
      <c r="M5309" s="20"/>
      <c r="N5309" s="20"/>
      <c r="O5309" s="20"/>
      <c r="P5309" s="20"/>
      <c r="Q5309" s="20"/>
      <c r="R5309" s="20"/>
      <c r="S5309" s="20"/>
      <c r="T5309" s="20"/>
    </row>
    <row r="5310" spans="13:20" x14ac:dyDescent="0.2">
      <c r="M5310" s="20"/>
      <c r="N5310" s="20"/>
      <c r="O5310" s="20"/>
      <c r="P5310" s="20"/>
      <c r="Q5310" s="20"/>
      <c r="R5310" s="20"/>
      <c r="S5310" s="20"/>
      <c r="T5310" s="20"/>
    </row>
    <row r="5311" spans="13:20" x14ac:dyDescent="0.2">
      <c r="M5311" s="20"/>
      <c r="N5311" s="20"/>
      <c r="O5311" s="20"/>
      <c r="P5311" s="20"/>
      <c r="Q5311" s="20"/>
      <c r="R5311" s="20"/>
      <c r="S5311" s="20"/>
      <c r="T5311" s="20"/>
    </row>
    <row r="5312" spans="13:20" x14ac:dyDescent="0.2">
      <c r="M5312" s="20"/>
      <c r="N5312" s="20"/>
      <c r="O5312" s="20"/>
      <c r="P5312" s="20"/>
      <c r="Q5312" s="20"/>
      <c r="R5312" s="20"/>
      <c r="S5312" s="20"/>
      <c r="T5312" s="20"/>
    </row>
    <row r="5313" spans="13:20" x14ac:dyDescent="0.2">
      <c r="M5313" s="20"/>
      <c r="N5313" s="20"/>
      <c r="O5313" s="20"/>
      <c r="P5313" s="20"/>
      <c r="Q5313" s="20"/>
      <c r="R5313" s="20"/>
      <c r="S5313" s="20"/>
      <c r="T5313" s="20"/>
    </row>
    <row r="5314" spans="13:20" x14ac:dyDescent="0.2">
      <c r="M5314" s="20"/>
      <c r="N5314" s="20"/>
      <c r="O5314" s="20"/>
      <c r="P5314" s="20"/>
      <c r="Q5314" s="20"/>
      <c r="R5314" s="20"/>
      <c r="S5314" s="20"/>
      <c r="T5314" s="20"/>
    </row>
    <row r="5315" spans="13:20" x14ac:dyDescent="0.2">
      <c r="M5315" s="20"/>
      <c r="N5315" s="20"/>
      <c r="O5315" s="20"/>
      <c r="P5315" s="20"/>
      <c r="Q5315" s="20"/>
      <c r="R5315" s="20"/>
      <c r="S5315" s="20"/>
      <c r="T5315" s="20"/>
    </row>
    <row r="5316" spans="13:20" x14ac:dyDescent="0.2">
      <c r="M5316" s="20"/>
      <c r="N5316" s="20"/>
      <c r="O5316" s="20"/>
      <c r="P5316" s="20"/>
      <c r="Q5316" s="20"/>
      <c r="R5316" s="20"/>
      <c r="S5316" s="20"/>
      <c r="T5316" s="20"/>
    </row>
    <row r="5317" spans="13:20" x14ac:dyDescent="0.2">
      <c r="M5317" s="20"/>
      <c r="N5317" s="20"/>
      <c r="O5317" s="20"/>
      <c r="P5317" s="20"/>
      <c r="Q5317" s="20"/>
      <c r="R5317" s="20"/>
      <c r="S5317" s="20"/>
      <c r="T5317" s="20"/>
    </row>
    <row r="5318" spans="13:20" x14ac:dyDescent="0.2">
      <c r="M5318" s="20"/>
      <c r="N5318" s="20"/>
      <c r="O5318" s="20"/>
      <c r="P5318" s="20"/>
      <c r="Q5318" s="20"/>
      <c r="R5318" s="20"/>
      <c r="S5318" s="20"/>
      <c r="T5318" s="20"/>
    </row>
    <row r="5319" spans="13:20" x14ac:dyDescent="0.2">
      <c r="M5319" s="20"/>
      <c r="N5319" s="20"/>
      <c r="O5319" s="20"/>
      <c r="P5319" s="20"/>
      <c r="Q5319" s="20"/>
      <c r="R5319" s="20"/>
      <c r="S5319" s="20"/>
      <c r="T5319" s="20"/>
    </row>
    <row r="5320" spans="13:20" x14ac:dyDescent="0.2">
      <c r="M5320" s="20"/>
      <c r="N5320" s="20"/>
      <c r="O5320" s="20"/>
      <c r="P5320" s="20"/>
      <c r="Q5320" s="20"/>
      <c r="R5320" s="20"/>
      <c r="S5320" s="20"/>
      <c r="T5320" s="20"/>
    </row>
    <row r="5321" spans="13:20" x14ac:dyDescent="0.2">
      <c r="M5321" s="20"/>
      <c r="N5321" s="20"/>
      <c r="O5321" s="20"/>
      <c r="P5321" s="20"/>
      <c r="Q5321" s="20"/>
      <c r="R5321" s="20"/>
      <c r="S5321" s="20"/>
      <c r="T5321" s="20"/>
    </row>
    <row r="5322" spans="13:20" x14ac:dyDescent="0.2">
      <c r="M5322" s="20"/>
      <c r="N5322" s="20"/>
      <c r="O5322" s="20"/>
      <c r="P5322" s="20"/>
      <c r="Q5322" s="20"/>
      <c r="R5322" s="20"/>
      <c r="S5322" s="20"/>
      <c r="T5322" s="20"/>
    </row>
    <row r="5323" spans="13:20" x14ac:dyDescent="0.2">
      <c r="M5323" s="20"/>
      <c r="N5323" s="20"/>
      <c r="O5323" s="20"/>
      <c r="P5323" s="20"/>
      <c r="Q5323" s="20"/>
      <c r="R5323" s="20"/>
      <c r="S5323" s="20"/>
      <c r="T5323" s="20"/>
    </row>
    <row r="5324" spans="13:20" x14ac:dyDescent="0.2">
      <c r="M5324" s="20"/>
      <c r="N5324" s="20"/>
      <c r="O5324" s="20"/>
      <c r="P5324" s="20"/>
      <c r="Q5324" s="20"/>
      <c r="R5324" s="20"/>
      <c r="S5324" s="20"/>
      <c r="T5324" s="20"/>
    </row>
    <row r="5325" spans="13:20" x14ac:dyDescent="0.2">
      <c r="M5325" s="20"/>
      <c r="N5325" s="20"/>
      <c r="O5325" s="20"/>
      <c r="P5325" s="20"/>
      <c r="Q5325" s="20"/>
      <c r="R5325" s="20"/>
      <c r="S5325" s="20"/>
      <c r="T5325" s="20"/>
    </row>
    <row r="5326" spans="13:20" x14ac:dyDescent="0.2">
      <c r="M5326" s="20"/>
      <c r="N5326" s="20"/>
      <c r="O5326" s="20"/>
      <c r="P5326" s="20"/>
      <c r="Q5326" s="20"/>
      <c r="R5326" s="20"/>
      <c r="S5326" s="20"/>
      <c r="T5326" s="20"/>
    </row>
    <row r="5327" spans="13:20" x14ac:dyDescent="0.2">
      <c r="M5327" s="20"/>
      <c r="N5327" s="20"/>
      <c r="O5327" s="20"/>
      <c r="P5327" s="20"/>
      <c r="Q5327" s="20"/>
      <c r="R5327" s="20"/>
      <c r="S5327" s="20"/>
      <c r="T5327" s="20"/>
    </row>
    <row r="5328" spans="13:20" x14ac:dyDescent="0.2">
      <c r="M5328" s="20"/>
      <c r="N5328" s="20"/>
      <c r="O5328" s="20"/>
      <c r="P5328" s="20"/>
      <c r="Q5328" s="20"/>
      <c r="R5328" s="20"/>
      <c r="S5328" s="20"/>
      <c r="T5328" s="20"/>
    </row>
    <row r="5329" spans="13:20" x14ac:dyDescent="0.2">
      <c r="M5329" s="20"/>
      <c r="N5329" s="20"/>
      <c r="O5329" s="20"/>
      <c r="P5329" s="20"/>
      <c r="Q5329" s="20"/>
      <c r="R5329" s="20"/>
      <c r="S5329" s="20"/>
      <c r="T5329" s="20"/>
    </row>
    <row r="5330" spans="13:20" x14ac:dyDescent="0.2">
      <c r="M5330" s="20"/>
      <c r="N5330" s="20"/>
      <c r="O5330" s="20"/>
      <c r="P5330" s="20"/>
      <c r="Q5330" s="20"/>
      <c r="R5330" s="20"/>
      <c r="S5330" s="20"/>
      <c r="T5330" s="20"/>
    </row>
    <row r="5331" spans="13:20" x14ac:dyDescent="0.2">
      <c r="M5331" s="20"/>
      <c r="N5331" s="20"/>
      <c r="O5331" s="20"/>
      <c r="P5331" s="20"/>
      <c r="Q5331" s="20"/>
      <c r="R5331" s="20"/>
      <c r="S5331" s="20"/>
      <c r="T5331" s="20"/>
    </row>
    <row r="5332" spans="13:20" x14ac:dyDescent="0.2">
      <c r="M5332" s="20"/>
      <c r="N5332" s="20"/>
      <c r="O5332" s="20"/>
      <c r="P5332" s="20"/>
      <c r="Q5332" s="20"/>
      <c r="R5332" s="20"/>
      <c r="S5332" s="20"/>
      <c r="T5332" s="20"/>
    </row>
    <row r="5333" spans="13:20" x14ac:dyDescent="0.2">
      <c r="M5333" s="20"/>
      <c r="N5333" s="20"/>
      <c r="O5333" s="20"/>
      <c r="P5333" s="20"/>
      <c r="Q5333" s="20"/>
      <c r="R5333" s="20"/>
      <c r="S5333" s="20"/>
      <c r="T5333" s="20"/>
    </row>
    <row r="5334" spans="13:20" x14ac:dyDescent="0.2">
      <c r="M5334" s="20"/>
      <c r="N5334" s="20"/>
      <c r="O5334" s="20"/>
      <c r="P5334" s="20"/>
      <c r="Q5334" s="20"/>
      <c r="R5334" s="20"/>
      <c r="S5334" s="20"/>
      <c r="T5334" s="20"/>
    </row>
    <row r="5335" spans="13:20" x14ac:dyDescent="0.2">
      <c r="M5335" s="20"/>
      <c r="N5335" s="20"/>
      <c r="O5335" s="20"/>
      <c r="P5335" s="20"/>
      <c r="Q5335" s="20"/>
      <c r="R5335" s="20"/>
      <c r="S5335" s="20"/>
      <c r="T5335" s="20"/>
    </row>
    <row r="5336" spans="13:20" x14ac:dyDescent="0.2">
      <c r="M5336" s="20"/>
      <c r="N5336" s="20"/>
      <c r="O5336" s="20"/>
      <c r="P5336" s="20"/>
      <c r="Q5336" s="20"/>
      <c r="R5336" s="20"/>
      <c r="S5336" s="20"/>
      <c r="T5336" s="20"/>
    </row>
    <row r="5337" spans="13:20" x14ac:dyDescent="0.2">
      <c r="M5337" s="20"/>
      <c r="N5337" s="20"/>
      <c r="O5337" s="20"/>
      <c r="P5337" s="20"/>
      <c r="Q5337" s="20"/>
      <c r="R5337" s="20"/>
      <c r="S5337" s="20"/>
      <c r="T5337" s="20"/>
    </row>
    <row r="5338" spans="13:20" x14ac:dyDescent="0.2">
      <c r="M5338" s="20"/>
      <c r="N5338" s="20"/>
      <c r="O5338" s="20"/>
      <c r="P5338" s="20"/>
      <c r="Q5338" s="20"/>
      <c r="R5338" s="20"/>
      <c r="S5338" s="20"/>
      <c r="T5338" s="20"/>
    </row>
    <row r="5339" spans="13:20" x14ac:dyDescent="0.2">
      <c r="M5339" s="20"/>
      <c r="N5339" s="20"/>
      <c r="O5339" s="20"/>
      <c r="P5339" s="20"/>
      <c r="Q5339" s="20"/>
      <c r="R5339" s="20"/>
      <c r="S5339" s="20"/>
      <c r="T5339" s="20"/>
    </row>
    <row r="5340" spans="13:20" x14ac:dyDescent="0.2">
      <c r="M5340" s="20"/>
      <c r="N5340" s="20"/>
      <c r="O5340" s="20"/>
      <c r="P5340" s="20"/>
      <c r="Q5340" s="20"/>
      <c r="R5340" s="20"/>
      <c r="S5340" s="20"/>
      <c r="T5340" s="20"/>
    </row>
    <row r="5341" spans="13:20" x14ac:dyDescent="0.2">
      <c r="M5341" s="20"/>
      <c r="N5341" s="20"/>
      <c r="O5341" s="20"/>
      <c r="P5341" s="20"/>
      <c r="Q5341" s="20"/>
      <c r="R5341" s="20"/>
      <c r="S5341" s="20"/>
      <c r="T5341" s="20"/>
    </row>
    <row r="5342" spans="13:20" x14ac:dyDescent="0.2">
      <c r="M5342" s="20"/>
      <c r="N5342" s="20"/>
      <c r="O5342" s="20"/>
      <c r="P5342" s="20"/>
      <c r="Q5342" s="20"/>
      <c r="R5342" s="20"/>
      <c r="S5342" s="20"/>
      <c r="T5342" s="20"/>
    </row>
    <row r="5343" spans="13:20" x14ac:dyDescent="0.2">
      <c r="M5343" s="20"/>
      <c r="N5343" s="20"/>
      <c r="O5343" s="20"/>
      <c r="P5343" s="20"/>
      <c r="Q5343" s="20"/>
      <c r="R5343" s="20"/>
      <c r="S5343" s="20"/>
      <c r="T5343" s="20"/>
    </row>
    <row r="5344" spans="13:20" x14ac:dyDescent="0.2">
      <c r="M5344" s="20"/>
      <c r="N5344" s="20"/>
      <c r="O5344" s="20"/>
      <c r="P5344" s="20"/>
      <c r="Q5344" s="20"/>
      <c r="R5344" s="20"/>
      <c r="S5344" s="20"/>
      <c r="T5344" s="20"/>
    </row>
    <row r="5345" spans="13:20" x14ac:dyDescent="0.2">
      <c r="M5345" s="20"/>
      <c r="N5345" s="20"/>
      <c r="O5345" s="20"/>
      <c r="P5345" s="20"/>
      <c r="Q5345" s="20"/>
      <c r="R5345" s="20"/>
      <c r="S5345" s="20"/>
      <c r="T5345" s="20"/>
    </row>
    <row r="5346" spans="13:20" x14ac:dyDescent="0.2">
      <c r="M5346" s="20"/>
      <c r="N5346" s="20"/>
      <c r="O5346" s="20"/>
      <c r="P5346" s="20"/>
      <c r="Q5346" s="20"/>
      <c r="R5346" s="20"/>
      <c r="S5346" s="20"/>
      <c r="T5346" s="20"/>
    </row>
    <row r="5347" spans="13:20" x14ac:dyDescent="0.2">
      <c r="M5347" s="20"/>
      <c r="N5347" s="20"/>
      <c r="O5347" s="20"/>
      <c r="P5347" s="20"/>
      <c r="Q5347" s="20"/>
      <c r="R5347" s="20"/>
      <c r="S5347" s="20"/>
      <c r="T5347" s="20"/>
    </row>
    <row r="5348" spans="13:20" x14ac:dyDescent="0.2">
      <c r="M5348" s="20"/>
      <c r="N5348" s="20"/>
      <c r="O5348" s="20"/>
      <c r="P5348" s="20"/>
      <c r="Q5348" s="20"/>
      <c r="R5348" s="20"/>
      <c r="S5348" s="20"/>
      <c r="T5348" s="20"/>
    </row>
    <row r="5349" spans="13:20" x14ac:dyDescent="0.2">
      <c r="M5349" s="20"/>
      <c r="N5349" s="20"/>
      <c r="O5349" s="20"/>
      <c r="P5349" s="20"/>
      <c r="Q5349" s="20"/>
      <c r="R5349" s="20"/>
      <c r="S5349" s="20"/>
      <c r="T5349" s="20"/>
    </row>
    <row r="5350" spans="13:20" x14ac:dyDescent="0.2">
      <c r="M5350" s="20"/>
      <c r="N5350" s="20"/>
      <c r="O5350" s="20"/>
      <c r="P5350" s="20"/>
      <c r="Q5350" s="20"/>
      <c r="R5350" s="20"/>
      <c r="S5350" s="20"/>
      <c r="T5350" s="20"/>
    </row>
    <row r="5351" spans="13:20" x14ac:dyDescent="0.2">
      <c r="M5351" s="20"/>
      <c r="N5351" s="20"/>
      <c r="O5351" s="20"/>
      <c r="P5351" s="20"/>
      <c r="Q5351" s="20"/>
      <c r="R5351" s="20"/>
      <c r="S5351" s="20"/>
      <c r="T5351" s="20"/>
    </row>
    <row r="5352" spans="13:20" x14ac:dyDescent="0.2">
      <c r="M5352" s="20"/>
      <c r="N5352" s="20"/>
      <c r="O5352" s="20"/>
      <c r="P5352" s="20"/>
      <c r="Q5352" s="20"/>
      <c r="R5352" s="20"/>
      <c r="S5352" s="20"/>
      <c r="T5352" s="20"/>
    </row>
    <row r="5353" spans="13:20" x14ac:dyDescent="0.2">
      <c r="M5353" s="20"/>
      <c r="N5353" s="20"/>
      <c r="O5353" s="20"/>
      <c r="P5353" s="20"/>
      <c r="Q5353" s="20"/>
      <c r="R5353" s="20"/>
      <c r="S5353" s="20"/>
      <c r="T5353" s="20"/>
    </row>
    <row r="5354" spans="13:20" x14ac:dyDescent="0.2">
      <c r="M5354" s="20"/>
      <c r="N5354" s="20"/>
      <c r="O5354" s="20"/>
      <c r="P5354" s="20"/>
      <c r="Q5354" s="20"/>
      <c r="R5354" s="20"/>
      <c r="S5354" s="20"/>
      <c r="T5354" s="20"/>
    </row>
    <row r="5355" spans="13:20" x14ac:dyDescent="0.2">
      <c r="M5355" s="20"/>
      <c r="N5355" s="20"/>
      <c r="O5355" s="20"/>
      <c r="P5355" s="20"/>
      <c r="Q5355" s="20"/>
      <c r="R5355" s="20"/>
      <c r="S5355" s="20"/>
      <c r="T5355" s="20"/>
    </row>
    <row r="5356" spans="13:20" x14ac:dyDescent="0.2">
      <c r="M5356" s="20"/>
      <c r="N5356" s="20"/>
      <c r="O5356" s="20"/>
      <c r="P5356" s="20"/>
      <c r="Q5356" s="20"/>
      <c r="R5356" s="20"/>
      <c r="S5356" s="20"/>
      <c r="T5356" s="20"/>
    </row>
    <row r="5357" spans="13:20" x14ac:dyDescent="0.2">
      <c r="M5357" s="20"/>
      <c r="N5357" s="20"/>
      <c r="O5357" s="20"/>
      <c r="P5357" s="20"/>
      <c r="Q5357" s="20"/>
      <c r="R5357" s="20"/>
      <c r="S5357" s="20"/>
      <c r="T5357" s="20"/>
    </row>
    <row r="5358" spans="13:20" x14ac:dyDescent="0.2">
      <c r="M5358" s="20"/>
      <c r="N5358" s="20"/>
      <c r="O5358" s="20"/>
      <c r="P5358" s="20"/>
      <c r="Q5358" s="20"/>
      <c r="R5358" s="20"/>
      <c r="S5358" s="20"/>
      <c r="T5358" s="20"/>
    </row>
    <row r="5359" spans="13:20" x14ac:dyDescent="0.2">
      <c r="M5359" s="20"/>
      <c r="N5359" s="20"/>
      <c r="O5359" s="20"/>
      <c r="P5359" s="20"/>
      <c r="Q5359" s="20"/>
      <c r="R5359" s="20"/>
      <c r="S5359" s="20"/>
      <c r="T5359" s="20"/>
    </row>
    <row r="5360" spans="13:20" x14ac:dyDescent="0.2">
      <c r="M5360" s="20"/>
      <c r="N5360" s="20"/>
      <c r="O5360" s="20"/>
      <c r="P5360" s="20"/>
      <c r="Q5360" s="20"/>
      <c r="R5360" s="20"/>
      <c r="S5360" s="20"/>
      <c r="T5360" s="20"/>
    </row>
    <row r="5361" spans="13:20" x14ac:dyDescent="0.2">
      <c r="M5361" s="20"/>
      <c r="N5361" s="20"/>
      <c r="O5361" s="20"/>
      <c r="P5361" s="20"/>
      <c r="Q5361" s="20"/>
      <c r="R5361" s="20"/>
      <c r="S5361" s="20"/>
      <c r="T5361" s="20"/>
    </row>
    <row r="5362" spans="13:20" x14ac:dyDescent="0.2">
      <c r="M5362" s="20"/>
      <c r="N5362" s="20"/>
      <c r="O5362" s="20"/>
      <c r="P5362" s="20"/>
      <c r="Q5362" s="20"/>
      <c r="R5362" s="20"/>
      <c r="S5362" s="20"/>
      <c r="T5362" s="20"/>
    </row>
    <row r="5363" spans="13:20" x14ac:dyDescent="0.2">
      <c r="M5363" s="20"/>
      <c r="N5363" s="20"/>
      <c r="O5363" s="20"/>
      <c r="P5363" s="20"/>
      <c r="Q5363" s="20"/>
      <c r="R5363" s="20"/>
      <c r="S5363" s="20"/>
      <c r="T5363" s="20"/>
    </row>
    <row r="5364" spans="13:20" x14ac:dyDescent="0.2">
      <c r="M5364" s="20"/>
      <c r="N5364" s="20"/>
      <c r="O5364" s="20"/>
      <c r="P5364" s="20"/>
      <c r="Q5364" s="20"/>
      <c r="R5364" s="20"/>
      <c r="S5364" s="20"/>
      <c r="T5364" s="20"/>
    </row>
    <row r="5365" spans="13:20" x14ac:dyDescent="0.2">
      <c r="M5365" s="20"/>
      <c r="N5365" s="20"/>
      <c r="O5365" s="20"/>
      <c r="P5365" s="20"/>
      <c r="Q5365" s="20"/>
      <c r="R5365" s="20"/>
      <c r="S5365" s="20"/>
      <c r="T5365" s="20"/>
    </row>
    <row r="5366" spans="13:20" x14ac:dyDescent="0.2">
      <c r="M5366" s="20"/>
      <c r="N5366" s="20"/>
      <c r="O5366" s="20"/>
      <c r="P5366" s="20"/>
      <c r="Q5366" s="20"/>
      <c r="R5366" s="20"/>
      <c r="S5366" s="20"/>
      <c r="T5366" s="20"/>
    </row>
    <row r="5367" spans="13:20" x14ac:dyDescent="0.2">
      <c r="M5367" s="20"/>
      <c r="N5367" s="20"/>
      <c r="O5367" s="20"/>
      <c r="P5367" s="20"/>
      <c r="Q5367" s="20"/>
      <c r="R5367" s="20"/>
      <c r="S5367" s="20"/>
      <c r="T5367" s="20"/>
    </row>
    <row r="5368" spans="13:20" x14ac:dyDescent="0.2">
      <c r="M5368" s="20"/>
      <c r="N5368" s="20"/>
      <c r="O5368" s="20"/>
      <c r="P5368" s="20"/>
      <c r="Q5368" s="20"/>
      <c r="R5368" s="20"/>
      <c r="S5368" s="20"/>
      <c r="T5368" s="20"/>
    </row>
    <row r="5369" spans="13:20" x14ac:dyDescent="0.2">
      <c r="M5369" s="20"/>
      <c r="N5369" s="20"/>
      <c r="O5369" s="20"/>
      <c r="P5369" s="20"/>
      <c r="Q5369" s="20"/>
      <c r="R5369" s="20"/>
      <c r="S5369" s="20"/>
      <c r="T5369" s="20"/>
    </row>
    <row r="5370" spans="13:20" x14ac:dyDescent="0.2">
      <c r="M5370" s="20"/>
      <c r="N5370" s="20"/>
      <c r="O5370" s="20"/>
      <c r="P5370" s="20"/>
      <c r="Q5370" s="20"/>
      <c r="R5370" s="20"/>
      <c r="S5370" s="20"/>
      <c r="T5370" s="20"/>
    </row>
    <row r="5371" spans="13:20" x14ac:dyDescent="0.2">
      <c r="M5371" s="20"/>
      <c r="N5371" s="20"/>
      <c r="O5371" s="20"/>
      <c r="P5371" s="20"/>
      <c r="Q5371" s="20"/>
      <c r="R5371" s="20"/>
      <c r="S5371" s="20"/>
      <c r="T5371" s="20"/>
    </row>
    <row r="5372" spans="13:20" x14ac:dyDescent="0.2">
      <c r="M5372" s="20"/>
      <c r="N5372" s="20"/>
      <c r="O5372" s="20"/>
      <c r="P5372" s="20"/>
      <c r="Q5372" s="20"/>
      <c r="R5372" s="20"/>
      <c r="S5372" s="20"/>
      <c r="T5372" s="20"/>
    </row>
    <row r="5373" spans="13:20" x14ac:dyDescent="0.2">
      <c r="M5373" s="20"/>
      <c r="N5373" s="20"/>
      <c r="O5373" s="20"/>
      <c r="P5373" s="20"/>
      <c r="Q5373" s="20"/>
      <c r="R5373" s="20"/>
      <c r="S5373" s="20"/>
      <c r="T5373" s="20"/>
    </row>
    <row r="5374" spans="13:20" x14ac:dyDescent="0.2">
      <c r="M5374" s="20"/>
      <c r="N5374" s="20"/>
      <c r="O5374" s="20"/>
      <c r="P5374" s="20"/>
      <c r="Q5374" s="20"/>
      <c r="R5374" s="20"/>
      <c r="S5374" s="20"/>
      <c r="T5374" s="20"/>
    </row>
    <row r="5375" spans="13:20" x14ac:dyDescent="0.2">
      <c r="M5375" s="20"/>
      <c r="N5375" s="20"/>
      <c r="O5375" s="20"/>
      <c r="P5375" s="20"/>
      <c r="Q5375" s="20"/>
      <c r="R5375" s="20"/>
      <c r="S5375" s="20"/>
      <c r="T5375" s="20"/>
    </row>
    <row r="5376" spans="13:20" x14ac:dyDescent="0.2">
      <c r="M5376" s="20"/>
      <c r="N5376" s="20"/>
      <c r="O5376" s="20"/>
      <c r="P5376" s="20"/>
      <c r="Q5376" s="20"/>
      <c r="R5376" s="20"/>
      <c r="S5376" s="20"/>
      <c r="T5376" s="20"/>
    </row>
    <row r="5377" spans="13:20" x14ac:dyDescent="0.2">
      <c r="M5377" s="20"/>
      <c r="N5377" s="20"/>
      <c r="O5377" s="20"/>
      <c r="P5377" s="20"/>
      <c r="Q5377" s="20"/>
      <c r="R5377" s="20"/>
      <c r="S5377" s="20"/>
      <c r="T5377" s="20"/>
    </row>
    <row r="5378" spans="13:20" x14ac:dyDescent="0.2">
      <c r="M5378" s="20"/>
      <c r="N5378" s="20"/>
      <c r="O5378" s="20"/>
      <c r="P5378" s="20"/>
      <c r="Q5378" s="20"/>
      <c r="R5378" s="20"/>
      <c r="S5378" s="20"/>
      <c r="T5378" s="20"/>
    </row>
    <row r="5379" spans="13:20" x14ac:dyDescent="0.2">
      <c r="M5379" s="20"/>
      <c r="N5379" s="20"/>
      <c r="O5379" s="20"/>
      <c r="P5379" s="20"/>
      <c r="Q5379" s="20"/>
      <c r="R5379" s="20"/>
      <c r="S5379" s="20"/>
      <c r="T5379" s="20"/>
    </row>
    <row r="5380" spans="13:20" x14ac:dyDescent="0.2">
      <c r="M5380" s="20"/>
      <c r="N5380" s="20"/>
      <c r="O5380" s="20"/>
      <c r="P5380" s="20"/>
      <c r="Q5380" s="20"/>
      <c r="R5380" s="20"/>
      <c r="S5380" s="20"/>
      <c r="T5380" s="20"/>
    </row>
    <row r="5381" spans="13:20" x14ac:dyDescent="0.2">
      <c r="M5381" s="20"/>
      <c r="N5381" s="20"/>
      <c r="O5381" s="20"/>
      <c r="P5381" s="20"/>
      <c r="Q5381" s="20"/>
      <c r="R5381" s="20"/>
      <c r="S5381" s="20"/>
      <c r="T5381" s="20"/>
    </row>
    <row r="5382" spans="13:20" x14ac:dyDescent="0.2">
      <c r="M5382" s="20"/>
      <c r="N5382" s="20"/>
      <c r="O5382" s="20"/>
      <c r="P5382" s="20"/>
      <c r="Q5382" s="20"/>
      <c r="R5382" s="20"/>
      <c r="S5382" s="20"/>
      <c r="T5382" s="20"/>
    </row>
    <row r="5383" spans="13:20" x14ac:dyDescent="0.2">
      <c r="M5383" s="20"/>
      <c r="N5383" s="20"/>
      <c r="O5383" s="20"/>
      <c r="P5383" s="20"/>
      <c r="Q5383" s="20"/>
      <c r="R5383" s="20"/>
      <c r="S5383" s="20"/>
      <c r="T5383" s="20"/>
    </row>
    <row r="5384" spans="13:20" x14ac:dyDescent="0.2">
      <c r="M5384" s="20"/>
      <c r="N5384" s="20"/>
      <c r="O5384" s="20"/>
      <c r="P5384" s="20"/>
      <c r="Q5384" s="20"/>
      <c r="R5384" s="20"/>
      <c r="S5384" s="20"/>
      <c r="T5384" s="20"/>
    </row>
    <row r="5385" spans="13:20" x14ac:dyDescent="0.2">
      <c r="M5385" s="20"/>
      <c r="N5385" s="20"/>
      <c r="O5385" s="20"/>
      <c r="P5385" s="20"/>
      <c r="Q5385" s="20"/>
      <c r="R5385" s="20"/>
      <c r="S5385" s="20"/>
      <c r="T5385" s="20"/>
    </row>
    <row r="5386" spans="13:20" x14ac:dyDescent="0.2">
      <c r="M5386" s="20"/>
      <c r="N5386" s="20"/>
      <c r="O5386" s="20"/>
      <c r="P5386" s="20"/>
      <c r="Q5386" s="20"/>
      <c r="R5386" s="20"/>
      <c r="S5386" s="20"/>
      <c r="T5386" s="20"/>
    </row>
    <row r="5387" spans="13:20" x14ac:dyDescent="0.2">
      <c r="M5387" s="20"/>
      <c r="N5387" s="20"/>
      <c r="O5387" s="20"/>
      <c r="P5387" s="20"/>
      <c r="Q5387" s="20"/>
      <c r="R5387" s="20"/>
      <c r="S5387" s="20"/>
      <c r="T5387" s="20"/>
    </row>
    <row r="5388" spans="13:20" x14ac:dyDescent="0.2">
      <c r="M5388" s="20"/>
      <c r="N5388" s="20"/>
      <c r="O5388" s="20"/>
      <c r="P5388" s="20"/>
      <c r="Q5388" s="20"/>
      <c r="R5388" s="20"/>
      <c r="S5388" s="20"/>
      <c r="T5388" s="20"/>
    </row>
    <row r="5389" spans="13:20" x14ac:dyDescent="0.2">
      <c r="M5389" s="20"/>
      <c r="N5389" s="20"/>
      <c r="O5389" s="20"/>
      <c r="P5389" s="20"/>
      <c r="Q5389" s="20"/>
      <c r="R5389" s="20"/>
      <c r="S5389" s="20"/>
      <c r="T5389" s="20"/>
    </row>
    <row r="5390" spans="13:20" x14ac:dyDescent="0.2">
      <c r="M5390" s="20"/>
      <c r="N5390" s="20"/>
      <c r="O5390" s="20"/>
      <c r="P5390" s="20"/>
      <c r="Q5390" s="20"/>
      <c r="R5390" s="20"/>
      <c r="S5390" s="20"/>
      <c r="T5390" s="20"/>
    </row>
    <row r="5391" spans="13:20" x14ac:dyDescent="0.2">
      <c r="M5391" s="20"/>
      <c r="N5391" s="20"/>
      <c r="O5391" s="20"/>
      <c r="P5391" s="20"/>
      <c r="Q5391" s="20"/>
      <c r="R5391" s="20"/>
      <c r="S5391" s="20"/>
      <c r="T5391" s="20"/>
    </row>
    <row r="5392" spans="13:20" x14ac:dyDescent="0.2">
      <c r="M5392" s="20"/>
      <c r="N5392" s="20"/>
      <c r="O5392" s="20"/>
      <c r="P5392" s="20"/>
      <c r="Q5392" s="20"/>
      <c r="R5392" s="20"/>
      <c r="S5392" s="20"/>
      <c r="T5392" s="20"/>
    </row>
    <row r="5393" spans="13:20" x14ac:dyDescent="0.2">
      <c r="M5393" s="20"/>
      <c r="N5393" s="20"/>
      <c r="O5393" s="20"/>
      <c r="P5393" s="20"/>
      <c r="Q5393" s="20"/>
      <c r="R5393" s="20"/>
      <c r="S5393" s="20"/>
      <c r="T5393" s="20"/>
    </row>
    <row r="5394" spans="13:20" x14ac:dyDescent="0.2">
      <c r="M5394" s="20"/>
      <c r="N5394" s="20"/>
      <c r="O5394" s="20"/>
      <c r="P5394" s="20"/>
      <c r="Q5394" s="20"/>
      <c r="R5394" s="20"/>
      <c r="S5394" s="20"/>
      <c r="T5394" s="20"/>
    </row>
    <row r="5395" spans="13:20" x14ac:dyDescent="0.2">
      <c r="M5395" s="20"/>
      <c r="N5395" s="20"/>
      <c r="O5395" s="20"/>
      <c r="P5395" s="20"/>
      <c r="Q5395" s="20"/>
      <c r="R5395" s="20"/>
      <c r="S5395" s="20"/>
      <c r="T5395" s="20"/>
    </row>
    <row r="5396" spans="13:20" x14ac:dyDescent="0.2">
      <c r="M5396" s="20"/>
      <c r="N5396" s="20"/>
      <c r="O5396" s="20"/>
      <c r="P5396" s="20"/>
      <c r="Q5396" s="20"/>
      <c r="R5396" s="20"/>
      <c r="S5396" s="20"/>
      <c r="T5396" s="20"/>
    </row>
    <row r="5397" spans="13:20" x14ac:dyDescent="0.2">
      <c r="M5397" s="20"/>
      <c r="N5397" s="20"/>
      <c r="O5397" s="20"/>
      <c r="P5397" s="20"/>
      <c r="Q5397" s="20"/>
      <c r="R5397" s="20"/>
      <c r="S5397" s="20"/>
      <c r="T5397" s="20"/>
    </row>
    <row r="5398" spans="13:20" x14ac:dyDescent="0.2">
      <c r="M5398" s="20"/>
      <c r="N5398" s="20"/>
      <c r="O5398" s="20"/>
      <c r="P5398" s="20"/>
      <c r="Q5398" s="20"/>
      <c r="R5398" s="20"/>
      <c r="S5398" s="20"/>
      <c r="T5398" s="20"/>
    </row>
    <row r="5399" spans="13:20" x14ac:dyDescent="0.2">
      <c r="M5399" s="20"/>
      <c r="N5399" s="20"/>
      <c r="O5399" s="20"/>
      <c r="P5399" s="20"/>
      <c r="Q5399" s="20"/>
      <c r="R5399" s="20"/>
      <c r="S5399" s="20"/>
      <c r="T5399" s="20"/>
    </row>
    <row r="5400" spans="13:20" x14ac:dyDescent="0.2">
      <c r="M5400" s="20"/>
      <c r="N5400" s="20"/>
      <c r="O5400" s="20"/>
      <c r="P5400" s="20"/>
      <c r="Q5400" s="20"/>
      <c r="R5400" s="20"/>
      <c r="S5400" s="20"/>
      <c r="T5400" s="20"/>
    </row>
    <row r="5401" spans="13:20" x14ac:dyDescent="0.2">
      <c r="M5401" s="20"/>
      <c r="N5401" s="20"/>
      <c r="O5401" s="20"/>
      <c r="P5401" s="20"/>
      <c r="Q5401" s="20"/>
      <c r="R5401" s="20"/>
      <c r="S5401" s="20"/>
      <c r="T5401" s="20"/>
    </row>
    <row r="5402" spans="13:20" x14ac:dyDescent="0.2">
      <c r="M5402" s="20"/>
      <c r="N5402" s="20"/>
      <c r="O5402" s="20"/>
      <c r="P5402" s="20"/>
      <c r="Q5402" s="20"/>
      <c r="R5402" s="20"/>
      <c r="S5402" s="20"/>
      <c r="T5402" s="20"/>
    </row>
    <row r="5403" spans="13:20" x14ac:dyDescent="0.2">
      <c r="M5403" s="20"/>
      <c r="N5403" s="20"/>
      <c r="O5403" s="20"/>
      <c r="P5403" s="20"/>
      <c r="Q5403" s="20"/>
      <c r="R5403" s="20"/>
      <c r="S5403" s="20"/>
      <c r="T5403" s="20"/>
    </row>
    <row r="5404" spans="13:20" x14ac:dyDescent="0.2">
      <c r="M5404" s="20"/>
      <c r="N5404" s="20"/>
      <c r="O5404" s="20"/>
      <c r="P5404" s="20"/>
      <c r="Q5404" s="20"/>
      <c r="R5404" s="20"/>
      <c r="S5404" s="20"/>
      <c r="T5404" s="20"/>
    </row>
    <row r="5405" spans="13:20" x14ac:dyDescent="0.2">
      <c r="M5405" s="20"/>
      <c r="N5405" s="20"/>
      <c r="O5405" s="20"/>
      <c r="P5405" s="20"/>
      <c r="Q5405" s="20"/>
      <c r="R5405" s="20"/>
      <c r="S5405" s="20"/>
      <c r="T5405" s="20"/>
    </row>
    <row r="5406" spans="13:20" x14ac:dyDescent="0.2">
      <c r="M5406" s="20"/>
      <c r="N5406" s="20"/>
      <c r="O5406" s="20"/>
      <c r="P5406" s="20"/>
      <c r="Q5406" s="20"/>
      <c r="R5406" s="20"/>
      <c r="S5406" s="20"/>
      <c r="T5406" s="20"/>
    </row>
    <row r="5407" spans="13:20" x14ac:dyDescent="0.2">
      <c r="M5407" s="20"/>
      <c r="N5407" s="20"/>
      <c r="O5407" s="20"/>
      <c r="P5407" s="20"/>
      <c r="Q5407" s="20"/>
      <c r="R5407" s="20"/>
      <c r="S5407" s="20"/>
      <c r="T5407" s="20"/>
    </row>
    <row r="5408" spans="13:20" x14ac:dyDescent="0.2">
      <c r="M5408" s="20"/>
      <c r="N5408" s="20"/>
      <c r="O5408" s="20"/>
      <c r="P5408" s="20"/>
      <c r="Q5408" s="20"/>
      <c r="R5408" s="20"/>
      <c r="S5408" s="20"/>
      <c r="T5408" s="20"/>
    </row>
    <row r="5409" spans="13:20" x14ac:dyDescent="0.2">
      <c r="M5409" s="20"/>
      <c r="N5409" s="20"/>
      <c r="O5409" s="20"/>
      <c r="P5409" s="20"/>
      <c r="Q5409" s="20"/>
      <c r="R5409" s="20"/>
      <c r="S5409" s="20"/>
      <c r="T5409" s="20"/>
    </row>
    <row r="5410" spans="13:20" x14ac:dyDescent="0.2">
      <c r="M5410" s="20"/>
      <c r="N5410" s="20"/>
      <c r="O5410" s="20"/>
      <c r="P5410" s="20"/>
      <c r="Q5410" s="20"/>
      <c r="R5410" s="20"/>
      <c r="S5410" s="20"/>
      <c r="T5410" s="20"/>
    </row>
    <row r="5411" spans="13:20" x14ac:dyDescent="0.2">
      <c r="M5411" s="20"/>
      <c r="N5411" s="20"/>
      <c r="O5411" s="20"/>
      <c r="P5411" s="20"/>
      <c r="Q5411" s="20"/>
      <c r="R5411" s="20"/>
      <c r="S5411" s="20"/>
      <c r="T5411" s="20"/>
    </row>
    <row r="5412" spans="13:20" x14ac:dyDescent="0.2">
      <c r="M5412" s="20"/>
      <c r="N5412" s="20"/>
      <c r="O5412" s="20"/>
      <c r="P5412" s="20"/>
      <c r="Q5412" s="20"/>
      <c r="R5412" s="20"/>
      <c r="S5412" s="20"/>
      <c r="T5412" s="20"/>
    </row>
    <row r="5413" spans="13:20" x14ac:dyDescent="0.2">
      <c r="M5413" s="20"/>
      <c r="N5413" s="20"/>
      <c r="O5413" s="20"/>
      <c r="P5413" s="20"/>
      <c r="Q5413" s="20"/>
      <c r="R5413" s="20"/>
      <c r="S5413" s="20"/>
      <c r="T5413" s="20"/>
    </row>
    <row r="5414" spans="13:20" x14ac:dyDescent="0.2">
      <c r="M5414" s="20"/>
      <c r="N5414" s="20"/>
      <c r="O5414" s="20"/>
      <c r="P5414" s="20"/>
      <c r="Q5414" s="20"/>
      <c r="R5414" s="20"/>
      <c r="S5414" s="20"/>
      <c r="T5414" s="20"/>
    </row>
    <row r="5415" spans="13:20" x14ac:dyDescent="0.2">
      <c r="M5415" s="20"/>
      <c r="N5415" s="20"/>
      <c r="O5415" s="20"/>
      <c r="P5415" s="20"/>
      <c r="Q5415" s="20"/>
      <c r="R5415" s="20"/>
      <c r="S5415" s="20"/>
      <c r="T5415" s="20"/>
    </row>
    <row r="5416" spans="13:20" x14ac:dyDescent="0.2">
      <c r="M5416" s="20"/>
      <c r="N5416" s="20"/>
      <c r="O5416" s="20"/>
      <c r="P5416" s="20"/>
      <c r="Q5416" s="20"/>
      <c r="R5416" s="20"/>
      <c r="S5416" s="20"/>
      <c r="T5416" s="20"/>
    </row>
    <row r="5417" spans="13:20" x14ac:dyDescent="0.2">
      <c r="M5417" s="20"/>
      <c r="N5417" s="20"/>
      <c r="O5417" s="20"/>
      <c r="P5417" s="20"/>
      <c r="Q5417" s="20"/>
      <c r="R5417" s="20"/>
      <c r="S5417" s="20"/>
      <c r="T5417" s="20"/>
    </row>
    <row r="5418" spans="13:20" x14ac:dyDescent="0.2">
      <c r="M5418" s="20"/>
      <c r="N5418" s="20"/>
      <c r="O5418" s="20"/>
      <c r="P5418" s="20"/>
      <c r="Q5418" s="20"/>
      <c r="R5418" s="20"/>
      <c r="S5418" s="20"/>
      <c r="T5418" s="20"/>
    </row>
    <row r="5419" spans="13:20" x14ac:dyDescent="0.2">
      <c r="M5419" s="20"/>
      <c r="N5419" s="20"/>
      <c r="O5419" s="20"/>
      <c r="P5419" s="20"/>
      <c r="Q5419" s="20"/>
      <c r="R5419" s="20"/>
      <c r="S5419" s="20"/>
      <c r="T5419" s="20"/>
    </row>
    <row r="5420" spans="13:20" x14ac:dyDescent="0.2">
      <c r="M5420" s="20"/>
      <c r="N5420" s="20"/>
      <c r="O5420" s="20"/>
      <c r="P5420" s="20"/>
      <c r="Q5420" s="20"/>
      <c r="R5420" s="20"/>
      <c r="S5420" s="20"/>
      <c r="T5420" s="20"/>
    </row>
    <row r="5421" spans="13:20" x14ac:dyDescent="0.2">
      <c r="M5421" s="20"/>
      <c r="N5421" s="20"/>
      <c r="O5421" s="20"/>
      <c r="P5421" s="20"/>
      <c r="Q5421" s="20"/>
      <c r="R5421" s="20"/>
      <c r="S5421" s="20"/>
      <c r="T5421" s="20"/>
    </row>
    <row r="5422" spans="13:20" x14ac:dyDescent="0.2">
      <c r="M5422" s="20"/>
      <c r="N5422" s="20"/>
      <c r="O5422" s="20"/>
      <c r="P5422" s="20"/>
      <c r="Q5422" s="20"/>
      <c r="R5422" s="20"/>
      <c r="S5422" s="20"/>
      <c r="T5422" s="20"/>
    </row>
    <row r="5423" spans="13:20" x14ac:dyDescent="0.2">
      <c r="M5423" s="20"/>
      <c r="N5423" s="20"/>
      <c r="O5423" s="20"/>
      <c r="P5423" s="20"/>
      <c r="Q5423" s="20"/>
      <c r="R5423" s="20"/>
      <c r="S5423" s="20"/>
      <c r="T5423" s="20"/>
    </row>
    <row r="5424" spans="13:20" x14ac:dyDescent="0.2">
      <c r="M5424" s="20"/>
      <c r="N5424" s="20"/>
      <c r="O5424" s="20"/>
      <c r="P5424" s="20"/>
      <c r="Q5424" s="20"/>
      <c r="R5424" s="20"/>
      <c r="S5424" s="20"/>
      <c r="T5424" s="20"/>
    </row>
    <row r="5425" spans="13:20" x14ac:dyDescent="0.2">
      <c r="M5425" s="20"/>
      <c r="N5425" s="20"/>
      <c r="O5425" s="20"/>
      <c r="P5425" s="20"/>
      <c r="Q5425" s="20"/>
      <c r="R5425" s="20"/>
      <c r="S5425" s="20"/>
      <c r="T5425" s="20"/>
    </row>
    <row r="5426" spans="13:20" x14ac:dyDescent="0.2">
      <c r="M5426" s="20"/>
      <c r="N5426" s="20"/>
      <c r="O5426" s="20"/>
      <c r="P5426" s="20"/>
      <c r="Q5426" s="20"/>
      <c r="R5426" s="20"/>
      <c r="S5426" s="20"/>
      <c r="T5426" s="20"/>
    </row>
    <row r="5427" spans="13:20" x14ac:dyDescent="0.2">
      <c r="M5427" s="20"/>
      <c r="N5427" s="20"/>
      <c r="O5427" s="20"/>
      <c r="P5427" s="20"/>
      <c r="Q5427" s="20"/>
      <c r="R5427" s="20"/>
      <c r="S5427" s="20"/>
      <c r="T5427" s="20"/>
    </row>
    <row r="5428" spans="13:20" x14ac:dyDescent="0.2">
      <c r="M5428" s="20"/>
      <c r="N5428" s="20"/>
      <c r="O5428" s="20"/>
      <c r="P5428" s="20"/>
      <c r="Q5428" s="20"/>
      <c r="R5428" s="20"/>
      <c r="S5428" s="20"/>
      <c r="T5428" s="20"/>
    </row>
    <row r="5429" spans="13:20" x14ac:dyDescent="0.2">
      <c r="M5429" s="20"/>
      <c r="N5429" s="20"/>
      <c r="O5429" s="20"/>
      <c r="P5429" s="20"/>
      <c r="Q5429" s="20"/>
      <c r="R5429" s="20"/>
      <c r="S5429" s="20"/>
      <c r="T5429" s="20"/>
    </row>
    <row r="5430" spans="13:20" x14ac:dyDescent="0.2">
      <c r="M5430" s="20"/>
      <c r="N5430" s="20"/>
      <c r="O5430" s="20"/>
      <c r="P5430" s="20"/>
      <c r="Q5430" s="20"/>
      <c r="R5430" s="20"/>
      <c r="S5430" s="20"/>
      <c r="T5430" s="20"/>
    </row>
    <row r="5431" spans="13:20" x14ac:dyDescent="0.2">
      <c r="M5431" s="20"/>
      <c r="N5431" s="20"/>
      <c r="O5431" s="20"/>
      <c r="P5431" s="20"/>
      <c r="Q5431" s="20"/>
      <c r="R5431" s="20"/>
      <c r="S5431" s="20"/>
      <c r="T5431" s="20"/>
    </row>
    <row r="5432" spans="13:20" x14ac:dyDescent="0.2">
      <c r="M5432" s="20"/>
      <c r="N5432" s="20"/>
      <c r="O5432" s="20"/>
      <c r="P5432" s="20"/>
      <c r="Q5432" s="20"/>
      <c r="R5432" s="20"/>
      <c r="S5432" s="20"/>
      <c r="T5432" s="20"/>
    </row>
    <row r="5433" spans="13:20" x14ac:dyDescent="0.2">
      <c r="M5433" s="20"/>
      <c r="N5433" s="20"/>
      <c r="O5433" s="20"/>
      <c r="P5433" s="20"/>
      <c r="Q5433" s="20"/>
      <c r="R5433" s="20"/>
      <c r="S5433" s="20"/>
      <c r="T5433" s="20"/>
    </row>
    <row r="5434" spans="13:20" x14ac:dyDescent="0.2">
      <c r="M5434" s="20"/>
      <c r="N5434" s="20"/>
      <c r="O5434" s="20"/>
      <c r="P5434" s="20"/>
      <c r="Q5434" s="20"/>
      <c r="R5434" s="20"/>
      <c r="S5434" s="20"/>
      <c r="T5434" s="20"/>
    </row>
    <row r="5435" spans="13:20" x14ac:dyDescent="0.2">
      <c r="M5435" s="20"/>
      <c r="N5435" s="20"/>
      <c r="O5435" s="20"/>
      <c r="P5435" s="20"/>
      <c r="Q5435" s="20"/>
      <c r="R5435" s="20"/>
      <c r="S5435" s="20"/>
      <c r="T5435" s="20"/>
    </row>
    <row r="5436" spans="13:20" x14ac:dyDescent="0.2">
      <c r="M5436" s="20"/>
      <c r="N5436" s="20"/>
      <c r="O5436" s="20"/>
      <c r="P5436" s="20"/>
      <c r="Q5436" s="20"/>
      <c r="R5436" s="20"/>
      <c r="S5436" s="20"/>
      <c r="T5436" s="20"/>
    </row>
    <row r="5437" spans="13:20" x14ac:dyDescent="0.2">
      <c r="M5437" s="20"/>
      <c r="N5437" s="20"/>
      <c r="O5437" s="20"/>
      <c r="P5437" s="20"/>
      <c r="Q5437" s="20"/>
      <c r="R5437" s="20"/>
      <c r="S5437" s="20"/>
      <c r="T5437" s="20"/>
    </row>
    <row r="5438" spans="13:20" x14ac:dyDescent="0.2">
      <c r="M5438" s="20"/>
      <c r="N5438" s="20"/>
      <c r="O5438" s="20"/>
      <c r="P5438" s="20"/>
      <c r="Q5438" s="20"/>
      <c r="R5438" s="20"/>
      <c r="S5438" s="20"/>
      <c r="T5438" s="20"/>
    </row>
    <row r="5439" spans="13:20" x14ac:dyDescent="0.2">
      <c r="M5439" s="20"/>
      <c r="N5439" s="20"/>
      <c r="O5439" s="20"/>
      <c r="P5439" s="20"/>
      <c r="Q5439" s="20"/>
      <c r="R5439" s="20"/>
      <c r="S5439" s="20"/>
      <c r="T5439" s="20"/>
    </row>
    <row r="5440" spans="13:20" x14ac:dyDescent="0.2">
      <c r="M5440" s="20"/>
      <c r="N5440" s="20"/>
      <c r="O5440" s="20"/>
      <c r="P5440" s="20"/>
      <c r="Q5440" s="20"/>
      <c r="R5440" s="20"/>
      <c r="S5440" s="20"/>
      <c r="T5440" s="20"/>
    </row>
    <row r="5441" spans="13:20" x14ac:dyDescent="0.2">
      <c r="M5441" s="20"/>
      <c r="N5441" s="20"/>
      <c r="O5441" s="20"/>
      <c r="P5441" s="20"/>
      <c r="Q5441" s="20"/>
      <c r="R5441" s="20"/>
      <c r="S5441" s="20"/>
      <c r="T5441" s="20"/>
    </row>
    <row r="5442" spans="13:20" x14ac:dyDescent="0.2">
      <c r="M5442" s="20"/>
      <c r="N5442" s="20"/>
      <c r="O5442" s="20"/>
      <c r="P5442" s="20"/>
      <c r="Q5442" s="20"/>
      <c r="R5442" s="20"/>
      <c r="S5442" s="20"/>
      <c r="T5442" s="20"/>
    </row>
    <row r="5443" spans="13:20" x14ac:dyDescent="0.2">
      <c r="M5443" s="20"/>
      <c r="N5443" s="20"/>
      <c r="O5443" s="20"/>
      <c r="P5443" s="20"/>
      <c r="Q5443" s="20"/>
      <c r="R5443" s="20"/>
      <c r="S5443" s="20"/>
      <c r="T5443" s="20"/>
    </row>
    <row r="5444" spans="13:20" x14ac:dyDescent="0.2">
      <c r="M5444" s="20"/>
      <c r="N5444" s="20"/>
      <c r="O5444" s="20"/>
      <c r="P5444" s="20"/>
      <c r="Q5444" s="20"/>
      <c r="R5444" s="20"/>
      <c r="S5444" s="20"/>
      <c r="T5444" s="20"/>
    </row>
    <row r="5445" spans="13:20" x14ac:dyDescent="0.2">
      <c r="M5445" s="20"/>
      <c r="N5445" s="20"/>
      <c r="O5445" s="20"/>
      <c r="P5445" s="20"/>
      <c r="Q5445" s="20"/>
      <c r="R5445" s="20"/>
      <c r="S5445" s="20"/>
      <c r="T5445" s="20"/>
    </row>
    <row r="5446" spans="13:20" x14ac:dyDescent="0.2">
      <c r="M5446" s="20"/>
      <c r="N5446" s="20"/>
      <c r="O5446" s="20"/>
      <c r="P5446" s="20"/>
      <c r="Q5446" s="20"/>
      <c r="R5446" s="20"/>
      <c r="S5446" s="20"/>
      <c r="T5446" s="20"/>
    </row>
    <row r="5447" spans="13:20" x14ac:dyDescent="0.2">
      <c r="M5447" s="20"/>
      <c r="N5447" s="20"/>
      <c r="O5447" s="20"/>
      <c r="P5447" s="20"/>
      <c r="Q5447" s="20"/>
      <c r="R5447" s="20"/>
      <c r="S5447" s="20"/>
      <c r="T5447" s="20"/>
    </row>
    <row r="5448" spans="13:20" x14ac:dyDescent="0.2">
      <c r="M5448" s="20"/>
      <c r="N5448" s="20"/>
      <c r="O5448" s="20"/>
      <c r="P5448" s="20"/>
      <c r="Q5448" s="20"/>
      <c r="R5448" s="20"/>
      <c r="S5448" s="20"/>
      <c r="T5448" s="20"/>
    </row>
    <row r="5449" spans="13:20" x14ac:dyDescent="0.2">
      <c r="M5449" s="20"/>
      <c r="N5449" s="20"/>
      <c r="O5449" s="20"/>
      <c r="P5449" s="20"/>
      <c r="Q5449" s="20"/>
      <c r="R5449" s="20"/>
      <c r="S5449" s="20"/>
      <c r="T5449" s="20"/>
    </row>
    <row r="5450" spans="13:20" x14ac:dyDescent="0.2">
      <c r="M5450" s="20"/>
      <c r="N5450" s="20"/>
      <c r="O5450" s="20"/>
      <c r="P5450" s="20"/>
      <c r="Q5450" s="20"/>
      <c r="R5450" s="20"/>
      <c r="S5450" s="20"/>
      <c r="T5450" s="20"/>
    </row>
    <row r="5451" spans="13:20" x14ac:dyDescent="0.2">
      <c r="M5451" s="20"/>
      <c r="N5451" s="20"/>
      <c r="O5451" s="20"/>
      <c r="P5451" s="20"/>
      <c r="Q5451" s="20"/>
      <c r="R5451" s="20"/>
      <c r="S5451" s="20"/>
      <c r="T5451" s="20"/>
    </row>
    <row r="5452" spans="13:20" x14ac:dyDescent="0.2">
      <c r="M5452" s="20"/>
      <c r="N5452" s="20"/>
      <c r="O5452" s="20"/>
      <c r="P5452" s="20"/>
      <c r="Q5452" s="20"/>
      <c r="R5452" s="20"/>
      <c r="S5452" s="20"/>
      <c r="T5452" s="20"/>
    </row>
    <row r="5453" spans="13:20" x14ac:dyDescent="0.2">
      <c r="M5453" s="20"/>
      <c r="N5453" s="20"/>
      <c r="O5453" s="20"/>
      <c r="P5453" s="20"/>
      <c r="Q5453" s="20"/>
      <c r="R5453" s="20"/>
      <c r="S5453" s="20"/>
      <c r="T5453" s="20"/>
    </row>
    <row r="5454" spans="13:20" x14ac:dyDescent="0.2">
      <c r="M5454" s="20"/>
      <c r="N5454" s="20"/>
      <c r="O5454" s="20"/>
      <c r="P5454" s="20"/>
      <c r="Q5454" s="20"/>
      <c r="R5454" s="20"/>
      <c r="S5454" s="20"/>
      <c r="T5454" s="20"/>
    </row>
    <row r="5455" spans="13:20" x14ac:dyDescent="0.2">
      <c r="M5455" s="20"/>
      <c r="N5455" s="20"/>
      <c r="O5455" s="20"/>
      <c r="P5455" s="20"/>
      <c r="Q5455" s="20"/>
      <c r="R5455" s="20"/>
      <c r="S5455" s="20"/>
      <c r="T5455" s="20"/>
    </row>
    <row r="5456" spans="13:20" x14ac:dyDescent="0.2">
      <c r="M5456" s="20"/>
      <c r="N5456" s="20"/>
      <c r="O5456" s="20"/>
      <c r="P5456" s="20"/>
      <c r="Q5456" s="20"/>
      <c r="R5456" s="20"/>
      <c r="S5456" s="20"/>
      <c r="T5456" s="20"/>
    </row>
    <row r="5457" spans="13:20" x14ac:dyDescent="0.2">
      <c r="M5457" s="20"/>
      <c r="N5457" s="20"/>
      <c r="O5457" s="20"/>
      <c r="P5457" s="20"/>
      <c r="Q5457" s="20"/>
      <c r="R5457" s="20"/>
      <c r="S5457" s="20"/>
      <c r="T5457" s="20"/>
    </row>
    <row r="5458" spans="13:20" x14ac:dyDescent="0.2">
      <c r="M5458" s="20"/>
      <c r="N5458" s="20"/>
      <c r="O5458" s="20"/>
      <c r="P5458" s="20"/>
      <c r="Q5458" s="20"/>
      <c r="R5458" s="20"/>
      <c r="S5458" s="20"/>
      <c r="T5458" s="20"/>
    </row>
    <row r="5459" spans="13:20" x14ac:dyDescent="0.2">
      <c r="M5459" s="20"/>
      <c r="N5459" s="20"/>
      <c r="O5459" s="20"/>
      <c r="P5459" s="20"/>
      <c r="Q5459" s="20"/>
      <c r="R5459" s="20"/>
      <c r="S5459" s="20"/>
      <c r="T5459" s="20"/>
    </row>
    <row r="5460" spans="13:20" x14ac:dyDescent="0.2">
      <c r="M5460" s="20"/>
      <c r="N5460" s="20"/>
      <c r="O5460" s="20"/>
      <c r="P5460" s="20"/>
      <c r="Q5460" s="20"/>
      <c r="R5460" s="20"/>
      <c r="S5460" s="20"/>
      <c r="T5460" s="20"/>
    </row>
    <row r="5461" spans="13:20" x14ac:dyDescent="0.2">
      <c r="M5461" s="20"/>
      <c r="N5461" s="20"/>
      <c r="O5461" s="20"/>
      <c r="P5461" s="20"/>
      <c r="Q5461" s="20"/>
      <c r="R5461" s="20"/>
      <c r="S5461" s="20"/>
      <c r="T5461" s="20"/>
    </row>
    <row r="5462" spans="13:20" x14ac:dyDescent="0.2">
      <c r="M5462" s="20"/>
      <c r="N5462" s="20"/>
      <c r="O5462" s="20"/>
      <c r="P5462" s="20"/>
      <c r="Q5462" s="20"/>
      <c r="R5462" s="20"/>
      <c r="S5462" s="20"/>
      <c r="T5462" s="20"/>
    </row>
    <row r="5463" spans="13:20" x14ac:dyDescent="0.2">
      <c r="M5463" s="20"/>
      <c r="N5463" s="20"/>
      <c r="O5463" s="20"/>
      <c r="P5463" s="20"/>
      <c r="Q5463" s="20"/>
      <c r="R5463" s="20"/>
      <c r="S5463" s="20"/>
      <c r="T5463" s="20"/>
    </row>
    <row r="5464" spans="13:20" x14ac:dyDescent="0.2">
      <c r="M5464" s="20"/>
      <c r="N5464" s="20"/>
      <c r="O5464" s="20"/>
      <c r="P5464" s="20"/>
      <c r="Q5464" s="20"/>
      <c r="R5464" s="20"/>
      <c r="S5464" s="20"/>
      <c r="T5464" s="20"/>
    </row>
    <row r="5465" spans="13:20" x14ac:dyDescent="0.2">
      <c r="M5465" s="20"/>
      <c r="N5465" s="20"/>
      <c r="O5465" s="20"/>
      <c r="P5465" s="20"/>
      <c r="Q5465" s="20"/>
      <c r="R5465" s="20"/>
      <c r="S5465" s="20"/>
      <c r="T5465" s="20"/>
    </row>
    <row r="5466" spans="13:20" x14ac:dyDescent="0.2">
      <c r="M5466" s="20"/>
      <c r="N5466" s="20"/>
      <c r="O5466" s="20"/>
      <c r="P5466" s="20"/>
      <c r="Q5466" s="20"/>
      <c r="R5466" s="20"/>
      <c r="S5466" s="20"/>
      <c r="T5466" s="20"/>
    </row>
    <row r="5467" spans="13:20" x14ac:dyDescent="0.2">
      <c r="M5467" s="20"/>
      <c r="N5467" s="20"/>
      <c r="O5467" s="20"/>
      <c r="P5467" s="20"/>
      <c r="Q5467" s="20"/>
      <c r="R5467" s="20"/>
      <c r="S5467" s="20"/>
      <c r="T5467" s="20"/>
    </row>
    <row r="5468" spans="13:20" x14ac:dyDescent="0.2">
      <c r="M5468" s="20"/>
      <c r="N5468" s="20"/>
      <c r="O5468" s="20"/>
      <c r="P5468" s="20"/>
      <c r="Q5468" s="20"/>
      <c r="R5468" s="20"/>
      <c r="S5468" s="20"/>
      <c r="T5468" s="20"/>
    </row>
    <row r="5469" spans="13:20" x14ac:dyDescent="0.2">
      <c r="M5469" s="20"/>
      <c r="N5469" s="20"/>
      <c r="O5469" s="20"/>
      <c r="P5469" s="20"/>
      <c r="Q5469" s="20"/>
      <c r="R5469" s="20"/>
      <c r="S5469" s="20"/>
      <c r="T5469" s="20"/>
    </row>
    <row r="5470" spans="13:20" x14ac:dyDescent="0.2">
      <c r="M5470" s="20"/>
      <c r="N5470" s="20"/>
      <c r="O5470" s="20"/>
      <c r="P5470" s="20"/>
      <c r="Q5470" s="20"/>
      <c r="R5470" s="20"/>
      <c r="S5470" s="20"/>
      <c r="T5470" s="20"/>
    </row>
    <row r="5471" spans="13:20" x14ac:dyDescent="0.2">
      <c r="M5471" s="20"/>
      <c r="N5471" s="20"/>
      <c r="O5471" s="20"/>
      <c r="P5471" s="20"/>
      <c r="Q5471" s="20"/>
      <c r="R5471" s="20"/>
      <c r="S5471" s="20"/>
      <c r="T5471" s="20"/>
    </row>
    <row r="5472" spans="13:20" x14ac:dyDescent="0.2">
      <c r="M5472" s="20"/>
      <c r="N5472" s="20"/>
      <c r="O5472" s="20"/>
      <c r="P5472" s="20"/>
      <c r="Q5472" s="20"/>
      <c r="R5472" s="20"/>
      <c r="S5472" s="20"/>
      <c r="T5472" s="20"/>
    </row>
    <row r="5473" spans="13:20" x14ac:dyDescent="0.2">
      <c r="M5473" s="20"/>
      <c r="N5473" s="20"/>
      <c r="O5473" s="20"/>
      <c r="P5473" s="20"/>
      <c r="Q5473" s="20"/>
      <c r="R5473" s="20"/>
      <c r="S5473" s="20"/>
      <c r="T5473" s="20"/>
    </row>
    <row r="5474" spans="13:20" x14ac:dyDescent="0.2">
      <c r="M5474" s="20"/>
      <c r="N5474" s="20"/>
      <c r="O5474" s="20"/>
      <c r="P5474" s="20"/>
      <c r="Q5474" s="20"/>
      <c r="R5474" s="20"/>
      <c r="S5474" s="20"/>
      <c r="T5474" s="20"/>
    </row>
    <row r="5475" spans="13:20" x14ac:dyDescent="0.2">
      <c r="M5475" s="20"/>
      <c r="N5475" s="20"/>
      <c r="O5475" s="20"/>
      <c r="P5475" s="20"/>
      <c r="Q5475" s="20"/>
      <c r="R5475" s="20"/>
      <c r="S5475" s="20"/>
      <c r="T5475" s="20"/>
    </row>
    <row r="5476" spans="13:20" x14ac:dyDescent="0.2">
      <c r="M5476" s="20"/>
      <c r="N5476" s="20"/>
      <c r="O5476" s="20"/>
      <c r="P5476" s="20"/>
      <c r="Q5476" s="20"/>
      <c r="R5476" s="20"/>
      <c r="S5476" s="20"/>
      <c r="T5476" s="20"/>
    </row>
    <row r="5477" spans="13:20" x14ac:dyDescent="0.2">
      <c r="M5477" s="20"/>
      <c r="N5477" s="20"/>
      <c r="O5477" s="20"/>
      <c r="P5477" s="20"/>
      <c r="Q5477" s="20"/>
      <c r="R5477" s="20"/>
      <c r="S5477" s="20"/>
      <c r="T5477" s="20"/>
    </row>
    <row r="5478" spans="13:20" x14ac:dyDescent="0.2">
      <c r="M5478" s="20"/>
      <c r="N5478" s="20"/>
      <c r="O5478" s="20"/>
      <c r="P5478" s="20"/>
      <c r="Q5478" s="20"/>
      <c r="R5478" s="20"/>
      <c r="S5478" s="20"/>
      <c r="T5478" s="20"/>
    </row>
    <row r="5479" spans="13:20" x14ac:dyDescent="0.2">
      <c r="M5479" s="20"/>
      <c r="N5479" s="20"/>
      <c r="O5479" s="20"/>
      <c r="P5479" s="20"/>
      <c r="Q5479" s="20"/>
      <c r="R5479" s="20"/>
      <c r="S5479" s="20"/>
      <c r="T5479" s="20"/>
    </row>
    <row r="5480" spans="13:20" x14ac:dyDescent="0.2">
      <c r="M5480" s="20"/>
      <c r="N5480" s="20"/>
      <c r="O5480" s="20"/>
      <c r="P5480" s="20"/>
      <c r="Q5480" s="20"/>
      <c r="R5480" s="20"/>
      <c r="S5480" s="20"/>
      <c r="T5480" s="20"/>
    </row>
    <row r="5481" spans="13:20" x14ac:dyDescent="0.2">
      <c r="M5481" s="20"/>
      <c r="N5481" s="20"/>
      <c r="O5481" s="20"/>
      <c r="P5481" s="20"/>
      <c r="Q5481" s="20"/>
      <c r="R5481" s="20"/>
      <c r="S5481" s="20"/>
      <c r="T5481" s="20"/>
    </row>
    <row r="5482" spans="13:20" x14ac:dyDescent="0.2">
      <c r="M5482" s="20"/>
      <c r="N5482" s="20"/>
      <c r="O5482" s="20"/>
      <c r="P5482" s="20"/>
      <c r="Q5482" s="20"/>
      <c r="R5482" s="20"/>
      <c r="S5482" s="20"/>
      <c r="T5482" s="20"/>
    </row>
    <row r="5483" spans="13:20" x14ac:dyDescent="0.2">
      <c r="M5483" s="20"/>
      <c r="N5483" s="20"/>
      <c r="O5483" s="20"/>
      <c r="P5483" s="20"/>
      <c r="Q5483" s="20"/>
      <c r="R5483" s="20"/>
      <c r="S5483" s="20"/>
      <c r="T5483" s="20"/>
    </row>
    <row r="5484" spans="13:20" x14ac:dyDescent="0.2">
      <c r="M5484" s="20"/>
      <c r="N5484" s="20"/>
      <c r="O5484" s="20"/>
      <c r="P5484" s="20"/>
      <c r="Q5484" s="20"/>
      <c r="R5484" s="20"/>
      <c r="S5484" s="20"/>
      <c r="T5484" s="20"/>
    </row>
    <row r="5485" spans="13:20" x14ac:dyDescent="0.2">
      <c r="M5485" s="20"/>
      <c r="N5485" s="20"/>
      <c r="O5485" s="20"/>
      <c r="P5485" s="20"/>
      <c r="Q5485" s="20"/>
      <c r="R5485" s="20"/>
      <c r="S5485" s="20"/>
      <c r="T5485" s="20"/>
    </row>
    <row r="5486" spans="13:20" x14ac:dyDescent="0.2">
      <c r="M5486" s="20"/>
      <c r="N5486" s="20"/>
      <c r="O5486" s="20"/>
      <c r="P5486" s="20"/>
      <c r="Q5486" s="20"/>
      <c r="R5486" s="20"/>
      <c r="S5486" s="20"/>
      <c r="T5486" s="20"/>
    </row>
    <row r="5487" spans="13:20" x14ac:dyDescent="0.2">
      <c r="M5487" s="20"/>
      <c r="N5487" s="20"/>
      <c r="O5487" s="20"/>
      <c r="P5487" s="20"/>
      <c r="Q5487" s="20"/>
      <c r="R5487" s="20"/>
      <c r="S5487" s="20"/>
      <c r="T5487" s="20"/>
    </row>
    <row r="5488" spans="13:20" x14ac:dyDescent="0.2">
      <c r="M5488" s="20"/>
      <c r="N5488" s="20"/>
      <c r="O5488" s="20"/>
      <c r="P5488" s="20"/>
      <c r="Q5488" s="20"/>
      <c r="R5488" s="20"/>
      <c r="S5488" s="20"/>
      <c r="T5488" s="20"/>
    </row>
    <row r="5489" spans="13:20" x14ac:dyDescent="0.2">
      <c r="M5489" s="20"/>
      <c r="N5489" s="20"/>
      <c r="O5489" s="20"/>
      <c r="P5489" s="20"/>
      <c r="Q5489" s="20"/>
      <c r="R5489" s="20"/>
      <c r="S5489" s="20"/>
      <c r="T5489" s="20"/>
    </row>
    <row r="5490" spans="13:20" x14ac:dyDescent="0.2">
      <c r="M5490" s="20"/>
      <c r="N5490" s="20"/>
      <c r="O5490" s="20"/>
      <c r="P5490" s="20"/>
      <c r="Q5490" s="20"/>
      <c r="R5490" s="20"/>
      <c r="S5490" s="20"/>
      <c r="T5490" s="20"/>
    </row>
    <row r="5491" spans="13:20" x14ac:dyDescent="0.2">
      <c r="M5491" s="20"/>
      <c r="N5491" s="20"/>
      <c r="O5491" s="20"/>
      <c r="P5491" s="20"/>
      <c r="Q5491" s="20"/>
      <c r="R5491" s="20"/>
      <c r="S5491" s="20"/>
      <c r="T5491" s="20"/>
    </row>
    <row r="5492" spans="13:20" x14ac:dyDescent="0.2">
      <c r="M5492" s="20"/>
      <c r="N5492" s="20"/>
      <c r="O5492" s="20"/>
      <c r="P5492" s="20"/>
      <c r="Q5492" s="20"/>
      <c r="R5492" s="20"/>
      <c r="S5492" s="20"/>
      <c r="T5492" s="20"/>
    </row>
    <row r="5493" spans="13:20" x14ac:dyDescent="0.2">
      <c r="M5493" s="20"/>
      <c r="N5493" s="20"/>
      <c r="O5493" s="20"/>
      <c r="P5493" s="20"/>
      <c r="Q5493" s="20"/>
      <c r="R5493" s="20"/>
      <c r="S5493" s="20"/>
      <c r="T5493" s="20"/>
    </row>
    <row r="5494" spans="13:20" x14ac:dyDescent="0.2">
      <c r="M5494" s="20"/>
      <c r="N5494" s="20"/>
      <c r="O5494" s="20"/>
      <c r="P5494" s="20"/>
      <c r="Q5494" s="20"/>
      <c r="R5494" s="20"/>
      <c r="S5494" s="20"/>
      <c r="T5494" s="20"/>
    </row>
    <row r="5495" spans="13:20" x14ac:dyDescent="0.2">
      <c r="M5495" s="20"/>
      <c r="N5495" s="20"/>
      <c r="O5495" s="20"/>
      <c r="P5495" s="20"/>
      <c r="Q5495" s="20"/>
      <c r="R5495" s="20"/>
      <c r="S5495" s="20"/>
      <c r="T5495" s="20"/>
    </row>
    <row r="5496" spans="13:20" x14ac:dyDescent="0.2">
      <c r="M5496" s="20"/>
      <c r="N5496" s="20"/>
      <c r="O5496" s="20"/>
      <c r="P5496" s="20"/>
      <c r="Q5496" s="20"/>
      <c r="R5496" s="20"/>
      <c r="S5496" s="20"/>
      <c r="T5496" s="20"/>
    </row>
    <row r="5497" spans="13:20" x14ac:dyDescent="0.2">
      <c r="M5497" s="20"/>
      <c r="N5497" s="20"/>
      <c r="O5497" s="20"/>
      <c r="P5497" s="20"/>
      <c r="Q5497" s="20"/>
      <c r="R5497" s="20"/>
      <c r="S5497" s="20"/>
      <c r="T5497" s="20"/>
    </row>
    <row r="5498" spans="13:20" x14ac:dyDescent="0.2">
      <c r="M5498" s="20"/>
      <c r="N5498" s="20"/>
      <c r="O5498" s="20"/>
      <c r="P5498" s="20"/>
      <c r="Q5498" s="20"/>
      <c r="R5498" s="20"/>
      <c r="S5498" s="20"/>
      <c r="T5498" s="20"/>
    </row>
    <row r="5499" spans="13:20" x14ac:dyDescent="0.2">
      <c r="M5499" s="20"/>
      <c r="N5499" s="20"/>
      <c r="O5499" s="20"/>
      <c r="P5499" s="20"/>
      <c r="Q5499" s="20"/>
      <c r="R5499" s="20"/>
      <c r="S5499" s="20"/>
      <c r="T5499" s="20"/>
    </row>
    <row r="5500" spans="13:20" x14ac:dyDescent="0.2">
      <c r="M5500" s="20"/>
      <c r="N5500" s="20"/>
      <c r="O5500" s="20"/>
      <c r="P5500" s="20"/>
      <c r="Q5500" s="20"/>
      <c r="R5500" s="20"/>
      <c r="S5500" s="20"/>
      <c r="T5500" s="20"/>
    </row>
    <row r="5501" spans="13:20" x14ac:dyDescent="0.2">
      <c r="M5501" s="20"/>
      <c r="N5501" s="20"/>
      <c r="O5501" s="20"/>
      <c r="P5501" s="20"/>
      <c r="Q5501" s="20"/>
      <c r="R5501" s="20"/>
      <c r="S5501" s="20"/>
      <c r="T5501" s="20"/>
    </row>
    <row r="5502" spans="13:20" x14ac:dyDescent="0.2">
      <c r="M5502" s="20"/>
      <c r="N5502" s="20"/>
      <c r="O5502" s="20"/>
      <c r="P5502" s="20"/>
      <c r="Q5502" s="20"/>
      <c r="R5502" s="20"/>
      <c r="S5502" s="20"/>
      <c r="T5502" s="20"/>
    </row>
    <row r="5503" spans="13:20" x14ac:dyDescent="0.2">
      <c r="M5503" s="20"/>
      <c r="N5503" s="20"/>
      <c r="O5503" s="20"/>
      <c r="P5503" s="20"/>
      <c r="Q5503" s="20"/>
      <c r="R5503" s="20"/>
      <c r="S5503" s="20"/>
      <c r="T5503" s="20"/>
    </row>
    <row r="5504" spans="13:20" x14ac:dyDescent="0.2">
      <c r="M5504" s="20"/>
      <c r="N5504" s="20"/>
      <c r="O5504" s="20"/>
      <c r="P5504" s="20"/>
      <c r="Q5504" s="20"/>
      <c r="R5504" s="20"/>
      <c r="S5504" s="20"/>
      <c r="T5504" s="20"/>
    </row>
    <row r="5505" spans="13:20" x14ac:dyDescent="0.2">
      <c r="M5505" s="20"/>
      <c r="N5505" s="20"/>
      <c r="O5505" s="20"/>
      <c r="P5505" s="20"/>
      <c r="Q5505" s="20"/>
      <c r="R5505" s="20"/>
      <c r="S5505" s="20"/>
      <c r="T5505" s="20"/>
    </row>
    <row r="5506" spans="13:20" x14ac:dyDescent="0.2">
      <c r="M5506" s="20"/>
      <c r="N5506" s="20"/>
      <c r="O5506" s="20"/>
      <c r="P5506" s="20"/>
      <c r="Q5506" s="20"/>
      <c r="R5506" s="20"/>
      <c r="S5506" s="20"/>
      <c r="T5506" s="20"/>
    </row>
    <row r="5507" spans="13:20" x14ac:dyDescent="0.2">
      <c r="M5507" s="20"/>
      <c r="N5507" s="20"/>
      <c r="O5507" s="20"/>
      <c r="P5507" s="20"/>
      <c r="Q5507" s="20"/>
      <c r="R5507" s="20"/>
      <c r="S5507" s="20"/>
      <c r="T5507" s="20"/>
    </row>
    <row r="5508" spans="13:20" x14ac:dyDescent="0.2">
      <c r="M5508" s="20"/>
      <c r="N5508" s="20"/>
      <c r="O5508" s="20"/>
      <c r="P5508" s="20"/>
      <c r="Q5508" s="20"/>
      <c r="R5508" s="20"/>
      <c r="S5508" s="20"/>
      <c r="T5508" s="20"/>
    </row>
    <row r="5509" spans="13:20" x14ac:dyDescent="0.2">
      <c r="M5509" s="20"/>
      <c r="N5509" s="20"/>
      <c r="O5509" s="20"/>
      <c r="P5509" s="20"/>
      <c r="Q5509" s="20"/>
      <c r="R5509" s="20"/>
      <c r="S5509" s="20"/>
      <c r="T5509" s="20"/>
    </row>
    <row r="5510" spans="13:20" x14ac:dyDescent="0.2">
      <c r="M5510" s="20"/>
      <c r="N5510" s="20"/>
      <c r="O5510" s="20"/>
      <c r="P5510" s="20"/>
      <c r="Q5510" s="20"/>
      <c r="R5510" s="20"/>
      <c r="S5510" s="20"/>
      <c r="T5510" s="20"/>
    </row>
    <row r="5511" spans="13:20" x14ac:dyDescent="0.2">
      <c r="M5511" s="20"/>
      <c r="N5511" s="20"/>
      <c r="O5511" s="20"/>
      <c r="P5511" s="20"/>
      <c r="Q5511" s="20"/>
      <c r="R5511" s="20"/>
      <c r="S5511" s="20"/>
      <c r="T5511" s="20"/>
    </row>
    <row r="5512" spans="13:20" x14ac:dyDescent="0.2">
      <c r="M5512" s="20"/>
      <c r="N5512" s="20"/>
      <c r="O5512" s="20"/>
      <c r="P5512" s="20"/>
      <c r="Q5512" s="20"/>
      <c r="R5512" s="20"/>
      <c r="S5512" s="20"/>
      <c r="T5512" s="20"/>
    </row>
    <row r="5513" spans="13:20" x14ac:dyDescent="0.2">
      <c r="M5513" s="20"/>
      <c r="N5513" s="20"/>
      <c r="O5513" s="20"/>
      <c r="P5513" s="20"/>
      <c r="Q5513" s="20"/>
      <c r="R5513" s="20"/>
      <c r="S5513" s="20"/>
      <c r="T5513" s="20"/>
    </row>
    <row r="5514" spans="13:20" x14ac:dyDescent="0.2">
      <c r="M5514" s="20"/>
      <c r="N5514" s="20"/>
      <c r="O5514" s="20"/>
      <c r="P5514" s="20"/>
      <c r="Q5514" s="20"/>
      <c r="R5514" s="20"/>
      <c r="S5514" s="20"/>
      <c r="T5514" s="20"/>
    </row>
    <row r="5515" spans="13:20" x14ac:dyDescent="0.2">
      <c r="M5515" s="20"/>
      <c r="N5515" s="20"/>
      <c r="O5515" s="20"/>
      <c r="P5515" s="20"/>
      <c r="Q5515" s="20"/>
      <c r="R5515" s="20"/>
      <c r="S5515" s="20"/>
      <c r="T5515" s="20"/>
    </row>
    <row r="5516" spans="13:20" x14ac:dyDescent="0.2">
      <c r="M5516" s="20"/>
      <c r="N5516" s="20"/>
      <c r="O5516" s="20"/>
      <c r="P5516" s="20"/>
      <c r="Q5516" s="20"/>
      <c r="R5516" s="20"/>
      <c r="S5516" s="20"/>
      <c r="T5516" s="20"/>
    </row>
    <row r="5517" spans="13:20" x14ac:dyDescent="0.2">
      <c r="M5517" s="20"/>
      <c r="N5517" s="20"/>
      <c r="O5517" s="20"/>
      <c r="P5517" s="20"/>
      <c r="Q5517" s="20"/>
      <c r="R5517" s="20"/>
      <c r="S5517" s="20"/>
      <c r="T5517" s="20"/>
    </row>
    <row r="5518" spans="13:20" x14ac:dyDescent="0.2">
      <c r="M5518" s="20"/>
      <c r="N5518" s="20"/>
      <c r="O5518" s="20"/>
      <c r="P5518" s="20"/>
      <c r="Q5518" s="20"/>
      <c r="R5518" s="20"/>
      <c r="S5518" s="20"/>
      <c r="T5518" s="20"/>
    </row>
    <row r="5519" spans="13:20" x14ac:dyDescent="0.2">
      <c r="M5519" s="20"/>
      <c r="N5519" s="20"/>
      <c r="O5519" s="20"/>
      <c r="P5519" s="20"/>
      <c r="Q5519" s="20"/>
      <c r="R5519" s="20"/>
      <c r="S5519" s="20"/>
      <c r="T5519" s="20"/>
    </row>
    <row r="5520" spans="13:20" x14ac:dyDescent="0.2">
      <c r="M5520" s="20"/>
      <c r="N5520" s="20"/>
      <c r="O5520" s="20"/>
      <c r="P5520" s="20"/>
      <c r="Q5520" s="20"/>
      <c r="R5520" s="20"/>
      <c r="S5520" s="20"/>
      <c r="T5520" s="20"/>
    </row>
    <row r="5521" spans="13:20" x14ac:dyDescent="0.2">
      <c r="M5521" s="20"/>
      <c r="N5521" s="20"/>
      <c r="O5521" s="20"/>
      <c r="P5521" s="20"/>
      <c r="Q5521" s="20"/>
      <c r="R5521" s="20"/>
      <c r="S5521" s="20"/>
      <c r="T5521" s="20"/>
    </row>
    <row r="5522" spans="13:20" x14ac:dyDescent="0.2">
      <c r="M5522" s="20"/>
      <c r="N5522" s="20"/>
      <c r="O5522" s="20"/>
      <c r="P5522" s="20"/>
      <c r="Q5522" s="20"/>
      <c r="R5522" s="20"/>
      <c r="S5522" s="20"/>
      <c r="T5522" s="20"/>
    </row>
    <row r="5523" spans="13:20" x14ac:dyDescent="0.2">
      <c r="M5523" s="20"/>
      <c r="N5523" s="20"/>
      <c r="O5523" s="20"/>
      <c r="P5523" s="20"/>
      <c r="Q5523" s="20"/>
      <c r="R5523" s="20"/>
      <c r="S5523" s="20"/>
      <c r="T5523" s="20"/>
    </row>
    <row r="5524" spans="13:20" x14ac:dyDescent="0.2">
      <c r="M5524" s="20"/>
      <c r="N5524" s="20"/>
      <c r="O5524" s="20"/>
      <c r="P5524" s="20"/>
      <c r="Q5524" s="20"/>
      <c r="R5524" s="20"/>
      <c r="S5524" s="20"/>
      <c r="T5524" s="20"/>
    </row>
    <row r="5525" spans="13:20" x14ac:dyDescent="0.2">
      <c r="M5525" s="20"/>
      <c r="N5525" s="20"/>
      <c r="O5525" s="20"/>
      <c r="P5525" s="20"/>
      <c r="Q5525" s="20"/>
      <c r="R5525" s="20"/>
      <c r="S5525" s="20"/>
      <c r="T5525" s="20"/>
    </row>
    <row r="5526" spans="13:20" x14ac:dyDescent="0.2">
      <c r="M5526" s="20"/>
      <c r="N5526" s="20"/>
      <c r="O5526" s="20"/>
      <c r="P5526" s="20"/>
      <c r="Q5526" s="20"/>
      <c r="R5526" s="20"/>
      <c r="S5526" s="20"/>
      <c r="T5526" s="20"/>
    </row>
    <row r="5527" spans="13:20" x14ac:dyDescent="0.2">
      <c r="M5527" s="20"/>
      <c r="N5527" s="20"/>
      <c r="O5527" s="20"/>
      <c r="P5527" s="20"/>
      <c r="Q5527" s="20"/>
      <c r="R5527" s="20"/>
      <c r="S5527" s="20"/>
      <c r="T5527" s="20"/>
    </row>
    <row r="5528" spans="13:20" x14ac:dyDescent="0.2">
      <c r="M5528" s="20"/>
      <c r="N5528" s="20"/>
      <c r="O5528" s="20"/>
      <c r="P5528" s="20"/>
      <c r="Q5528" s="20"/>
      <c r="R5528" s="20"/>
      <c r="S5528" s="20"/>
      <c r="T5528" s="20"/>
    </row>
    <row r="5529" spans="13:20" x14ac:dyDescent="0.2">
      <c r="M5529" s="20"/>
      <c r="N5529" s="20"/>
      <c r="O5529" s="20"/>
      <c r="P5529" s="20"/>
      <c r="Q5529" s="20"/>
      <c r="R5529" s="20"/>
      <c r="S5529" s="20"/>
      <c r="T5529" s="20"/>
    </row>
    <row r="5530" spans="13:20" x14ac:dyDescent="0.2">
      <c r="M5530" s="20"/>
      <c r="N5530" s="20"/>
      <c r="O5530" s="20"/>
      <c r="P5530" s="20"/>
      <c r="Q5530" s="20"/>
      <c r="R5530" s="20"/>
      <c r="S5530" s="20"/>
      <c r="T5530" s="20"/>
    </row>
    <row r="5531" spans="13:20" x14ac:dyDescent="0.2">
      <c r="M5531" s="20"/>
      <c r="N5531" s="20"/>
      <c r="O5531" s="20"/>
      <c r="P5531" s="20"/>
      <c r="Q5531" s="20"/>
      <c r="R5531" s="20"/>
      <c r="S5531" s="20"/>
      <c r="T5531" s="20"/>
    </row>
    <row r="5532" spans="13:20" x14ac:dyDescent="0.2">
      <c r="M5532" s="20"/>
      <c r="N5532" s="20"/>
      <c r="O5532" s="20"/>
      <c r="P5532" s="20"/>
      <c r="Q5532" s="20"/>
      <c r="R5532" s="20"/>
      <c r="S5532" s="20"/>
      <c r="T5532" s="20"/>
    </row>
    <row r="5533" spans="13:20" x14ac:dyDescent="0.2">
      <c r="M5533" s="20"/>
      <c r="N5533" s="20"/>
      <c r="O5533" s="20"/>
      <c r="P5533" s="20"/>
      <c r="Q5533" s="20"/>
      <c r="R5533" s="20"/>
      <c r="S5533" s="20"/>
      <c r="T5533" s="20"/>
    </row>
    <row r="5534" spans="13:20" x14ac:dyDescent="0.2">
      <c r="M5534" s="20"/>
      <c r="N5534" s="20"/>
      <c r="O5534" s="20"/>
      <c r="P5534" s="20"/>
      <c r="Q5534" s="20"/>
      <c r="R5534" s="20"/>
      <c r="S5534" s="20"/>
      <c r="T5534" s="20"/>
    </row>
    <row r="5535" spans="13:20" x14ac:dyDescent="0.2">
      <c r="M5535" s="20"/>
      <c r="N5535" s="20"/>
      <c r="O5535" s="20"/>
      <c r="P5535" s="20"/>
      <c r="Q5535" s="20"/>
      <c r="R5535" s="20"/>
      <c r="S5535" s="20"/>
      <c r="T5535" s="20"/>
    </row>
    <row r="5536" spans="13:20" x14ac:dyDescent="0.2">
      <c r="M5536" s="20"/>
      <c r="N5536" s="20"/>
      <c r="O5536" s="20"/>
      <c r="P5536" s="20"/>
      <c r="Q5536" s="20"/>
      <c r="R5536" s="20"/>
      <c r="S5536" s="20"/>
      <c r="T5536" s="20"/>
    </row>
    <row r="5537" spans="13:20" x14ac:dyDescent="0.2">
      <c r="M5537" s="20"/>
      <c r="N5537" s="20"/>
      <c r="O5537" s="20"/>
      <c r="P5537" s="20"/>
      <c r="Q5537" s="20"/>
      <c r="R5537" s="20"/>
      <c r="S5537" s="20"/>
      <c r="T5537" s="20"/>
    </row>
    <row r="5538" spans="13:20" x14ac:dyDescent="0.2">
      <c r="M5538" s="20"/>
      <c r="N5538" s="20"/>
      <c r="O5538" s="20"/>
      <c r="P5538" s="20"/>
      <c r="Q5538" s="20"/>
      <c r="R5538" s="20"/>
      <c r="S5538" s="20"/>
      <c r="T5538" s="20"/>
    </row>
    <row r="5539" spans="13:20" x14ac:dyDescent="0.2">
      <c r="M5539" s="20"/>
      <c r="N5539" s="20"/>
      <c r="O5539" s="20"/>
      <c r="P5539" s="20"/>
      <c r="Q5539" s="20"/>
      <c r="R5539" s="20"/>
      <c r="S5539" s="20"/>
      <c r="T5539" s="20"/>
    </row>
    <row r="5540" spans="13:20" x14ac:dyDescent="0.2">
      <c r="M5540" s="20"/>
      <c r="N5540" s="20"/>
      <c r="O5540" s="20"/>
      <c r="P5540" s="20"/>
      <c r="Q5540" s="20"/>
      <c r="R5540" s="20"/>
      <c r="S5540" s="20"/>
      <c r="T5540" s="20"/>
    </row>
    <row r="5541" spans="13:20" x14ac:dyDescent="0.2">
      <c r="M5541" s="20"/>
      <c r="N5541" s="20"/>
      <c r="O5541" s="20"/>
      <c r="P5541" s="20"/>
      <c r="Q5541" s="20"/>
      <c r="R5541" s="20"/>
      <c r="S5541" s="20"/>
      <c r="T5541" s="20"/>
    </row>
    <row r="5542" spans="13:20" x14ac:dyDescent="0.2">
      <c r="M5542" s="20"/>
      <c r="N5542" s="20"/>
      <c r="O5542" s="20"/>
      <c r="P5542" s="20"/>
      <c r="Q5542" s="20"/>
      <c r="R5542" s="20"/>
      <c r="S5542" s="20"/>
      <c r="T5542" s="20"/>
    </row>
    <row r="5543" spans="13:20" x14ac:dyDescent="0.2">
      <c r="M5543" s="20"/>
      <c r="N5543" s="20"/>
      <c r="O5543" s="20"/>
      <c r="P5543" s="20"/>
      <c r="Q5543" s="20"/>
      <c r="R5543" s="20"/>
      <c r="S5543" s="20"/>
      <c r="T5543" s="20"/>
    </row>
    <row r="5544" spans="13:20" x14ac:dyDescent="0.2">
      <c r="M5544" s="20"/>
      <c r="N5544" s="20"/>
      <c r="O5544" s="20"/>
      <c r="P5544" s="20"/>
      <c r="Q5544" s="20"/>
      <c r="R5544" s="20"/>
      <c r="S5544" s="20"/>
      <c r="T5544" s="20"/>
    </row>
    <row r="5545" spans="13:20" x14ac:dyDescent="0.2">
      <c r="M5545" s="20"/>
      <c r="N5545" s="20"/>
      <c r="O5545" s="20"/>
      <c r="P5545" s="20"/>
      <c r="Q5545" s="20"/>
      <c r="R5545" s="20"/>
      <c r="S5545" s="20"/>
      <c r="T5545" s="20"/>
    </row>
    <row r="5546" spans="13:20" x14ac:dyDescent="0.2">
      <c r="M5546" s="20"/>
      <c r="N5546" s="20"/>
      <c r="O5546" s="20"/>
      <c r="P5546" s="20"/>
      <c r="Q5546" s="20"/>
      <c r="R5546" s="20"/>
      <c r="S5546" s="20"/>
      <c r="T5546" s="20"/>
    </row>
    <row r="5547" spans="13:20" x14ac:dyDescent="0.2">
      <c r="M5547" s="20"/>
      <c r="N5547" s="20"/>
      <c r="O5547" s="20"/>
      <c r="P5547" s="20"/>
      <c r="Q5547" s="20"/>
      <c r="R5547" s="20"/>
      <c r="S5547" s="20"/>
      <c r="T5547" s="20"/>
    </row>
    <row r="5548" spans="13:20" x14ac:dyDescent="0.2">
      <c r="M5548" s="20"/>
      <c r="N5548" s="20"/>
      <c r="O5548" s="20"/>
      <c r="P5548" s="20"/>
      <c r="Q5548" s="20"/>
      <c r="R5548" s="20"/>
      <c r="S5548" s="20"/>
      <c r="T5548" s="20"/>
    </row>
    <row r="5549" spans="13:20" x14ac:dyDescent="0.2">
      <c r="M5549" s="20"/>
      <c r="N5549" s="20"/>
      <c r="O5549" s="20"/>
      <c r="P5549" s="20"/>
      <c r="Q5549" s="20"/>
      <c r="R5549" s="20"/>
      <c r="S5549" s="20"/>
      <c r="T5549" s="20"/>
    </row>
    <row r="5550" spans="13:20" x14ac:dyDescent="0.2">
      <c r="M5550" s="20"/>
      <c r="N5550" s="20"/>
      <c r="O5550" s="20"/>
      <c r="P5550" s="20"/>
      <c r="Q5550" s="20"/>
      <c r="R5550" s="20"/>
      <c r="S5550" s="20"/>
      <c r="T5550" s="20"/>
    </row>
    <row r="5551" spans="13:20" x14ac:dyDescent="0.2">
      <c r="M5551" s="20"/>
      <c r="N5551" s="20"/>
      <c r="O5551" s="20"/>
      <c r="P5551" s="20"/>
      <c r="Q5551" s="20"/>
      <c r="R5551" s="20"/>
      <c r="S5551" s="20"/>
      <c r="T5551" s="20"/>
    </row>
    <row r="5552" spans="13:20" x14ac:dyDescent="0.2">
      <c r="M5552" s="20"/>
      <c r="N5552" s="20"/>
      <c r="O5552" s="20"/>
      <c r="P5552" s="20"/>
      <c r="Q5552" s="20"/>
      <c r="R5552" s="20"/>
      <c r="S5552" s="20"/>
      <c r="T5552" s="20"/>
    </row>
    <row r="5553" spans="13:20" x14ac:dyDescent="0.2">
      <c r="M5553" s="20"/>
      <c r="N5553" s="20"/>
      <c r="O5553" s="20"/>
      <c r="P5553" s="20"/>
      <c r="Q5553" s="20"/>
      <c r="R5553" s="20"/>
      <c r="S5553" s="20"/>
      <c r="T5553" s="20"/>
    </row>
    <row r="5554" spans="13:20" x14ac:dyDescent="0.2">
      <c r="M5554" s="20"/>
      <c r="N5554" s="20"/>
      <c r="O5554" s="20"/>
      <c r="P5554" s="20"/>
      <c r="Q5554" s="20"/>
      <c r="R5554" s="20"/>
      <c r="S5554" s="20"/>
      <c r="T5554" s="20"/>
    </row>
    <row r="5555" spans="13:20" x14ac:dyDescent="0.2">
      <c r="M5555" s="20"/>
      <c r="N5555" s="20"/>
      <c r="O5555" s="20"/>
      <c r="P5555" s="20"/>
      <c r="Q5555" s="20"/>
      <c r="R5555" s="20"/>
      <c r="S5555" s="20"/>
      <c r="T5555" s="20"/>
    </row>
    <row r="5556" spans="13:20" x14ac:dyDescent="0.2">
      <c r="M5556" s="20"/>
      <c r="N5556" s="20"/>
      <c r="O5556" s="20"/>
      <c r="P5556" s="20"/>
      <c r="Q5556" s="20"/>
      <c r="R5556" s="20"/>
      <c r="S5556" s="20"/>
      <c r="T5556" s="20"/>
    </row>
    <row r="5557" spans="13:20" x14ac:dyDescent="0.2">
      <c r="M5557" s="20"/>
      <c r="N5557" s="20"/>
      <c r="O5557" s="20"/>
      <c r="P5557" s="20"/>
      <c r="Q5557" s="20"/>
      <c r="R5557" s="20"/>
      <c r="S5557" s="20"/>
      <c r="T5557" s="20"/>
    </row>
    <row r="5558" spans="13:20" x14ac:dyDescent="0.2">
      <c r="M5558" s="20"/>
      <c r="N5558" s="20"/>
      <c r="O5558" s="20"/>
      <c r="P5558" s="20"/>
      <c r="Q5558" s="20"/>
      <c r="R5558" s="20"/>
      <c r="S5558" s="20"/>
      <c r="T5558" s="20"/>
    </row>
    <row r="5559" spans="13:20" x14ac:dyDescent="0.2">
      <c r="M5559" s="20"/>
      <c r="N5559" s="20"/>
      <c r="O5559" s="20"/>
      <c r="P5559" s="20"/>
      <c r="Q5559" s="20"/>
      <c r="R5559" s="20"/>
      <c r="S5559" s="20"/>
      <c r="T5559" s="20"/>
    </row>
    <row r="5560" spans="13:20" x14ac:dyDescent="0.2">
      <c r="M5560" s="20"/>
      <c r="N5560" s="20"/>
      <c r="O5560" s="20"/>
      <c r="P5560" s="20"/>
      <c r="Q5560" s="20"/>
      <c r="R5560" s="20"/>
      <c r="S5560" s="20"/>
      <c r="T5560" s="20"/>
    </row>
    <row r="5561" spans="13:20" x14ac:dyDescent="0.2">
      <c r="M5561" s="20"/>
      <c r="N5561" s="20"/>
      <c r="O5561" s="20"/>
      <c r="P5561" s="20"/>
      <c r="Q5561" s="20"/>
      <c r="R5561" s="20"/>
      <c r="S5561" s="20"/>
      <c r="T5561" s="20"/>
    </row>
    <row r="5562" spans="13:20" x14ac:dyDescent="0.2">
      <c r="M5562" s="20"/>
      <c r="N5562" s="20"/>
      <c r="O5562" s="20"/>
      <c r="P5562" s="20"/>
      <c r="Q5562" s="20"/>
      <c r="R5562" s="20"/>
      <c r="S5562" s="20"/>
      <c r="T5562" s="20"/>
    </row>
    <row r="5563" spans="13:20" x14ac:dyDescent="0.2">
      <c r="M5563" s="20"/>
      <c r="N5563" s="20"/>
      <c r="O5563" s="20"/>
      <c r="P5563" s="20"/>
      <c r="Q5563" s="20"/>
      <c r="R5563" s="20"/>
      <c r="S5563" s="20"/>
      <c r="T5563" s="20"/>
    </row>
    <row r="5564" spans="13:20" x14ac:dyDescent="0.2">
      <c r="M5564" s="20"/>
      <c r="N5564" s="20"/>
      <c r="O5564" s="20"/>
      <c r="P5564" s="20"/>
      <c r="Q5564" s="20"/>
      <c r="R5564" s="20"/>
      <c r="S5564" s="20"/>
      <c r="T5564" s="20"/>
    </row>
    <row r="5565" spans="13:20" x14ac:dyDescent="0.2">
      <c r="M5565" s="20"/>
      <c r="N5565" s="20"/>
      <c r="O5565" s="20"/>
      <c r="P5565" s="20"/>
      <c r="Q5565" s="20"/>
      <c r="R5565" s="20"/>
      <c r="S5565" s="20"/>
      <c r="T5565" s="20"/>
    </row>
    <row r="5566" spans="13:20" x14ac:dyDescent="0.2">
      <c r="M5566" s="20"/>
      <c r="N5566" s="20"/>
      <c r="O5566" s="20"/>
      <c r="P5566" s="20"/>
      <c r="Q5566" s="20"/>
      <c r="R5566" s="20"/>
      <c r="S5566" s="20"/>
      <c r="T5566" s="20"/>
    </row>
    <row r="5567" spans="13:20" x14ac:dyDescent="0.2">
      <c r="M5567" s="20"/>
      <c r="N5567" s="20"/>
      <c r="O5567" s="20"/>
      <c r="P5567" s="20"/>
      <c r="Q5567" s="20"/>
      <c r="R5567" s="20"/>
      <c r="S5567" s="20"/>
      <c r="T5567" s="20"/>
    </row>
    <row r="5568" spans="13:20" x14ac:dyDescent="0.2">
      <c r="M5568" s="20"/>
      <c r="N5568" s="20"/>
      <c r="O5568" s="20"/>
      <c r="P5568" s="20"/>
      <c r="Q5568" s="20"/>
      <c r="R5568" s="20"/>
      <c r="S5568" s="20"/>
      <c r="T5568" s="20"/>
    </row>
    <row r="5569" spans="13:20" x14ac:dyDescent="0.2">
      <c r="M5569" s="20"/>
      <c r="N5569" s="20"/>
      <c r="O5569" s="20"/>
      <c r="P5569" s="20"/>
      <c r="Q5569" s="20"/>
      <c r="R5569" s="20"/>
      <c r="S5569" s="20"/>
      <c r="T5569" s="20"/>
    </row>
    <row r="5570" spans="13:20" x14ac:dyDescent="0.2">
      <c r="M5570" s="20"/>
      <c r="N5570" s="20"/>
      <c r="O5570" s="20"/>
      <c r="P5570" s="20"/>
      <c r="Q5570" s="20"/>
      <c r="R5570" s="20"/>
      <c r="S5570" s="20"/>
      <c r="T5570" s="20"/>
    </row>
    <row r="5571" spans="13:20" x14ac:dyDescent="0.2">
      <c r="M5571" s="20"/>
      <c r="N5571" s="20"/>
      <c r="O5571" s="20"/>
      <c r="P5571" s="20"/>
      <c r="Q5571" s="20"/>
      <c r="R5571" s="20"/>
      <c r="S5571" s="20"/>
      <c r="T5571" s="20"/>
    </row>
    <row r="5572" spans="13:20" x14ac:dyDescent="0.2">
      <c r="M5572" s="20"/>
      <c r="N5572" s="20"/>
      <c r="O5572" s="20"/>
      <c r="P5572" s="20"/>
      <c r="Q5572" s="20"/>
      <c r="R5572" s="20"/>
      <c r="S5572" s="20"/>
      <c r="T5572" s="20"/>
    </row>
    <row r="5573" spans="13:20" x14ac:dyDescent="0.2">
      <c r="M5573" s="20"/>
      <c r="N5573" s="20"/>
      <c r="O5573" s="20"/>
      <c r="P5573" s="20"/>
      <c r="Q5573" s="20"/>
      <c r="R5573" s="20"/>
      <c r="S5573" s="20"/>
      <c r="T5573" s="20"/>
    </row>
    <row r="5574" spans="13:20" x14ac:dyDescent="0.2">
      <c r="M5574" s="20"/>
      <c r="N5574" s="20"/>
      <c r="O5574" s="20"/>
      <c r="P5574" s="20"/>
      <c r="Q5574" s="20"/>
      <c r="R5574" s="20"/>
      <c r="S5574" s="20"/>
      <c r="T5574" s="20"/>
    </row>
    <row r="5575" spans="13:20" x14ac:dyDescent="0.2">
      <c r="M5575" s="20"/>
      <c r="N5575" s="20"/>
      <c r="O5575" s="20"/>
      <c r="P5575" s="20"/>
      <c r="Q5575" s="20"/>
      <c r="R5575" s="20"/>
      <c r="S5575" s="20"/>
      <c r="T5575" s="20"/>
    </row>
    <row r="5576" spans="13:20" x14ac:dyDescent="0.2">
      <c r="M5576" s="20"/>
      <c r="N5576" s="20"/>
      <c r="O5576" s="20"/>
      <c r="P5576" s="20"/>
      <c r="Q5576" s="20"/>
      <c r="R5576" s="20"/>
      <c r="S5576" s="20"/>
      <c r="T5576" s="20"/>
    </row>
    <row r="5577" spans="13:20" x14ac:dyDescent="0.2">
      <c r="M5577" s="20"/>
      <c r="N5577" s="20"/>
      <c r="O5577" s="20"/>
      <c r="P5577" s="20"/>
      <c r="Q5577" s="20"/>
      <c r="R5577" s="20"/>
      <c r="S5577" s="20"/>
      <c r="T5577" s="20"/>
    </row>
    <row r="5578" spans="13:20" x14ac:dyDescent="0.2">
      <c r="M5578" s="20"/>
      <c r="N5578" s="20"/>
      <c r="O5578" s="20"/>
      <c r="P5578" s="20"/>
      <c r="Q5578" s="20"/>
      <c r="R5578" s="20"/>
      <c r="S5578" s="20"/>
      <c r="T5578" s="20"/>
    </row>
    <row r="5579" spans="13:20" x14ac:dyDescent="0.2">
      <c r="M5579" s="20"/>
      <c r="N5579" s="20"/>
      <c r="O5579" s="20"/>
      <c r="P5579" s="20"/>
      <c r="Q5579" s="20"/>
      <c r="R5579" s="20"/>
      <c r="S5579" s="20"/>
      <c r="T5579" s="20"/>
    </row>
    <row r="5580" spans="13:20" x14ac:dyDescent="0.2">
      <c r="M5580" s="20"/>
      <c r="N5580" s="20"/>
      <c r="O5580" s="20"/>
      <c r="P5580" s="20"/>
      <c r="Q5580" s="20"/>
      <c r="R5580" s="20"/>
      <c r="S5580" s="20"/>
      <c r="T5580" s="20"/>
    </row>
    <row r="5581" spans="13:20" x14ac:dyDescent="0.2">
      <c r="M5581" s="20"/>
      <c r="N5581" s="20"/>
      <c r="O5581" s="20"/>
      <c r="P5581" s="20"/>
      <c r="Q5581" s="20"/>
      <c r="R5581" s="20"/>
      <c r="S5581" s="20"/>
      <c r="T5581" s="20"/>
    </row>
    <row r="5582" spans="13:20" x14ac:dyDescent="0.2">
      <c r="M5582" s="20"/>
      <c r="N5582" s="20"/>
      <c r="O5582" s="20"/>
      <c r="P5582" s="20"/>
      <c r="Q5582" s="20"/>
      <c r="R5582" s="20"/>
      <c r="S5582" s="20"/>
      <c r="T5582" s="20"/>
    </row>
    <row r="5583" spans="13:20" x14ac:dyDescent="0.2">
      <c r="M5583" s="20"/>
      <c r="N5583" s="20"/>
      <c r="O5583" s="20"/>
      <c r="P5583" s="20"/>
      <c r="Q5583" s="20"/>
      <c r="R5583" s="20"/>
      <c r="S5583" s="20"/>
      <c r="T5583" s="20"/>
    </row>
    <row r="5584" spans="13:20" x14ac:dyDescent="0.2">
      <c r="M5584" s="20"/>
      <c r="N5584" s="20"/>
      <c r="O5584" s="20"/>
      <c r="P5584" s="20"/>
      <c r="Q5584" s="20"/>
      <c r="R5584" s="20"/>
      <c r="S5584" s="20"/>
      <c r="T5584" s="20"/>
    </row>
    <row r="5585" spans="13:20" x14ac:dyDescent="0.2">
      <c r="M5585" s="20"/>
      <c r="N5585" s="20"/>
      <c r="O5585" s="20"/>
      <c r="P5585" s="20"/>
      <c r="Q5585" s="20"/>
      <c r="R5585" s="20"/>
      <c r="S5585" s="20"/>
      <c r="T5585" s="20"/>
    </row>
    <row r="5586" spans="13:20" x14ac:dyDescent="0.2">
      <c r="M5586" s="20"/>
      <c r="N5586" s="20"/>
      <c r="O5586" s="20"/>
      <c r="P5586" s="20"/>
      <c r="Q5586" s="20"/>
      <c r="R5586" s="20"/>
      <c r="S5586" s="20"/>
      <c r="T5586" s="20"/>
    </row>
    <row r="5587" spans="13:20" x14ac:dyDescent="0.2">
      <c r="M5587" s="20"/>
      <c r="N5587" s="20"/>
      <c r="O5587" s="20"/>
      <c r="P5587" s="20"/>
      <c r="Q5587" s="20"/>
      <c r="R5587" s="20"/>
      <c r="S5587" s="20"/>
      <c r="T5587" s="20"/>
    </row>
    <row r="5588" spans="13:20" x14ac:dyDescent="0.2">
      <c r="M5588" s="20"/>
      <c r="N5588" s="20"/>
      <c r="O5588" s="20"/>
      <c r="P5588" s="20"/>
      <c r="Q5588" s="20"/>
      <c r="R5588" s="20"/>
      <c r="S5588" s="20"/>
      <c r="T5588" s="20"/>
    </row>
    <row r="5589" spans="13:20" x14ac:dyDescent="0.2">
      <c r="M5589" s="20"/>
      <c r="N5589" s="20"/>
      <c r="O5589" s="20"/>
      <c r="P5589" s="20"/>
      <c r="Q5589" s="20"/>
      <c r="R5589" s="20"/>
      <c r="S5589" s="20"/>
      <c r="T5589" s="20"/>
    </row>
    <row r="5590" spans="13:20" x14ac:dyDescent="0.2">
      <c r="M5590" s="20"/>
      <c r="N5590" s="20"/>
      <c r="O5590" s="20"/>
      <c r="P5590" s="20"/>
      <c r="Q5590" s="20"/>
      <c r="R5590" s="20"/>
      <c r="S5590" s="20"/>
      <c r="T5590" s="20"/>
    </row>
    <row r="5591" spans="13:20" x14ac:dyDescent="0.2">
      <c r="M5591" s="20"/>
      <c r="N5591" s="20"/>
      <c r="O5591" s="20"/>
      <c r="P5591" s="20"/>
      <c r="Q5591" s="20"/>
      <c r="R5591" s="20"/>
      <c r="S5591" s="20"/>
      <c r="T5591" s="20"/>
    </row>
    <row r="5592" spans="13:20" x14ac:dyDescent="0.2">
      <c r="M5592" s="20"/>
      <c r="N5592" s="20"/>
      <c r="O5592" s="20"/>
      <c r="P5592" s="20"/>
      <c r="Q5592" s="20"/>
      <c r="R5592" s="20"/>
      <c r="S5592" s="20"/>
      <c r="T5592" s="20"/>
    </row>
    <row r="5593" spans="13:20" x14ac:dyDescent="0.2">
      <c r="M5593" s="20"/>
      <c r="N5593" s="20"/>
      <c r="O5593" s="20"/>
      <c r="P5593" s="20"/>
      <c r="Q5593" s="20"/>
      <c r="R5593" s="20"/>
      <c r="S5593" s="20"/>
      <c r="T5593" s="20"/>
    </row>
    <row r="5594" spans="13:20" x14ac:dyDescent="0.2">
      <c r="M5594" s="20"/>
      <c r="N5594" s="20"/>
      <c r="O5594" s="20"/>
      <c r="P5594" s="20"/>
      <c r="Q5594" s="20"/>
      <c r="R5594" s="20"/>
      <c r="S5594" s="20"/>
      <c r="T5594" s="20"/>
    </row>
    <row r="5595" spans="13:20" x14ac:dyDescent="0.2">
      <c r="M5595" s="20"/>
      <c r="N5595" s="20"/>
      <c r="O5595" s="20"/>
      <c r="P5595" s="20"/>
      <c r="Q5595" s="20"/>
      <c r="R5595" s="20"/>
      <c r="S5595" s="20"/>
      <c r="T5595" s="20"/>
    </row>
    <row r="5596" spans="13:20" x14ac:dyDescent="0.2">
      <c r="M5596" s="20"/>
      <c r="N5596" s="20"/>
      <c r="O5596" s="20"/>
      <c r="P5596" s="20"/>
      <c r="Q5596" s="20"/>
      <c r="R5596" s="20"/>
      <c r="S5596" s="20"/>
      <c r="T5596" s="20"/>
    </row>
    <row r="5597" spans="13:20" x14ac:dyDescent="0.2">
      <c r="M5597" s="20"/>
      <c r="N5597" s="20"/>
      <c r="O5597" s="20"/>
      <c r="P5597" s="20"/>
      <c r="Q5597" s="20"/>
      <c r="R5597" s="20"/>
      <c r="S5597" s="20"/>
      <c r="T5597" s="20"/>
    </row>
    <row r="5598" spans="13:20" x14ac:dyDescent="0.2">
      <c r="M5598" s="20"/>
      <c r="N5598" s="20"/>
      <c r="O5598" s="20"/>
      <c r="P5598" s="20"/>
      <c r="Q5598" s="20"/>
      <c r="R5598" s="20"/>
      <c r="S5598" s="20"/>
      <c r="T5598" s="20"/>
    </row>
    <row r="5599" spans="13:20" x14ac:dyDescent="0.2">
      <c r="M5599" s="20"/>
      <c r="N5599" s="20"/>
      <c r="O5599" s="20"/>
      <c r="P5599" s="20"/>
      <c r="Q5599" s="20"/>
      <c r="R5599" s="20"/>
      <c r="S5599" s="20"/>
      <c r="T5599" s="20"/>
    </row>
    <row r="5600" spans="13:20" x14ac:dyDescent="0.2">
      <c r="M5600" s="20"/>
      <c r="N5600" s="20"/>
      <c r="O5600" s="20"/>
      <c r="P5600" s="20"/>
      <c r="Q5600" s="20"/>
      <c r="R5600" s="20"/>
      <c r="S5600" s="20"/>
      <c r="T5600" s="20"/>
    </row>
    <row r="5601" spans="13:20" x14ac:dyDescent="0.2">
      <c r="M5601" s="20"/>
      <c r="N5601" s="20"/>
      <c r="O5601" s="20"/>
      <c r="P5601" s="20"/>
      <c r="Q5601" s="20"/>
      <c r="R5601" s="20"/>
      <c r="S5601" s="20"/>
      <c r="T5601" s="20"/>
    </row>
    <row r="5602" spans="13:20" x14ac:dyDescent="0.2">
      <c r="M5602" s="20"/>
      <c r="N5602" s="20"/>
      <c r="O5602" s="20"/>
      <c r="P5602" s="20"/>
      <c r="Q5602" s="20"/>
      <c r="R5602" s="20"/>
      <c r="S5602" s="20"/>
      <c r="T5602" s="20"/>
    </row>
    <row r="5603" spans="13:20" x14ac:dyDescent="0.2">
      <c r="M5603" s="20"/>
      <c r="N5603" s="20"/>
      <c r="O5603" s="20"/>
      <c r="P5603" s="20"/>
      <c r="Q5603" s="20"/>
      <c r="R5603" s="20"/>
      <c r="S5603" s="20"/>
      <c r="T5603" s="20"/>
    </row>
    <row r="5604" spans="13:20" x14ac:dyDescent="0.2">
      <c r="M5604" s="20"/>
      <c r="N5604" s="20"/>
      <c r="O5604" s="20"/>
      <c r="P5604" s="20"/>
      <c r="Q5604" s="20"/>
      <c r="R5604" s="20"/>
      <c r="S5604" s="20"/>
      <c r="T5604" s="20"/>
    </row>
    <row r="5605" spans="13:20" x14ac:dyDescent="0.2">
      <c r="M5605" s="20"/>
      <c r="N5605" s="20"/>
      <c r="O5605" s="20"/>
      <c r="P5605" s="20"/>
      <c r="Q5605" s="20"/>
      <c r="R5605" s="20"/>
      <c r="S5605" s="20"/>
      <c r="T5605" s="20"/>
    </row>
    <row r="5606" spans="13:20" x14ac:dyDescent="0.2">
      <c r="M5606" s="20"/>
      <c r="N5606" s="20"/>
      <c r="O5606" s="20"/>
      <c r="P5606" s="20"/>
      <c r="Q5606" s="20"/>
      <c r="R5606" s="20"/>
      <c r="S5606" s="20"/>
      <c r="T5606" s="20"/>
    </row>
    <row r="5607" spans="13:20" x14ac:dyDescent="0.2">
      <c r="M5607" s="20"/>
      <c r="N5607" s="20"/>
      <c r="O5607" s="20"/>
      <c r="P5607" s="20"/>
      <c r="Q5607" s="20"/>
      <c r="R5607" s="20"/>
      <c r="S5607" s="20"/>
      <c r="T5607" s="20"/>
    </row>
    <row r="5608" spans="13:20" x14ac:dyDescent="0.2">
      <c r="M5608" s="20"/>
      <c r="N5608" s="20"/>
      <c r="O5608" s="20"/>
      <c r="P5608" s="20"/>
      <c r="Q5608" s="20"/>
      <c r="R5608" s="20"/>
      <c r="S5608" s="20"/>
      <c r="T5608" s="20"/>
    </row>
    <row r="5609" spans="13:20" x14ac:dyDescent="0.2">
      <c r="M5609" s="20"/>
      <c r="N5609" s="20"/>
      <c r="O5609" s="20"/>
      <c r="P5609" s="20"/>
      <c r="Q5609" s="20"/>
      <c r="R5609" s="20"/>
      <c r="S5609" s="20"/>
      <c r="T5609" s="20"/>
    </row>
    <row r="5610" spans="13:20" x14ac:dyDescent="0.2">
      <c r="M5610" s="20"/>
      <c r="N5610" s="20"/>
      <c r="O5610" s="20"/>
      <c r="P5610" s="20"/>
      <c r="Q5610" s="20"/>
      <c r="R5610" s="20"/>
      <c r="S5610" s="20"/>
      <c r="T5610" s="20"/>
    </row>
    <row r="5611" spans="13:20" x14ac:dyDescent="0.2">
      <c r="M5611" s="20"/>
      <c r="N5611" s="20"/>
      <c r="O5611" s="20"/>
      <c r="P5611" s="20"/>
      <c r="Q5611" s="20"/>
      <c r="R5611" s="20"/>
      <c r="S5611" s="20"/>
      <c r="T5611" s="20"/>
    </row>
    <row r="5612" spans="13:20" x14ac:dyDescent="0.2">
      <c r="M5612" s="20"/>
      <c r="N5612" s="20"/>
      <c r="O5612" s="20"/>
      <c r="P5612" s="20"/>
      <c r="Q5612" s="20"/>
      <c r="R5612" s="20"/>
      <c r="S5612" s="20"/>
      <c r="T5612" s="20"/>
    </row>
    <row r="5613" spans="13:20" x14ac:dyDescent="0.2">
      <c r="M5613" s="20"/>
      <c r="N5613" s="20"/>
      <c r="O5613" s="20"/>
      <c r="P5613" s="20"/>
      <c r="Q5613" s="20"/>
      <c r="R5613" s="20"/>
      <c r="S5613" s="20"/>
      <c r="T5613" s="20"/>
    </row>
    <row r="5614" spans="13:20" x14ac:dyDescent="0.2">
      <c r="M5614" s="20"/>
      <c r="N5614" s="20"/>
      <c r="O5614" s="20"/>
      <c r="P5614" s="20"/>
      <c r="Q5614" s="20"/>
      <c r="R5614" s="20"/>
      <c r="S5614" s="20"/>
      <c r="T5614" s="20"/>
    </row>
    <row r="5615" spans="13:20" x14ac:dyDescent="0.2">
      <c r="M5615" s="20"/>
      <c r="N5615" s="20"/>
      <c r="O5615" s="20"/>
      <c r="P5615" s="20"/>
      <c r="Q5615" s="20"/>
      <c r="R5615" s="20"/>
      <c r="S5615" s="20"/>
      <c r="T5615" s="20"/>
    </row>
    <row r="5616" spans="13:20" x14ac:dyDescent="0.2">
      <c r="M5616" s="20"/>
      <c r="N5616" s="20"/>
      <c r="O5616" s="20"/>
      <c r="P5616" s="20"/>
      <c r="Q5616" s="20"/>
      <c r="R5616" s="20"/>
      <c r="S5616" s="20"/>
      <c r="T5616" s="20"/>
    </row>
    <row r="5617" spans="13:20" x14ac:dyDescent="0.2">
      <c r="M5617" s="20"/>
      <c r="N5617" s="20"/>
      <c r="O5617" s="20"/>
      <c r="P5617" s="20"/>
      <c r="Q5617" s="20"/>
      <c r="R5617" s="20"/>
      <c r="S5617" s="20"/>
      <c r="T5617" s="20"/>
    </row>
    <row r="5618" spans="13:20" x14ac:dyDescent="0.2">
      <c r="M5618" s="20"/>
      <c r="N5618" s="20"/>
      <c r="O5618" s="20"/>
      <c r="P5618" s="20"/>
      <c r="Q5618" s="20"/>
      <c r="R5618" s="20"/>
      <c r="S5618" s="20"/>
      <c r="T5618" s="20"/>
    </row>
    <row r="5619" spans="13:20" x14ac:dyDescent="0.2">
      <c r="M5619" s="20"/>
      <c r="N5619" s="20"/>
      <c r="O5619" s="20"/>
      <c r="P5619" s="20"/>
      <c r="Q5619" s="20"/>
      <c r="R5619" s="20"/>
      <c r="S5619" s="20"/>
      <c r="T5619" s="20"/>
    </row>
    <row r="5620" spans="13:20" x14ac:dyDescent="0.2">
      <c r="M5620" s="20"/>
      <c r="N5620" s="20"/>
      <c r="O5620" s="20"/>
      <c r="P5620" s="20"/>
      <c r="Q5620" s="20"/>
      <c r="R5620" s="20"/>
      <c r="S5620" s="20"/>
      <c r="T5620" s="20"/>
    </row>
    <row r="5621" spans="13:20" x14ac:dyDescent="0.2">
      <c r="M5621" s="20"/>
      <c r="N5621" s="20"/>
      <c r="O5621" s="20"/>
      <c r="P5621" s="20"/>
      <c r="Q5621" s="20"/>
      <c r="R5621" s="20"/>
      <c r="S5621" s="20"/>
      <c r="T5621" s="20"/>
    </row>
    <row r="5622" spans="13:20" x14ac:dyDescent="0.2">
      <c r="M5622" s="20"/>
      <c r="N5622" s="20"/>
      <c r="O5622" s="20"/>
      <c r="P5622" s="20"/>
      <c r="Q5622" s="20"/>
      <c r="R5622" s="20"/>
      <c r="S5622" s="20"/>
      <c r="T5622" s="20"/>
    </row>
    <row r="5623" spans="13:20" x14ac:dyDescent="0.2">
      <c r="M5623" s="20"/>
      <c r="N5623" s="20"/>
      <c r="O5623" s="20"/>
      <c r="P5623" s="20"/>
      <c r="Q5623" s="20"/>
      <c r="R5623" s="20"/>
      <c r="S5623" s="20"/>
      <c r="T5623" s="20"/>
    </row>
    <row r="5624" spans="13:20" x14ac:dyDescent="0.2">
      <c r="M5624" s="20"/>
      <c r="N5624" s="20"/>
      <c r="O5624" s="20"/>
      <c r="P5624" s="20"/>
      <c r="Q5624" s="20"/>
      <c r="R5624" s="20"/>
      <c r="S5624" s="20"/>
      <c r="T5624" s="20"/>
    </row>
    <row r="5625" spans="13:20" x14ac:dyDescent="0.2">
      <c r="M5625" s="20"/>
      <c r="N5625" s="20"/>
      <c r="O5625" s="20"/>
      <c r="P5625" s="20"/>
      <c r="Q5625" s="20"/>
      <c r="R5625" s="20"/>
      <c r="S5625" s="20"/>
      <c r="T5625" s="20"/>
    </row>
    <row r="5626" spans="13:20" x14ac:dyDescent="0.2">
      <c r="M5626" s="20"/>
      <c r="N5626" s="20"/>
      <c r="O5626" s="20"/>
      <c r="P5626" s="20"/>
      <c r="Q5626" s="20"/>
      <c r="R5626" s="20"/>
      <c r="S5626" s="20"/>
      <c r="T5626" s="20"/>
    </row>
    <row r="5627" spans="13:20" x14ac:dyDescent="0.2">
      <c r="M5627" s="20"/>
      <c r="N5627" s="20"/>
      <c r="O5627" s="20"/>
      <c r="P5627" s="20"/>
      <c r="Q5627" s="20"/>
      <c r="R5627" s="20"/>
      <c r="S5627" s="20"/>
      <c r="T5627" s="20"/>
    </row>
    <row r="5628" spans="13:20" x14ac:dyDescent="0.2">
      <c r="M5628" s="20"/>
      <c r="N5628" s="20"/>
      <c r="O5628" s="20"/>
      <c r="P5628" s="20"/>
      <c r="Q5628" s="20"/>
      <c r="R5628" s="20"/>
      <c r="S5628" s="20"/>
      <c r="T5628" s="20"/>
    </row>
    <row r="5629" spans="13:20" x14ac:dyDescent="0.2">
      <c r="M5629" s="20"/>
      <c r="N5629" s="20"/>
      <c r="O5629" s="20"/>
      <c r="P5629" s="20"/>
      <c r="Q5629" s="20"/>
      <c r="R5629" s="20"/>
      <c r="S5629" s="20"/>
      <c r="T5629" s="20"/>
    </row>
    <row r="5630" spans="13:20" x14ac:dyDescent="0.2">
      <c r="M5630" s="20"/>
      <c r="N5630" s="20"/>
      <c r="O5630" s="20"/>
      <c r="P5630" s="20"/>
      <c r="Q5630" s="20"/>
      <c r="R5630" s="20"/>
      <c r="S5630" s="20"/>
      <c r="T5630" s="20"/>
    </row>
    <row r="5631" spans="13:20" x14ac:dyDescent="0.2">
      <c r="M5631" s="20"/>
      <c r="N5631" s="20"/>
      <c r="O5631" s="20"/>
      <c r="P5631" s="20"/>
      <c r="Q5631" s="20"/>
      <c r="R5631" s="20"/>
      <c r="S5631" s="20"/>
      <c r="T5631" s="20"/>
    </row>
    <row r="5632" spans="13:20" x14ac:dyDescent="0.2">
      <c r="M5632" s="20"/>
      <c r="N5632" s="20"/>
      <c r="O5632" s="20"/>
      <c r="P5632" s="20"/>
      <c r="Q5632" s="20"/>
      <c r="R5632" s="20"/>
      <c r="S5632" s="20"/>
      <c r="T5632" s="20"/>
    </row>
    <row r="5633" spans="13:20" x14ac:dyDescent="0.2">
      <c r="M5633" s="20"/>
      <c r="N5633" s="20"/>
      <c r="O5633" s="20"/>
      <c r="P5633" s="20"/>
      <c r="Q5633" s="20"/>
      <c r="R5633" s="20"/>
      <c r="S5633" s="20"/>
      <c r="T5633" s="20"/>
    </row>
    <row r="5634" spans="13:20" x14ac:dyDescent="0.2">
      <c r="M5634" s="20"/>
      <c r="N5634" s="20"/>
      <c r="O5634" s="20"/>
      <c r="P5634" s="20"/>
      <c r="Q5634" s="20"/>
      <c r="R5634" s="20"/>
      <c r="S5634" s="20"/>
      <c r="T5634" s="20"/>
    </row>
    <row r="5635" spans="13:20" x14ac:dyDescent="0.2">
      <c r="M5635" s="20"/>
      <c r="N5635" s="20"/>
      <c r="O5635" s="20"/>
      <c r="P5635" s="20"/>
      <c r="Q5635" s="20"/>
      <c r="R5635" s="20"/>
      <c r="S5635" s="20"/>
      <c r="T5635" s="20"/>
    </row>
    <row r="5636" spans="13:20" x14ac:dyDescent="0.2">
      <c r="M5636" s="20"/>
      <c r="N5636" s="20"/>
      <c r="O5636" s="20"/>
      <c r="P5636" s="20"/>
      <c r="Q5636" s="20"/>
      <c r="R5636" s="20"/>
      <c r="S5636" s="20"/>
      <c r="T5636" s="20"/>
    </row>
    <row r="5637" spans="13:20" x14ac:dyDescent="0.2">
      <c r="M5637" s="20"/>
      <c r="N5637" s="20"/>
      <c r="O5637" s="20"/>
      <c r="P5637" s="20"/>
      <c r="Q5637" s="20"/>
      <c r="R5637" s="20"/>
      <c r="S5637" s="20"/>
      <c r="T5637" s="20"/>
    </row>
    <row r="5638" spans="13:20" x14ac:dyDescent="0.2">
      <c r="M5638" s="20"/>
      <c r="N5638" s="20"/>
      <c r="O5638" s="20"/>
      <c r="P5638" s="20"/>
      <c r="Q5638" s="20"/>
      <c r="R5638" s="20"/>
      <c r="S5638" s="20"/>
      <c r="T5638" s="20"/>
    </row>
    <row r="5639" spans="13:20" x14ac:dyDescent="0.2">
      <c r="M5639" s="20"/>
      <c r="N5639" s="20"/>
      <c r="O5639" s="20"/>
      <c r="P5639" s="20"/>
      <c r="Q5639" s="20"/>
      <c r="R5639" s="20"/>
      <c r="S5639" s="20"/>
      <c r="T5639" s="20"/>
    </row>
    <row r="5640" spans="13:20" x14ac:dyDescent="0.2">
      <c r="M5640" s="20"/>
      <c r="N5640" s="20"/>
      <c r="O5640" s="20"/>
      <c r="P5640" s="20"/>
      <c r="Q5640" s="20"/>
      <c r="R5640" s="20"/>
      <c r="S5640" s="20"/>
      <c r="T5640" s="20"/>
    </row>
    <row r="5641" spans="13:20" x14ac:dyDescent="0.2">
      <c r="M5641" s="20"/>
      <c r="N5641" s="20"/>
      <c r="O5641" s="20"/>
      <c r="P5641" s="20"/>
      <c r="Q5641" s="20"/>
      <c r="R5641" s="20"/>
      <c r="S5641" s="20"/>
      <c r="T5641" s="20"/>
    </row>
    <row r="5642" spans="13:20" x14ac:dyDescent="0.2">
      <c r="M5642" s="20"/>
      <c r="N5642" s="20"/>
      <c r="O5642" s="20"/>
      <c r="P5642" s="20"/>
      <c r="Q5642" s="20"/>
      <c r="R5642" s="20"/>
      <c r="S5642" s="20"/>
      <c r="T5642" s="20"/>
    </row>
    <row r="5643" spans="13:20" x14ac:dyDescent="0.2">
      <c r="M5643" s="20"/>
      <c r="N5643" s="20"/>
      <c r="O5643" s="20"/>
      <c r="P5643" s="20"/>
      <c r="Q5643" s="20"/>
      <c r="R5643" s="20"/>
      <c r="S5643" s="20"/>
      <c r="T5643" s="20"/>
    </row>
    <row r="5644" spans="13:20" x14ac:dyDescent="0.2">
      <c r="M5644" s="20"/>
      <c r="N5644" s="20"/>
      <c r="O5644" s="20"/>
      <c r="P5644" s="20"/>
      <c r="Q5644" s="20"/>
      <c r="R5644" s="20"/>
      <c r="S5644" s="20"/>
      <c r="T5644" s="20"/>
    </row>
    <row r="5645" spans="13:20" x14ac:dyDescent="0.2">
      <c r="M5645" s="20"/>
      <c r="N5645" s="20"/>
      <c r="O5645" s="20"/>
      <c r="P5645" s="20"/>
      <c r="Q5645" s="20"/>
      <c r="R5645" s="20"/>
      <c r="S5645" s="20"/>
      <c r="T5645" s="20"/>
    </row>
    <row r="5646" spans="13:20" x14ac:dyDescent="0.2">
      <c r="M5646" s="20"/>
      <c r="N5646" s="20"/>
      <c r="O5646" s="20"/>
      <c r="P5646" s="20"/>
      <c r="Q5646" s="20"/>
      <c r="R5646" s="20"/>
      <c r="S5646" s="20"/>
      <c r="T5646" s="20"/>
    </row>
    <row r="5647" spans="13:20" x14ac:dyDescent="0.2">
      <c r="M5647" s="20"/>
      <c r="N5647" s="20"/>
      <c r="O5647" s="20"/>
      <c r="P5647" s="20"/>
      <c r="Q5647" s="20"/>
      <c r="R5647" s="20"/>
      <c r="S5647" s="20"/>
      <c r="T5647" s="20"/>
    </row>
    <row r="5648" spans="13:20" x14ac:dyDescent="0.2">
      <c r="M5648" s="20"/>
      <c r="N5648" s="20"/>
      <c r="O5648" s="20"/>
      <c r="P5648" s="20"/>
      <c r="Q5648" s="20"/>
      <c r="R5648" s="20"/>
      <c r="S5648" s="20"/>
      <c r="T5648" s="20"/>
    </row>
    <row r="5649" spans="13:20" x14ac:dyDescent="0.2">
      <c r="M5649" s="20"/>
      <c r="N5649" s="20"/>
      <c r="O5649" s="20"/>
      <c r="P5649" s="20"/>
      <c r="Q5649" s="20"/>
      <c r="R5649" s="20"/>
      <c r="S5649" s="20"/>
      <c r="T5649" s="20"/>
    </row>
    <row r="5650" spans="13:20" x14ac:dyDescent="0.2">
      <c r="M5650" s="20"/>
      <c r="N5650" s="20"/>
      <c r="O5650" s="20"/>
      <c r="P5650" s="20"/>
      <c r="Q5650" s="20"/>
      <c r="R5650" s="20"/>
      <c r="S5650" s="20"/>
      <c r="T5650" s="20"/>
    </row>
    <row r="5651" spans="13:20" x14ac:dyDescent="0.2">
      <c r="M5651" s="20"/>
      <c r="N5651" s="20"/>
      <c r="O5651" s="20"/>
      <c r="P5651" s="20"/>
      <c r="Q5651" s="20"/>
      <c r="R5651" s="20"/>
      <c r="S5651" s="20"/>
      <c r="T5651" s="20"/>
    </row>
    <row r="5652" spans="13:20" x14ac:dyDescent="0.2">
      <c r="M5652" s="20"/>
      <c r="N5652" s="20"/>
      <c r="O5652" s="20"/>
      <c r="P5652" s="20"/>
      <c r="Q5652" s="20"/>
      <c r="R5652" s="20"/>
      <c r="S5652" s="20"/>
      <c r="T5652" s="20"/>
    </row>
    <row r="5653" spans="13:20" x14ac:dyDescent="0.2">
      <c r="M5653" s="20"/>
      <c r="N5653" s="20"/>
      <c r="O5653" s="20"/>
      <c r="P5653" s="20"/>
      <c r="Q5653" s="20"/>
      <c r="R5653" s="20"/>
      <c r="S5653" s="20"/>
      <c r="T5653" s="20"/>
    </row>
    <row r="5654" spans="13:20" x14ac:dyDescent="0.2">
      <c r="M5654" s="20"/>
      <c r="N5654" s="20"/>
      <c r="O5654" s="20"/>
      <c r="P5654" s="20"/>
      <c r="Q5654" s="20"/>
      <c r="R5654" s="20"/>
      <c r="S5654" s="20"/>
      <c r="T5654" s="20"/>
    </row>
    <row r="5655" spans="13:20" x14ac:dyDescent="0.2">
      <c r="M5655" s="20"/>
      <c r="N5655" s="20"/>
      <c r="O5655" s="20"/>
      <c r="P5655" s="20"/>
      <c r="Q5655" s="20"/>
      <c r="R5655" s="20"/>
      <c r="S5655" s="20"/>
      <c r="T5655" s="20"/>
    </row>
    <row r="5656" spans="13:20" x14ac:dyDescent="0.2">
      <c r="M5656" s="20"/>
      <c r="N5656" s="20"/>
      <c r="O5656" s="20"/>
      <c r="P5656" s="20"/>
      <c r="Q5656" s="20"/>
      <c r="R5656" s="20"/>
      <c r="S5656" s="20"/>
      <c r="T5656" s="20"/>
    </row>
    <row r="5657" spans="13:20" x14ac:dyDescent="0.2">
      <c r="M5657" s="20"/>
      <c r="N5657" s="20"/>
      <c r="O5657" s="20"/>
      <c r="P5657" s="20"/>
      <c r="Q5657" s="20"/>
      <c r="R5657" s="20"/>
      <c r="S5657" s="20"/>
      <c r="T5657" s="20"/>
    </row>
    <row r="5658" spans="13:20" x14ac:dyDescent="0.2">
      <c r="M5658" s="20"/>
      <c r="N5658" s="20"/>
      <c r="O5658" s="20"/>
      <c r="P5658" s="20"/>
      <c r="Q5658" s="20"/>
      <c r="R5658" s="20"/>
      <c r="S5658" s="20"/>
      <c r="T5658" s="20"/>
    </row>
    <row r="5659" spans="13:20" x14ac:dyDescent="0.2">
      <c r="M5659" s="20"/>
      <c r="N5659" s="20"/>
      <c r="O5659" s="20"/>
      <c r="P5659" s="20"/>
      <c r="Q5659" s="20"/>
      <c r="R5659" s="20"/>
      <c r="S5659" s="20"/>
      <c r="T5659" s="20"/>
    </row>
    <row r="5660" spans="13:20" x14ac:dyDescent="0.2">
      <c r="M5660" s="20"/>
      <c r="N5660" s="20"/>
      <c r="O5660" s="20"/>
      <c r="P5660" s="20"/>
      <c r="Q5660" s="20"/>
      <c r="R5660" s="20"/>
      <c r="S5660" s="20"/>
      <c r="T5660" s="20"/>
    </row>
    <row r="5661" spans="13:20" x14ac:dyDescent="0.2">
      <c r="M5661" s="20"/>
      <c r="N5661" s="20"/>
      <c r="O5661" s="20"/>
      <c r="P5661" s="20"/>
      <c r="Q5661" s="20"/>
      <c r="R5661" s="20"/>
      <c r="S5661" s="20"/>
      <c r="T5661" s="20"/>
    </row>
    <row r="5662" spans="13:20" x14ac:dyDescent="0.2">
      <c r="M5662" s="20"/>
      <c r="N5662" s="20"/>
      <c r="O5662" s="20"/>
      <c r="P5662" s="20"/>
      <c r="Q5662" s="20"/>
      <c r="R5662" s="20"/>
      <c r="S5662" s="20"/>
      <c r="T5662" s="20"/>
    </row>
    <row r="5663" spans="13:20" x14ac:dyDescent="0.2">
      <c r="M5663" s="20"/>
      <c r="N5663" s="20"/>
      <c r="O5663" s="20"/>
      <c r="P5663" s="20"/>
      <c r="Q5663" s="20"/>
      <c r="R5663" s="20"/>
      <c r="S5663" s="20"/>
      <c r="T5663" s="20"/>
    </row>
    <row r="5664" spans="13:20" x14ac:dyDescent="0.2">
      <c r="M5664" s="20"/>
      <c r="N5664" s="20"/>
      <c r="O5664" s="20"/>
      <c r="P5664" s="20"/>
      <c r="Q5664" s="20"/>
      <c r="R5664" s="20"/>
      <c r="S5664" s="20"/>
      <c r="T5664" s="20"/>
    </row>
    <row r="5665" spans="13:20" x14ac:dyDescent="0.2">
      <c r="M5665" s="20"/>
      <c r="N5665" s="20"/>
      <c r="O5665" s="20"/>
      <c r="P5665" s="20"/>
      <c r="Q5665" s="20"/>
      <c r="R5665" s="20"/>
      <c r="S5665" s="20"/>
      <c r="T5665" s="20"/>
    </row>
    <row r="5666" spans="13:20" x14ac:dyDescent="0.2">
      <c r="M5666" s="20"/>
      <c r="N5666" s="20"/>
      <c r="O5666" s="20"/>
      <c r="P5666" s="20"/>
      <c r="Q5666" s="20"/>
      <c r="R5666" s="20"/>
      <c r="S5666" s="20"/>
      <c r="T5666" s="20"/>
    </row>
    <row r="5667" spans="13:20" x14ac:dyDescent="0.2">
      <c r="M5667" s="20"/>
      <c r="N5667" s="20"/>
      <c r="O5667" s="20"/>
      <c r="P5667" s="20"/>
      <c r="Q5667" s="20"/>
      <c r="R5667" s="20"/>
      <c r="S5667" s="20"/>
      <c r="T5667" s="20"/>
    </row>
    <row r="5668" spans="13:20" x14ac:dyDescent="0.2">
      <c r="M5668" s="20"/>
      <c r="N5668" s="20"/>
      <c r="O5668" s="20"/>
      <c r="P5668" s="20"/>
      <c r="Q5668" s="20"/>
      <c r="R5668" s="20"/>
      <c r="S5668" s="20"/>
      <c r="T5668" s="20"/>
    </row>
    <row r="5669" spans="13:20" x14ac:dyDescent="0.2">
      <c r="M5669" s="20"/>
      <c r="N5669" s="20"/>
      <c r="O5669" s="20"/>
      <c r="P5669" s="20"/>
      <c r="Q5669" s="20"/>
      <c r="R5669" s="20"/>
      <c r="S5669" s="20"/>
      <c r="T5669" s="20"/>
    </row>
    <row r="5670" spans="13:20" x14ac:dyDescent="0.2">
      <c r="M5670" s="20"/>
      <c r="N5670" s="20"/>
      <c r="O5670" s="20"/>
      <c r="P5670" s="20"/>
      <c r="Q5670" s="20"/>
      <c r="R5670" s="20"/>
      <c r="S5670" s="20"/>
      <c r="T5670" s="20"/>
    </row>
    <row r="5671" spans="13:20" x14ac:dyDescent="0.2">
      <c r="M5671" s="20"/>
      <c r="N5671" s="20"/>
      <c r="O5671" s="20"/>
      <c r="P5671" s="20"/>
      <c r="Q5671" s="20"/>
      <c r="R5671" s="20"/>
      <c r="S5671" s="20"/>
      <c r="T5671" s="20"/>
    </row>
    <row r="5672" spans="13:20" x14ac:dyDescent="0.2">
      <c r="M5672" s="20"/>
      <c r="N5672" s="20"/>
      <c r="O5672" s="20"/>
      <c r="P5672" s="20"/>
      <c r="Q5672" s="20"/>
      <c r="R5672" s="20"/>
      <c r="S5672" s="20"/>
      <c r="T5672" s="20"/>
    </row>
    <row r="5673" spans="13:20" x14ac:dyDescent="0.2">
      <c r="M5673" s="20"/>
      <c r="N5673" s="20"/>
      <c r="O5673" s="20"/>
      <c r="P5673" s="20"/>
      <c r="Q5673" s="20"/>
      <c r="R5673" s="20"/>
      <c r="S5673" s="20"/>
      <c r="T5673" s="20"/>
    </row>
    <row r="5674" spans="13:20" x14ac:dyDescent="0.2">
      <c r="M5674" s="20"/>
      <c r="N5674" s="20"/>
      <c r="O5674" s="20"/>
      <c r="P5674" s="20"/>
      <c r="Q5674" s="20"/>
      <c r="R5674" s="20"/>
      <c r="S5674" s="20"/>
      <c r="T5674" s="20"/>
    </row>
    <row r="5675" spans="13:20" x14ac:dyDescent="0.2">
      <c r="M5675" s="20"/>
      <c r="N5675" s="20"/>
      <c r="O5675" s="20"/>
      <c r="P5675" s="20"/>
      <c r="Q5675" s="20"/>
      <c r="R5675" s="20"/>
      <c r="S5675" s="20"/>
      <c r="T5675" s="20"/>
    </row>
    <row r="5676" spans="13:20" x14ac:dyDescent="0.2">
      <c r="M5676" s="20"/>
      <c r="N5676" s="20"/>
      <c r="O5676" s="20"/>
      <c r="P5676" s="20"/>
      <c r="Q5676" s="20"/>
      <c r="R5676" s="20"/>
      <c r="S5676" s="20"/>
      <c r="T5676" s="20"/>
    </row>
    <row r="5677" spans="13:20" x14ac:dyDescent="0.2">
      <c r="M5677" s="20"/>
      <c r="N5677" s="20"/>
      <c r="O5677" s="20"/>
      <c r="P5677" s="20"/>
      <c r="Q5677" s="20"/>
      <c r="R5677" s="20"/>
      <c r="S5677" s="20"/>
      <c r="T5677" s="20"/>
    </row>
    <row r="5678" spans="13:20" x14ac:dyDescent="0.2">
      <c r="M5678" s="20"/>
      <c r="N5678" s="20"/>
      <c r="O5678" s="20"/>
      <c r="P5678" s="20"/>
      <c r="Q5678" s="20"/>
      <c r="R5678" s="20"/>
      <c r="S5678" s="20"/>
      <c r="T5678" s="20"/>
    </row>
    <row r="5679" spans="13:20" x14ac:dyDescent="0.2">
      <c r="M5679" s="20"/>
      <c r="N5679" s="20"/>
      <c r="O5679" s="20"/>
      <c r="P5679" s="20"/>
      <c r="Q5679" s="20"/>
      <c r="R5679" s="20"/>
      <c r="S5679" s="20"/>
      <c r="T5679" s="20"/>
    </row>
    <row r="5680" spans="13:20" x14ac:dyDescent="0.2">
      <c r="M5680" s="20"/>
      <c r="N5680" s="20"/>
      <c r="O5680" s="20"/>
      <c r="P5680" s="20"/>
      <c r="Q5680" s="20"/>
      <c r="R5680" s="20"/>
      <c r="S5680" s="20"/>
      <c r="T5680" s="20"/>
    </row>
    <row r="5681" spans="13:20" x14ac:dyDescent="0.2">
      <c r="M5681" s="20"/>
      <c r="N5681" s="20"/>
      <c r="O5681" s="20"/>
      <c r="P5681" s="20"/>
      <c r="Q5681" s="20"/>
      <c r="R5681" s="20"/>
      <c r="S5681" s="20"/>
      <c r="T5681" s="20"/>
    </row>
    <row r="5682" spans="13:20" x14ac:dyDescent="0.2">
      <c r="M5682" s="20"/>
      <c r="N5682" s="20"/>
      <c r="O5682" s="20"/>
      <c r="P5682" s="20"/>
      <c r="Q5682" s="20"/>
      <c r="R5682" s="20"/>
      <c r="S5682" s="20"/>
      <c r="T5682" s="20"/>
    </row>
    <row r="5683" spans="13:20" x14ac:dyDescent="0.2">
      <c r="M5683" s="20"/>
      <c r="N5683" s="20"/>
      <c r="O5683" s="20"/>
      <c r="P5683" s="20"/>
      <c r="Q5683" s="20"/>
      <c r="R5683" s="20"/>
      <c r="S5683" s="20"/>
      <c r="T5683" s="20"/>
    </row>
    <row r="5684" spans="13:20" x14ac:dyDescent="0.2">
      <c r="M5684" s="20"/>
      <c r="N5684" s="20"/>
      <c r="O5684" s="20"/>
      <c r="P5684" s="20"/>
      <c r="Q5684" s="20"/>
      <c r="R5684" s="20"/>
      <c r="S5684" s="20"/>
      <c r="T5684" s="20"/>
    </row>
    <row r="5685" spans="13:20" x14ac:dyDescent="0.2">
      <c r="M5685" s="20"/>
      <c r="N5685" s="20"/>
      <c r="O5685" s="20"/>
      <c r="P5685" s="20"/>
      <c r="Q5685" s="20"/>
      <c r="R5685" s="20"/>
      <c r="S5685" s="20"/>
      <c r="T5685" s="20"/>
    </row>
    <row r="5686" spans="13:20" x14ac:dyDescent="0.2">
      <c r="M5686" s="20"/>
      <c r="N5686" s="20"/>
      <c r="O5686" s="20"/>
      <c r="P5686" s="20"/>
      <c r="Q5686" s="20"/>
      <c r="R5686" s="20"/>
      <c r="S5686" s="20"/>
      <c r="T5686" s="20"/>
    </row>
    <row r="5687" spans="13:20" x14ac:dyDescent="0.2">
      <c r="M5687" s="20"/>
      <c r="N5687" s="20"/>
      <c r="O5687" s="20"/>
      <c r="P5687" s="20"/>
      <c r="Q5687" s="20"/>
      <c r="R5687" s="20"/>
      <c r="S5687" s="20"/>
      <c r="T5687" s="20"/>
    </row>
    <row r="5688" spans="13:20" x14ac:dyDescent="0.2">
      <c r="M5688" s="20"/>
      <c r="N5688" s="20"/>
      <c r="O5688" s="20"/>
      <c r="P5688" s="20"/>
      <c r="Q5688" s="20"/>
      <c r="R5688" s="20"/>
      <c r="S5688" s="20"/>
      <c r="T5688" s="20"/>
    </row>
    <row r="5689" spans="13:20" x14ac:dyDescent="0.2">
      <c r="M5689" s="20"/>
      <c r="N5689" s="20"/>
      <c r="O5689" s="20"/>
      <c r="P5689" s="20"/>
      <c r="Q5689" s="20"/>
      <c r="R5689" s="20"/>
      <c r="S5689" s="20"/>
      <c r="T5689" s="20"/>
    </row>
    <row r="5690" spans="13:20" x14ac:dyDescent="0.2">
      <c r="M5690" s="20"/>
      <c r="N5690" s="20"/>
      <c r="O5690" s="20"/>
      <c r="P5690" s="20"/>
      <c r="Q5690" s="20"/>
      <c r="R5690" s="20"/>
      <c r="S5690" s="20"/>
      <c r="T5690" s="20"/>
    </row>
    <row r="5691" spans="13:20" x14ac:dyDescent="0.2">
      <c r="M5691" s="20"/>
      <c r="N5691" s="20"/>
      <c r="O5691" s="20"/>
      <c r="P5691" s="20"/>
      <c r="Q5691" s="20"/>
      <c r="R5691" s="20"/>
      <c r="S5691" s="20"/>
      <c r="T5691" s="20"/>
    </row>
    <row r="5692" spans="13:20" x14ac:dyDescent="0.2">
      <c r="M5692" s="20"/>
      <c r="N5692" s="20"/>
      <c r="O5692" s="20"/>
      <c r="P5692" s="20"/>
      <c r="Q5692" s="20"/>
      <c r="R5692" s="20"/>
      <c r="S5692" s="20"/>
      <c r="T5692" s="20"/>
    </row>
    <row r="5693" spans="13:20" x14ac:dyDescent="0.2">
      <c r="M5693" s="20"/>
      <c r="N5693" s="20"/>
      <c r="O5693" s="20"/>
      <c r="P5693" s="20"/>
      <c r="Q5693" s="20"/>
      <c r="R5693" s="20"/>
      <c r="S5693" s="20"/>
      <c r="T5693" s="20"/>
    </row>
    <row r="5694" spans="13:20" x14ac:dyDescent="0.2">
      <c r="M5694" s="20"/>
      <c r="N5694" s="20"/>
      <c r="O5694" s="20"/>
      <c r="P5694" s="20"/>
      <c r="Q5694" s="20"/>
      <c r="R5694" s="20"/>
      <c r="S5694" s="20"/>
      <c r="T5694" s="20"/>
    </row>
    <row r="5695" spans="13:20" x14ac:dyDescent="0.2">
      <c r="M5695" s="20"/>
      <c r="N5695" s="20"/>
      <c r="O5695" s="20"/>
      <c r="P5695" s="20"/>
      <c r="Q5695" s="20"/>
      <c r="R5695" s="20"/>
      <c r="S5695" s="20"/>
      <c r="T5695" s="20"/>
    </row>
    <row r="5696" spans="13:20" x14ac:dyDescent="0.2">
      <c r="M5696" s="20"/>
      <c r="N5696" s="20"/>
      <c r="O5696" s="20"/>
      <c r="P5696" s="20"/>
      <c r="Q5696" s="20"/>
      <c r="R5696" s="20"/>
      <c r="S5696" s="20"/>
      <c r="T5696" s="20"/>
    </row>
    <row r="5697" spans="13:20" x14ac:dyDescent="0.2">
      <c r="M5697" s="20"/>
      <c r="N5697" s="20"/>
      <c r="O5697" s="20"/>
      <c r="P5697" s="20"/>
      <c r="Q5697" s="20"/>
      <c r="R5697" s="20"/>
      <c r="S5697" s="20"/>
      <c r="T5697" s="20"/>
    </row>
    <row r="5698" spans="13:20" x14ac:dyDescent="0.2">
      <c r="M5698" s="20"/>
      <c r="N5698" s="20"/>
      <c r="O5698" s="20"/>
      <c r="P5698" s="20"/>
      <c r="Q5698" s="20"/>
      <c r="R5698" s="20"/>
      <c r="S5698" s="20"/>
      <c r="T5698" s="20"/>
    </row>
    <row r="5699" spans="13:20" x14ac:dyDescent="0.2">
      <c r="M5699" s="20"/>
      <c r="N5699" s="20"/>
      <c r="O5699" s="20"/>
      <c r="P5699" s="20"/>
      <c r="Q5699" s="20"/>
      <c r="R5699" s="20"/>
      <c r="S5699" s="20"/>
      <c r="T5699" s="20"/>
    </row>
    <row r="5700" spans="13:20" x14ac:dyDescent="0.2">
      <c r="M5700" s="20"/>
      <c r="N5700" s="20"/>
      <c r="O5700" s="20"/>
      <c r="P5700" s="20"/>
      <c r="Q5700" s="20"/>
      <c r="R5700" s="20"/>
      <c r="S5700" s="20"/>
      <c r="T5700" s="20"/>
    </row>
    <row r="5701" spans="13:20" x14ac:dyDescent="0.2">
      <c r="M5701" s="20"/>
      <c r="N5701" s="20"/>
      <c r="O5701" s="20"/>
      <c r="P5701" s="20"/>
      <c r="Q5701" s="20"/>
      <c r="R5701" s="20"/>
      <c r="S5701" s="20"/>
      <c r="T5701" s="20"/>
    </row>
    <row r="5702" spans="13:20" x14ac:dyDescent="0.2">
      <c r="M5702" s="20"/>
      <c r="N5702" s="20"/>
      <c r="O5702" s="20"/>
      <c r="P5702" s="20"/>
      <c r="Q5702" s="20"/>
      <c r="R5702" s="20"/>
      <c r="S5702" s="20"/>
      <c r="T5702" s="20"/>
    </row>
    <row r="5703" spans="13:20" x14ac:dyDescent="0.2">
      <c r="M5703" s="20"/>
      <c r="N5703" s="20"/>
      <c r="O5703" s="20"/>
      <c r="P5703" s="20"/>
      <c r="Q5703" s="20"/>
      <c r="R5703" s="20"/>
      <c r="S5703" s="20"/>
      <c r="T5703" s="20"/>
    </row>
    <row r="5704" spans="13:20" x14ac:dyDescent="0.2">
      <c r="M5704" s="20"/>
      <c r="N5704" s="20"/>
      <c r="O5704" s="20"/>
      <c r="P5704" s="20"/>
      <c r="Q5704" s="20"/>
      <c r="R5704" s="20"/>
      <c r="S5704" s="20"/>
      <c r="T5704" s="20"/>
    </row>
    <row r="5705" spans="13:20" x14ac:dyDescent="0.2">
      <c r="M5705" s="20"/>
      <c r="N5705" s="20"/>
      <c r="O5705" s="20"/>
      <c r="P5705" s="20"/>
      <c r="Q5705" s="20"/>
      <c r="R5705" s="20"/>
      <c r="S5705" s="20"/>
      <c r="T5705" s="20"/>
    </row>
    <row r="5706" spans="13:20" x14ac:dyDescent="0.2">
      <c r="M5706" s="20"/>
      <c r="N5706" s="20"/>
      <c r="O5706" s="20"/>
      <c r="P5706" s="20"/>
      <c r="Q5706" s="20"/>
      <c r="R5706" s="20"/>
      <c r="S5706" s="20"/>
      <c r="T5706" s="20"/>
    </row>
    <row r="5707" spans="13:20" x14ac:dyDescent="0.2">
      <c r="M5707" s="20"/>
      <c r="N5707" s="20"/>
      <c r="O5707" s="20"/>
      <c r="P5707" s="20"/>
      <c r="Q5707" s="20"/>
      <c r="R5707" s="20"/>
      <c r="S5707" s="20"/>
      <c r="T5707" s="20"/>
    </row>
    <row r="5708" spans="13:20" x14ac:dyDescent="0.2">
      <c r="M5708" s="20"/>
      <c r="N5708" s="20"/>
      <c r="O5708" s="20"/>
      <c r="P5708" s="20"/>
      <c r="Q5708" s="20"/>
      <c r="R5708" s="20"/>
      <c r="S5708" s="20"/>
      <c r="T5708" s="20"/>
    </row>
    <row r="5709" spans="13:20" x14ac:dyDescent="0.2">
      <c r="M5709" s="20"/>
      <c r="N5709" s="20"/>
      <c r="O5709" s="20"/>
      <c r="P5709" s="20"/>
      <c r="Q5709" s="20"/>
      <c r="R5709" s="20"/>
      <c r="S5709" s="20"/>
      <c r="T5709" s="20"/>
    </row>
    <row r="5710" spans="13:20" x14ac:dyDescent="0.2">
      <c r="M5710" s="20"/>
      <c r="N5710" s="20"/>
      <c r="O5710" s="20"/>
      <c r="P5710" s="20"/>
      <c r="Q5710" s="20"/>
      <c r="R5710" s="20"/>
      <c r="S5710" s="20"/>
      <c r="T5710" s="20"/>
    </row>
    <row r="5711" spans="13:20" x14ac:dyDescent="0.2">
      <c r="M5711" s="20"/>
      <c r="N5711" s="20"/>
      <c r="O5711" s="20"/>
      <c r="P5711" s="20"/>
      <c r="Q5711" s="20"/>
      <c r="R5711" s="20"/>
      <c r="S5711" s="20"/>
      <c r="T5711" s="20"/>
    </row>
    <row r="5712" spans="13:20" x14ac:dyDescent="0.2">
      <c r="M5712" s="20"/>
      <c r="N5712" s="20"/>
      <c r="O5712" s="20"/>
      <c r="P5712" s="20"/>
      <c r="Q5712" s="20"/>
      <c r="R5712" s="20"/>
      <c r="S5712" s="20"/>
      <c r="T5712" s="20"/>
    </row>
    <row r="5713" spans="13:20" x14ac:dyDescent="0.2">
      <c r="M5713" s="20"/>
      <c r="N5713" s="20"/>
      <c r="O5713" s="20"/>
      <c r="P5713" s="20"/>
      <c r="Q5713" s="20"/>
      <c r="R5713" s="20"/>
      <c r="S5713" s="20"/>
      <c r="T5713" s="20"/>
    </row>
    <row r="5714" spans="13:20" x14ac:dyDescent="0.2">
      <c r="M5714" s="20"/>
      <c r="N5714" s="20"/>
      <c r="O5714" s="20"/>
      <c r="P5714" s="20"/>
      <c r="Q5714" s="20"/>
      <c r="R5714" s="20"/>
      <c r="S5714" s="20"/>
      <c r="T5714" s="20"/>
    </row>
    <row r="5715" spans="13:20" x14ac:dyDescent="0.2">
      <c r="M5715" s="20"/>
      <c r="N5715" s="20"/>
      <c r="O5715" s="20"/>
      <c r="P5715" s="20"/>
      <c r="Q5715" s="20"/>
      <c r="R5715" s="20"/>
      <c r="S5715" s="20"/>
      <c r="T5715" s="20"/>
    </row>
    <row r="5716" spans="13:20" x14ac:dyDescent="0.2">
      <c r="M5716" s="20"/>
      <c r="N5716" s="20"/>
      <c r="O5716" s="20"/>
      <c r="P5716" s="20"/>
      <c r="Q5716" s="20"/>
      <c r="R5716" s="20"/>
      <c r="S5716" s="20"/>
      <c r="T5716" s="20"/>
    </row>
    <row r="5717" spans="13:20" x14ac:dyDescent="0.2">
      <c r="M5717" s="20"/>
      <c r="N5717" s="20"/>
      <c r="O5717" s="20"/>
      <c r="P5717" s="20"/>
      <c r="Q5717" s="20"/>
      <c r="R5717" s="20"/>
      <c r="S5717" s="20"/>
      <c r="T5717" s="20"/>
    </row>
    <row r="5718" spans="13:20" x14ac:dyDescent="0.2">
      <c r="M5718" s="20"/>
      <c r="N5718" s="20"/>
      <c r="O5718" s="20"/>
      <c r="P5718" s="20"/>
      <c r="Q5718" s="20"/>
      <c r="R5718" s="20"/>
      <c r="S5718" s="20"/>
      <c r="T5718" s="20"/>
    </row>
    <row r="5719" spans="13:20" x14ac:dyDescent="0.2">
      <c r="M5719" s="20"/>
      <c r="N5719" s="20"/>
      <c r="O5719" s="20"/>
      <c r="P5719" s="20"/>
      <c r="Q5719" s="20"/>
      <c r="R5719" s="20"/>
      <c r="S5719" s="20"/>
      <c r="T5719" s="20"/>
    </row>
    <row r="5720" spans="13:20" x14ac:dyDescent="0.2">
      <c r="M5720" s="20"/>
      <c r="N5720" s="20"/>
      <c r="O5720" s="20"/>
      <c r="P5720" s="20"/>
      <c r="Q5720" s="20"/>
      <c r="R5720" s="20"/>
      <c r="S5720" s="20"/>
      <c r="T5720" s="20"/>
    </row>
    <row r="5721" spans="13:20" x14ac:dyDescent="0.2">
      <c r="M5721" s="20"/>
      <c r="N5721" s="20"/>
      <c r="O5721" s="20"/>
      <c r="P5721" s="20"/>
      <c r="Q5721" s="20"/>
      <c r="R5721" s="20"/>
      <c r="S5721" s="20"/>
      <c r="T5721" s="20"/>
    </row>
    <row r="5722" spans="13:20" x14ac:dyDescent="0.2">
      <c r="M5722" s="20"/>
      <c r="N5722" s="20"/>
      <c r="O5722" s="20"/>
      <c r="P5722" s="20"/>
      <c r="Q5722" s="20"/>
      <c r="R5722" s="20"/>
      <c r="S5722" s="20"/>
      <c r="T5722" s="20"/>
    </row>
    <row r="5723" spans="13:20" x14ac:dyDescent="0.2">
      <c r="M5723" s="20"/>
      <c r="N5723" s="20"/>
      <c r="O5723" s="20"/>
      <c r="P5723" s="20"/>
      <c r="Q5723" s="20"/>
      <c r="R5723" s="20"/>
      <c r="S5723" s="20"/>
      <c r="T5723" s="20"/>
    </row>
    <row r="5724" spans="13:20" x14ac:dyDescent="0.2">
      <c r="M5724" s="20"/>
      <c r="N5724" s="20"/>
      <c r="O5724" s="20"/>
      <c r="P5724" s="20"/>
      <c r="Q5724" s="20"/>
      <c r="R5724" s="20"/>
      <c r="S5724" s="20"/>
      <c r="T5724" s="20"/>
    </row>
    <row r="5725" spans="13:20" x14ac:dyDescent="0.2">
      <c r="M5725" s="20"/>
      <c r="N5725" s="20"/>
      <c r="O5725" s="20"/>
      <c r="P5725" s="20"/>
      <c r="Q5725" s="20"/>
      <c r="R5725" s="20"/>
      <c r="S5725" s="20"/>
      <c r="T5725" s="20"/>
    </row>
    <row r="5726" spans="13:20" x14ac:dyDescent="0.2">
      <c r="M5726" s="20"/>
      <c r="N5726" s="20"/>
      <c r="O5726" s="20"/>
      <c r="P5726" s="20"/>
      <c r="Q5726" s="20"/>
      <c r="R5726" s="20"/>
      <c r="S5726" s="20"/>
      <c r="T5726" s="20"/>
    </row>
    <row r="5727" spans="13:20" x14ac:dyDescent="0.2">
      <c r="M5727" s="20"/>
      <c r="N5727" s="20"/>
      <c r="O5727" s="20"/>
      <c r="P5727" s="20"/>
      <c r="Q5727" s="20"/>
      <c r="R5727" s="20"/>
      <c r="S5727" s="20"/>
      <c r="T5727" s="20"/>
    </row>
    <row r="5728" spans="13:20" x14ac:dyDescent="0.2">
      <c r="M5728" s="20"/>
      <c r="N5728" s="20"/>
      <c r="O5728" s="20"/>
      <c r="P5728" s="20"/>
      <c r="Q5728" s="20"/>
      <c r="R5728" s="20"/>
      <c r="S5728" s="20"/>
      <c r="T5728" s="20"/>
    </row>
    <row r="5729" spans="13:20" x14ac:dyDescent="0.2">
      <c r="M5729" s="20"/>
      <c r="N5729" s="20"/>
      <c r="O5729" s="20"/>
      <c r="P5729" s="20"/>
      <c r="Q5729" s="20"/>
      <c r="R5729" s="20"/>
      <c r="S5729" s="20"/>
      <c r="T5729" s="20"/>
    </row>
    <row r="5730" spans="13:20" x14ac:dyDescent="0.2">
      <c r="M5730" s="20"/>
      <c r="N5730" s="20"/>
      <c r="O5730" s="20"/>
      <c r="P5730" s="20"/>
      <c r="Q5730" s="20"/>
      <c r="R5730" s="20"/>
      <c r="S5730" s="20"/>
      <c r="T5730" s="20"/>
    </row>
    <row r="5731" spans="13:20" x14ac:dyDescent="0.2">
      <c r="M5731" s="20"/>
      <c r="N5731" s="20"/>
      <c r="O5731" s="20"/>
      <c r="P5731" s="20"/>
      <c r="Q5731" s="20"/>
      <c r="R5731" s="20"/>
      <c r="S5731" s="20"/>
      <c r="T5731" s="20"/>
    </row>
    <row r="5732" spans="13:20" x14ac:dyDescent="0.2">
      <c r="M5732" s="20"/>
      <c r="N5732" s="20"/>
      <c r="O5732" s="20"/>
      <c r="P5732" s="20"/>
      <c r="Q5732" s="20"/>
      <c r="R5732" s="20"/>
      <c r="S5732" s="20"/>
      <c r="T5732" s="20"/>
    </row>
    <row r="5733" spans="13:20" x14ac:dyDescent="0.2">
      <c r="M5733" s="20"/>
      <c r="N5733" s="20"/>
      <c r="O5733" s="20"/>
      <c r="P5733" s="20"/>
      <c r="Q5733" s="20"/>
      <c r="R5733" s="20"/>
      <c r="S5733" s="20"/>
      <c r="T5733" s="20"/>
    </row>
    <row r="5734" spans="13:20" x14ac:dyDescent="0.2">
      <c r="M5734" s="20"/>
      <c r="N5734" s="20"/>
      <c r="O5734" s="20"/>
      <c r="P5734" s="20"/>
      <c r="Q5734" s="20"/>
      <c r="R5734" s="20"/>
      <c r="S5734" s="20"/>
      <c r="T5734" s="20"/>
    </row>
    <row r="5735" spans="13:20" x14ac:dyDescent="0.2">
      <c r="M5735" s="20"/>
      <c r="N5735" s="20"/>
      <c r="O5735" s="20"/>
      <c r="P5735" s="20"/>
      <c r="Q5735" s="20"/>
      <c r="R5735" s="20"/>
      <c r="S5735" s="20"/>
      <c r="T5735" s="20"/>
    </row>
    <row r="5736" spans="13:20" x14ac:dyDescent="0.2">
      <c r="M5736" s="20"/>
      <c r="N5736" s="20"/>
      <c r="O5736" s="20"/>
      <c r="P5736" s="20"/>
      <c r="Q5736" s="20"/>
      <c r="R5736" s="20"/>
      <c r="S5736" s="20"/>
      <c r="T5736" s="20"/>
    </row>
    <row r="5737" spans="13:20" x14ac:dyDescent="0.2">
      <c r="M5737" s="20"/>
      <c r="N5737" s="20"/>
      <c r="O5737" s="20"/>
      <c r="P5737" s="20"/>
      <c r="Q5737" s="20"/>
      <c r="R5737" s="20"/>
      <c r="S5737" s="20"/>
      <c r="T5737" s="20"/>
    </row>
    <row r="5738" spans="13:20" x14ac:dyDescent="0.2">
      <c r="M5738" s="20"/>
      <c r="N5738" s="20"/>
      <c r="O5738" s="20"/>
      <c r="P5738" s="20"/>
      <c r="Q5738" s="20"/>
      <c r="R5738" s="20"/>
      <c r="S5738" s="20"/>
      <c r="T5738" s="20"/>
    </row>
    <row r="5739" spans="13:20" x14ac:dyDescent="0.2">
      <c r="M5739" s="20"/>
      <c r="N5739" s="20"/>
      <c r="O5739" s="20"/>
      <c r="P5739" s="20"/>
      <c r="Q5739" s="20"/>
      <c r="R5739" s="20"/>
      <c r="S5739" s="20"/>
      <c r="T5739" s="20"/>
    </row>
    <row r="5740" spans="13:20" x14ac:dyDescent="0.2">
      <c r="M5740" s="20"/>
      <c r="N5740" s="20"/>
      <c r="O5740" s="20"/>
      <c r="P5740" s="20"/>
      <c r="Q5740" s="20"/>
      <c r="R5740" s="20"/>
      <c r="S5740" s="20"/>
      <c r="T5740" s="20"/>
    </row>
    <row r="5741" spans="13:20" x14ac:dyDescent="0.2">
      <c r="M5741" s="20"/>
      <c r="N5741" s="20"/>
      <c r="O5741" s="20"/>
      <c r="P5741" s="20"/>
      <c r="Q5741" s="20"/>
      <c r="R5741" s="20"/>
      <c r="S5741" s="20"/>
      <c r="T5741" s="20"/>
    </row>
    <row r="5742" spans="13:20" x14ac:dyDescent="0.2">
      <c r="M5742" s="20"/>
      <c r="N5742" s="20"/>
      <c r="O5742" s="20"/>
      <c r="P5742" s="20"/>
      <c r="Q5742" s="20"/>
      <c r="R5742" s="20"/>
      <c r="S5742" s="20"/>
      <c r="T5742" s="20"/>
    </row>
    <row r="5743" spans="13:20" x14ac:dyDescent="0.2">
      <c r="M5743" s="20"/>
      <c r="N5743" s="20"/>
      <c r="O5743" s="20"/>
      <c r="P5743" s="20"/>
      <c r="Q5743" s="20"/>
      <c r="R5743" s="20"/>
      <c r="S5743" s="20"/>
      <c r="T5743" s="20"/>
    </row>
    <row r="5744" spans="13:20" x14ac:dyDescent="0.2">
      <c r="M5744" s="20"/>
      <c r="N5744" s="20"/>
      <c r="O5744" s="20"/>
      <c r="P5744" s="20"/>
      <c r="Q5744" s="20"/>
      <c r="R5744" s="20"/>
      <c r="S5744" s="20"/>
      <c r="T5744" s="20"/>
    </row>
    <row r="5745" spans="13:20" x14ac:dyDescent="0.2">
      <c r="M5745" s="20"/>
      <c r="N5745" s="20"/>
      <c r="O5745" s="20"/>
      <c r="P5745" s="20"/>
      <c r="Q5745" s="20"/>
      <c r="R5745" s="20"/>
      <c r="S5745" s="20"/>
      <c r="T5745" s="20"/>
    </row>
    <row r="5746" spans="13:20" x14ac:dyDescent="0.2">
      <c r="M5746" s="20"/>
      <c r="N5746" s="20"/>
      <c r="O5746" s="20"/>
      <c r="P5746" s="20"/>
      <c r="Q5746" s="20"/>
      <c r="R5746" s="20"/>
      <c r="S5746" s="20"/>
      <c r="T5746" s="20"/>
    </row>
    <row r="5747" spans="13:20" x14ac:dyDescent="0.2">
      <c r="M5747" s="20"/>
      <c r="N5747" s="20"/>
      <c r="O5747" s="20"/>
      <c r="P5747" s="20"/>
      <c r="Q5747" s="20"/>
      <c r="R5747" s="20"/>
      <c r="S5747" s="20"/>
      <c r="T5747" s="20"/>
    </row>
    <row r="5748" spans="13:20" x14ac:dyDescent="0.2">
      <c r="M5748" s="20"/>
      <c r="N5748" s="20"/>
      <c r="O5748" s="20"/>
      <c r="P5748" s="20"/>
      <c r="Q5748" s="20"/>
      <c r="R5748" s="20"/>
      <c r="S5748" s="20"/>
      <c r="T5748" s="20"/>
    </row>
    <row r="5749" spans="13:20" x14ac:dyDescent="0.2">
      <c r="M5749" s="20"/>
      <c r="N5749" s="20"/>
      <c r="O5749" s="20"/>
      <c r="P5749" s="20"/>
      <c r="Q5749" s="20"/>
      <c r="R5749" s="20"/>
      <c r="S5749" s="20"/>
      <c r="T5749" s="20"/>
    </row>
    <row r="5750" spans="13:20" x14ac:dyDescent="0.2">
      <c r="M5750" s="20"/>
      <c r="N5750" s="20"/>
      <c r="O5750" s="20"/>
      <c r="P5750" s="20"/>
      <c r="Q5750" s="20"/>
      <c r="R5750" s="20"/>
      <c r="S5750" s="20"/>
      <c r="T5750" s="20"/>
    </row>
    <row r="5751" spans="13:20" x14ac:dyDescent="0.2">
      <c r="M5751" s="20"/>
      <c r="N5751" s="20"/>
      <c r="O5751" s="20"/>
      <c r="P5751" s="20"/>
      <c r="Q5751" s="20"/>
      <c r="R5751" s="20"/>
      <c r="S5751" s="20"/>
      <c r="T5751" s="20"/>
    </row>
    <row r="5752" spans="13:20" x14ac:dyDescent="0.2">
      <c r="M5752" s="20"/>
      <c r="N5752" s="20"/>
      <c r="O5752" s="20"/>
      <c r="P5752" s="20"/>
      <c r="Q5752" s="20"/>
      <c r="R5752" s="20"/>
      <c r="S5752" s="20"/>
      <c r="T5752" s="20"/>
    </row>
    <row r="5753" spans="13:20" x14ac:dyDescent="0.2">
      <c r="M5753" s="20"/>
      <c r="N5753" s="20"/>
      <c r="O5753" s="20"/>
      <c r="P5753" s="20"/>
      <c r="Q5753" s="20"/>
      <c r="R5753" s="20"/>
      <c r="S5753" s="20"/>
      <c r="T5753" s="20"/>
    </row>
    <row r="5754" spans="13:20" x14ac:dyDescent="0.2">
      <c r="M5754" s="20"/>
      <c r="N5754" s="20"/>
      <c r="O5754" s="20"/>
      <c r="P5754" s="20"/>
      <c r="Q5754" s="20"/>
      <c r="R5754" s="20"/>
      <c r="S5754" s="20"/>
      <c r="T5754" s="20"/>
    </row>
    <row r="5755" spans="13:20" x14ac:dyDescent="0.2">
      <c r="M5755" s="20"/>
      <c r="N5755" s="20"/>
      <c r="O5755" s="20"/>
      <c r="P5755" s="20"/>
      <c r="Q5755" s="20"/>
      <c r="R5755" s="20"/>
      <c r="S5755" s="20"/>
      <c r="T5755" s="20"/>
    </row>
    <row r="5756" spans="13:20" x14ac:dyDescent="0.2">
      <c r="M5756" s="20"/>
      <c r="N5756" s="20"/>
      <c r="O5756" s="20"/>
      <c r="P5756" s="20"/>
      <c r="Q5756" s="20"/>
      <c r="R5756" s="20"/>
      <c r="S5756" s="20"/>
      <c r="T5756" s="20"/>
    </row>
    <row r="5757" spans="13:20" x14ac:dyDescent="0.2">
      <c r="M5757" s="20"/>
      <c r="N5757" s="20"/>
      <c r="O5757" s="20"/>
      <c r="P5757" s="20"/>
      <c r="Q5757" s="20"/>
      <c r="R5757" s="20"/>
      <c r="S5757" s="20"/>
      <c r="T5757" s="20"/>
    </row>
    <row r="5758" spans="13:20" x14ac:dyDescent="0.2">
      <c r="M5758" s="20"/>
      <c r="N5758" s="20"/>
      <c r="O5758" s="20"/>
      <c r="P5758" s="20"/>
      <c r="Q5758" s="20"/>
      <c r="R5758" s="20"/>
      <c r="S5758" s="20"/>
      <c r="T5758" s="20"/>
    </row>
    <row r="5759" spans="13:20" x14ac:dyDescent="0.2">
      <c r="M5759" s="20"/>
      <c r="N5759" s="20"/>
      <c r="O5759" s="20"/>
      <c r="P5759" s="20"/>
      <c r="Q5759" s="20"/>
      <c r="R5759" s="20"/>
      <c r="S5759" s="20"/>
      <c r="T5759" s="20"/>
    </row>
    <row r="5760" spans="13:20" x14ac:dyDescent="0.2">
      <c r="M5760" s="20"/>
      <c r="N5760" s="20"/>
      <c r="O5760" s="20"/>
      <c r="P5760" s="20"/>
      <c r="Q5760" s="20"/>
      <c r="R5760" s="20"/>
      <c r="S5760" s="20"/>
      <c r="T5760" s="20"/>
    </row>
    <row r="5761" spans="13:20" x14ac:dyDescent="0.2">
      <c r="M5761" s="20"/>
      <c r="N5761" s="20"/>
      <c r="O5761" s="20"/>
      <c r="P5761" s="20"/>
      <c r="Q5761" s="20"/>
      <c r="R5761" s="20"/>
      <c r="S5761" s="20"/>
      <c r="T5761" s="20"/>
    </row>
    <row r="5762" spans="13:20" x14ac:dyDescent="0.2">
      <c r="M5762" s="20"/>
      <c r="N5762" s="20"/>
      <c r="O5762" s="20"/>
      <c r="P5762" s="20"/>
      <c r="Q5762" s="20"/>
      <c r="R5762" s="20"/>
      <c r="S5762" s="20"/>
      <c r="T5762" s="20"/>
    </row>
    <row r="5763" spans="13:20" x14ac:dyDescent="0.2">
      <c r="M5763" s="20"/>
      <c r="N5763" s="20"/>
      <c r="O5763" s="20"/>
      <c r="P5763" s="20"/>
      <c r="Q5763" s="20"/>
      <c r="R5763" s="20"/>
      <c r="S5763" s="20"/>
      <c r="T5763" s="20"/>
    </row>
    <row r="5764" spans="13:20" x14ac:dyDescent="0.2">
      <c r="M5764" s="20"/>
      <c r="N5764" s="20"/>
      <c r="O5764" s="20"/>
      <c r="P5764" s="20"/>
      <c r="Q5764" s="20"/>
      <c r="R5764" s="20"/>
      <c r="S5764" s="20"/>
      <c r="T5764" s="20"/>
    </row>
    <row r="5765" spans="13:20" x14ac:dyDescent="0.2">
      <c r="M5765" s="20"/>
      <c r="N5765" s="20"/>
      <c r="O5765" s="20"/>
      <c r="P5765" s="20"/>
      <c r="Q5765" s="20"/>
      <c r="R5765" s="20"/>
      <c r="S5765" s="20"/>
      <c r="T5765" s="20"/>
    </row>
    <row r="5766" spans="13:20" x14ac:dyDescent="0.2">
      <c r="M5766" s="20"/>
      <c r="N5766" s="20"/>
      <c r="O5766" s="20"/>
      <c r="P5766" s="20"/>
      <c r="Q5766" s="20"/>
      <c r="R5766" s="20"/>
      <c r="S5766" s="20"/>
      <c r="T5766" s="20"/>
    </row>
    <row r="5767" spans="13:20" x14ac:dyDescent="0.2">
      <c r="M5767" s="20"/>
      <c r="N5767" s="20"/>
      <c r="O5767" s="20"/>
      <c r="P5767" s="20"/>
      <c r="Q5767" s="20"/>
      <c r="R5767" s="20"/>
      <c r="S5767" s="20"/>
      <c r="T5767" s="20"/>
    </row>
    <row r="5768" spans="13:20" x14ac:dyDescent="0.2">
      <c r="M5768" s="20"/>
      <c r="N5768" s="20"/>
      <c r="O5768" s="20"/>
      <c r="P5768" s="20"/>
      <c r="Q5768" s="20"/>
      <c r="R5768" s="20"/>
      <c r="S5768" s="20"/>
      <c r="T5768" s="20"/>
    </row>
    <row r="5769" spans="13:20" x14ac:dyDescent="0.2">
      <c r="M5769" s="20"/>
      <c r="N5769" s="20"/>
      <c r="O5769" s="20"/>
      <c r="P5769" s="20"/>
      <c r="Q5769" s="20"/>
      <c r="R5769" s="20"/>
      <c r="S5769" s="20"/>
      <c r="T5769" s="20"/>
    </row>
    <row r="5770" spans="13:20" x14ac:dyDescent="0.2">
      <c r="M5770" s="20"/>
      <c r="N5770" s="20"/>
      <c r="O5770" s="20"/>
      <c r="P5770" s="20"/>
      <c r="Q5770" s="20"/>
      <c r="R5770" s="20"/>
      <c r="S5770" s="20"/>
      <c r="T5770" s="20"/>
    </row>
    <row r="5771" spans="13:20" x14ac:dyDescent="0.2">
      <c r="M5771" s="20"/>
      <c r="N5771" s="20"/>
      <c r="O5771" s="20"/>
      <c r="P5771" s="20"/>
      <c r="Q5771" s="20"/>
      <c r="R5771" s="20"/>
      <c r="S5771" s="20"/>
      <c r="T5771" s="20"/>
    </row>
    <row r="5772" spans="13:20" x14ac:dyDescent="0.2">
      <c r="M5772" s="20"/>
      <c r="N5772" s="20"/>
      <c r="O5772" s="20"/>
      <c r="P5772" s="20"/>
      <c r="Q5772" s="20"/>
      <c r="R5772" s="20"/>
      <c r="S5772" s="20"/>
      <c r="T5772" s="20"/>
    </row>
    <row r="5773" spans="13:20" x14ac:dyDescent="0.2">
      <c r="M5773" s="20"/>
      <c r="N5773" s="20"/>
      <c r="O5773" s="20"/>
      <c r="P5773" s="20"/>
      <c r="Q5773" s="20"/>
      <c r="R5773" s="20"/>
      <c r="S5773" s="20"/>
      <c r="T5773" s="20"/>
    </row>
    <row r="5774" spans="13:20" x14ac:dyDescent="0.2">
      <c r="M5774" s="20"/>
      <c r="N5774" s="20"/>
      <c r="O5774" s="20"/>
      <c r="P5774" s="20"/>
      <c r="Q5774" s="20"/>
      <c r="R5774" s="20"/>
      <c r="S5774" s="20"/>
      <c r="T5774" s="20"/>
    </row>
    <row r="5775" spans="13:20" x14ac:dyDescent="0.2">
      <c r="M5775" s="20"/>
      <c r="N5775" s="20"/>
      <c r="O5775" s="20"/>
      <c r="P5775" s="20"/>
      <c r="Q5775" s="20"/>
      <c r="R5775" s="20"/>
      <c r="S5775" s="20"/>
      <c r="T5775" s="20"/>
    </row>
    <row r="5776" spans="13:20" x14ac:dyDescent="0.2">
      <c r="M5776" s="20"/>
      <c r="N5776" s="20"/>
      <c r="O5776" s="20"/>
      <c r="P5776" s="20"/>
      <c r="Q5776" s="20"/>
      <c r="R5776" s="20"/>
      <c r="S5776" s="20"/>
      <c r="T5776" s="20"/>
    </row>
    <row r="5777" spans="13:20" x14ac:dyDescent="0.2">
      <c r="M5777" s="20"/>
      <c r="N5777" s="20"/>
      <c r="O5777" s="20"/>
      <c r="P5777" s="20"/>
      <c r="Q5777" s="20"/>
      <c r="R5777" s="20"/>
      <c r="S5777" s="20"/>
      <c r="T5777" s="20"/>
    </row>
    <row r="5778" spans="13:20" x14ac:dyDescent="0.2">
      <c r="M5778" s="20"/>
      <c r="N5778" s="20"/>
      <c r="O5778" s="20"/>
      <c r="P5778" s="20"/>
      <c r="Q5778" s="20"/>
      <c r="R5778" s="20"/>
      <c r="S5778" s="20"/>
      <c r="T5778" s="20"/>
    </row>
    <row r="5779" spans="13:20" x14ac:dyDescent="0.2">
      <c r="M5779" s="20"/>
      <c r="N5779" s="20"/>
      <c r="O5779" s="20"/>
      <c r="P5779" s="20"/>
      <c r="Q5779" s="20"/>
      <c r="R5779" s="20"/>
      <c r="S5779" s="20"/>
      <c r="T5779" s="20"/>
    </row>
    <row r="5780" spans="13:20" x14ac:dyDescent="0.2">
      <c r="M5780" s="20"/>
      <c r="N5780" s="20"/>
      <c r="O5780" s="20"/>
      <c r="P5780" s="20"/>
      <c r="Q5780" s="20"/>
      <c r="R5780" s="20"/>
      <c r="S5780" s="20"/>
      <c r="T5780" s="20"/>
    </row>
    <row r="5781" spans="13:20" x14ac:dyDescent="0.2">
      <c r="M5781" s="20"/>
      <c r="N5781" s="20"/>
      <c r="O5781" s="20"/>
      <c r="P5781" s="20"/>
      <c r="Q5781" s="20"/>
      <c r="R5781" s="20"/>
      <c r="S5781" s="20"/>
      <c r="T5781" s="20"/>
    </row>
    <row r="5782" spans="13:20" x14ac:dyDescent="0.2">
      <c r="M5782" s="20"/>
      <c r="N5782" s="20"/>
      <c r="O5782" s="20"/>
      <c r="P5782" s="20"/>
      <c r="Q5782" s="20"/>
      <c r="R5782" s="20"/>
      <c r="S5782" s="20"/>
      <c r="T5782" s="20"/>
    </row>
    <row r="5783" spans="13:20" x14ac:dyDescent="0.2">
      <c r="M5783" s="20"/>
      <c r="N5783" s="20"/>
      <c r="O5783" s="20"/>
      <c r="P5783" s="20"/>
      <c r="Q5783" s="20"/>
      <c r="R5783" s="20"/>
      <c r="S5783" s="20"/>
      <c r="T5783" s="20"/>
    </row>
    <row r="5784" spans="13:20" x14ac:dyDescent="0.2">
      <c r="M5784" s="20"/>
      <c r="N5784" s="20"/>
      <c r="O5784" s="20"/>
      <c r="P5784" s="20"/>
      <c r="Q5784" s="20"/>
      <c r="R5784" s="20"/>
      <c r="S5784" s="20"/>
      <c r="T5784" s="20"/>
    </row>
    <row r="5785" spans="13:20" x14ac:dyDescent="0.2">
      <c r="M5785" s="20"/>
      <c r="N5785" s="20"/>
      <c r="O5785" s="20"/>
      <c r="P5785" s="20"/>
      <c r="Q5785" s="20"/>
      <c r="R5785" s="20"/>
      <c r="S5785" s="20"/>
      <c r="T5785" s="20"/>
    </row>
    <row r="5786" spans="13:20" x14ac:dyDescent="0.2">
      <c r="M5786" s="20"/>
      <c r="N5786" s="20"/>
      <c r="O5786" s="20"/>
      <c r="P5786" s="20"/>
      <c r="Q5786" s="20"/>
      <c r="R5786" s="20"/>
      <c r="S5786" s="20"/>
      <c r="T5786" s="20"/>
    </row>
    <row r="5787" spans="13:20" x14ac:dyDescent="0.2">
      <c r="M5787" s="20"/>
      <c r="N5787" s="20"/>
      <c r="O5787" s="20"/>
      <c r="P5787" s="20"/>
      <c r="Q5787" s="20"/>
      <c r="R5787" s="20"/>
      <c r="S5787" s="20"/>
      <c r="T5787" s="20"/>
    </row>
    <row r="5788" spans="13:20" x14ac:dyDescent="0.2">
      <c r="M5788" s="20"/>
      <c r="N5788" s="20"/>
      <c r="O5788" s="20"/>
      <c r="P5788" s="20"/>
      <c r="Q5788" s="20"/>
      <c r="R5788" s="20"/>
      <c r="S5788" s="20"/>
      <c r="T5788" s="20"/>
    </row>
    <row r="5789" spans="13:20" x14ac:dyDescent="0.2">
      <c r="M5789" s="20"/>
      <c r="N5789" s="20"/>
      <c r="O5789" s="20"/>
      <c r="P5789" s="20"/>
      <c r="Q5789" s="20"/>
      <c r="R5789" s="20"/>
      <c r="S5789" s="20"/>
      <c r="T5789" s="20"/>
    </row>
    <row r="5790" spans="13:20" x14ac:dyDescent="0.2">
      <c r="M5790" s="20"/>
      <c r="N5790" s="20"/>
      <c r="O5790" s="20"/>
      <c r="P5790" s="20"/>
      <c r="Q5790" s="20"/>
      <c r="R5790" s="20"/>
      <c r="S5790" s="20"/>
      <c r="T5790" s="20"/>
    </row>
    <row r="5791" spans="13:20" x14ac:dyDescent="0.2">
      <c r="M5791" s="20"/>
      <c r="N5791" s="20"/>
      <c r="O5791" s="20"/>
      <c r="P5791" s="20"/>
      <c r="Q5791" s="20"/>
      <c r="R5791" s="20"/>
      <c r="S5791" s="20"/>
      <c r="T5791" s="20"/>
    </row>
    <row r="5792" spans="13:20" x14ac:dyDescent="0.2">
      <c r="M5792" s="20"/>
      <c r="N5792" s="20"/>
      <c r="O5792" s="20"/>
      <c r="P5792" s="20"/>
      <c r="Q5792" s="20"/>
      <c r="R5792" s="20"/>
      <c r="S5792" s="20"/>
      <c r="T5792" s="20"/>
    </row>
    <row r="5793" spans="13:20" x14ac:dyDescent="0.2">
      <c r="M5793" s="20"/>
      <c r="N5793" s="20"/>
      <c r="O5793" s="20"/>
      <c r="P5793" s="20"/>
      <c r="Q5793" s="20"/>
      <c r="R5793" s="20"/>
      <c r="S5793" s="20"/>
      <c r="T5793" s="20"/>
    </row>
    <row r="5794" spans="13:20" x14ac:dyDescent="0.2">
      <c r="M5794" s="20"/>
      <c r="N5794" s="20"/>
      <c r="O5794" s="20"/>
      <c r="P5794" s="20"/>
      <c r="Q5794" s="20"/>
      <c r="R5794" s="20"/>
      <c r="S5794" s="20"/>
      <c r="T5794" s="20"/>
    </row>
    <row r="5795" spans="13:20" x14ac:dyDescent="0.2">
      <c r="M5795" s="20"/>
      <c r="N5795" s="20"/>
      <c r="O5795" s="20"/>
      <c r="P5795" s="20"/>
      <c r="Q5795" s="20"/>
      <c r="R5795" s="20"/>
      <c r="S5795" s="20"/>
      <c r="T5795" s="20"/>
    </row>
    <row r="5796" spans="13:20" x14ac:dyDescent="0.2">
      <c r="M5796" s="20"/>
      <c r="N5796" s="20"/>
      <c r="O5796" s="20"/>
      <c r="P5796" s="20"/>
      <c r="Q5796" s="20"/>
      <c r="R5796" s="20"/>
      <c r="S5796" s="20"/>
      <c r="T5796" s="20"/>
    </row>
    <row r="5797" spans="13:20" x14ac:dyDescent="0.2">
      <c r="M5797" s="20"/>
      <c r="N5797" s="20"/>
      <c r="O5797" s="20"/>
      <c r="P5797" s="20"/>
      <c r="Q5797" s="20"/>
      <c r="R5797" s="20"/>
      <c r="S5797" s="20"/>
      <c r="T5797" s="20"/>
    </row>
    <row r="5798" spans="13:20" x14ac:dyDescent="0.2">
      <c r="M5798" s="20"/>
      <c r="N5798" s="20"/>
      <c r="O5798" s="20"/>
      <c r="P5798" s="20"/>
      <c r="Q5798" s="20"/>
      <c r="R5798" s="20"/>
      <c r="S5798" s="20"/>
      <c r="T5798" s="20"/>
    </row>
    <row r="5799" spans="13:20" x14ac:dyDescent="0.2">
      <c r="M5799" s="20"/>
      <c r="N5799" s="20"/>
      <c r="O5799" s="20"/>
      <c r="P5799" s="20"/>
      <c r="Q5799" s="20"/>
      <c r="R5799" s="20"/>
      <c r="S5799" s="20"/>
      <c r="T5799" s="20"/>
    </row>
    <row r="5800" spans="13:20" x14ac:dyDescent="0.2">
      <c r="M5800" s="20"/>
      <c r="N5800" s="20"/>
      <c r="O5800" s="20"/>
      <c r="P5800" s="20"/>
      <c r="Q5800" s="20"/>
      <c r="R5800" s="20"/>
      <c r="S5800" s="20"/>
      <c r="T5800" s="20"/>
    </row>
    <row r="5801" spans="13:20" x14ac:dyDescent="0.2">
      <c r="M5801" s="20"/>
      <c r="N5801" s="20"/>
      <c r="O5801" s="20"/>
      <c r="P5801" s="20"/>
      <c r="Q5801" s="20"/>
      <c r="R5801" s="20"/>
      <c r="S5801" s="20"/>
      <c r="T5801" s="20"/>
    </row>
    <row r="5802" spans="13:20" x14ac:dyDescent="0.2">
      <c r="M5802" s="20"/>
      <c r="N5802" s="20"/>
      <c r="O5802" s="20"/>
      <c r="P5802" s="20"/>
      <c r="Q5802" s="20"/>
      <c r="R5802" s="20"/>
      <c r="S5802" s="20"/>
      <c r="T5802" s="20"/>
    </row>
    <row r="5803" spans="13:20" x14ac:dyDescent="0.2">
      <c r="M5803" s="20"/>
      <c r="N5803" s="20"/>
      <c r="O5803" s="20"/>
      <c r="P5803" s="20"/>
      <c r="Q5803" s="20"/>
      <c r="R5803" s="20"/>
      <c r="S5803" s="20"/>
      <c r="T5803" s="20"/>
    </row>
    <row r="5804" spans="13:20" x14ac:dyDescent="0.2">
      <c r="M5804" s="20"/>
      <c r="N5804" s="20"/>
      <c r="O5804" s="20"/>
      <c r="P5804" s="20"/>
      <c r="Q5804" s="20"/>
      <c r="R5804" s="20"/>
      <c r="S5804" s="20"/>
      <c r="T5804" s="20"/>
    </row>
    <row r="5805" spans="13:20" x14ac:dyDescent="0.2">
      <c r="M5805" s="20"/>
      <c r="N5805" s="20"/>
      <c r="O5805" s="20"/>
      <c r="P5805" s="20"/>
      <c r="Q5805" s="20"/>
      <c r="R5805" s="20"/>
      <c r="S5805" s="20"/>
      <c r="T5805" s="20"/>
    </row>
    <row r="5806" spans="13:20" x14ac:dyDescent="0.2">
      <c r="M5806" s="20"/>
      <c r="N5806" s="20"/>
      <c r="O5806" s="20"/>
      <c r="P5806" s="20"/>
      <c r="Q5806" s="20"/>
      <c r="R5806" s="20"/>
      <c r="S5806" s="20"/>
      <c r="T5806" s="20"/>
    </row>
    <row r="5807" spans="13:20" x14ac:dyDescent="0.2">
      <c r="M5807" s="20"/>
      <c r="N5807" s="20"/>
      <c r="O5807" s="20"/>
      <c r="P5807" s="20"/>
      <c r="Q5807" s="20"/>
      <c r="R5807" s="20"/>
      <c r="S5807" s="20"/>
      <c r="T5807" s="20"/>
    </row>
    <row r="5808" spans="13:20" x14ac:dyDescent="0.2">
      <c r="M5808" s="20"/>
      <c r="N5808" s="20"/>
      <c r="O5808" s="20"/>
      <c r="P5808" s="20"/>
      <c r="Q5808" s="20"/>
      <c r="R5808" s="20"/>
      <c r="S5808" s="20"/>
      <c r="T5808" s="20"/>
    </row>
    <row r="5809" spans="13:20" x14ac:dyDescent="0.2">
      <c r="M5809" s="20"/>
      <c r="N5809" s="20"/>
      <c r="O5809" s="20"/>
      <c r="P5809" s="20"/>
      <c r="Q5809" s="20"/>
      <c r="R5809" s="20"/>
      <c r="S5809" s="20"/>
      <c r="T5809" s="20"/>
    </row>
    <row r="5810" spans="13:20" x14ac:dyDescent="0.2">
      <c r="M5810" s="20"/>
      <c r="N5810" s="20"/>
      <c r="O5810" s="20"/>
      <c r="P5810" s="20"/>
      <c r="Q5810" s="20"/>
      <c r="R5810" s="20"/>
      <c r="S5810" s="20"/>
      <c r="T5810" s="20"/>
    </row>
    <row r="5811" spans="13:20" x14ac:dyDescent="0.2">
      <c r="M5811" s="20"/>
      <c r="N5811" s="20"/>
      <c r="O5811" s="20"/>
      <c r="P5811" s="20"/>
      <c r="Q5811" s="20"/>
      <c r="R5811" s="20"/>
      <c r="S5811" s="20"/>
      <c r="T5811" s="20"/>
    </row>
    <row r="5812" spans="13:20" x14ac:dyDescent="0.2">
      <c r="M5812" s="20"/>
      <c r="N5812" s="20"/>
      <c r="O5812" s="20"/>
      <c r="P5812" s="20"/>
      <c r="Q5812" s="20"/>
      <c r="R5812" s="20"/>
      <c r="S5812" s="20"/>
      <c r="T5812" s="20"/>
    </row>
    <row r="5813" spans="13:20" x14ac:dyDescent="0.2">
      <c r="M5813" s="20"/>
      <c r="N5813" s="20"/>
      <c r="O5813" s="20"/>
      <c r="P5813" s="20"/>
      <c r="Q5813" s="20"/>
      <c r="R5813" s="20"/>
      <c r="S5813" s="20"/>
      <c r="T5813" s="20"/>
    </row>
    <row r="5814" spans="13:20" x14ac:dyDescent="0.2">
      <c r="M5814" s="20"/>
      <c r="N5814" s="20"/>
      <c r="O5814" s="20"/>
      <c r="P5814" s="20"/>
      <c r="Q5814" s="20"/>
      <c r="R5814" s="20"/>
      <c r="S5814" s="20"/>
      <c r="T5814" s="20"/>
    </row>
    <row r="5815" spans="13:20" x14ac:dyDescent="0.2">
      <c r="M5815" s="20"/>
      <c r="N5815" s="20"/>
      <c r="O5815" s="20"/>
      <c r="P5815" s="20"/>
      <c r="Q5815" s="20"/>
      <c r="R5815" s="20"/>
      <c r="S5815" s="20"/>
      <c r="T5815" s="20"/>
    </row>
    <row r="5816" spans="13:20" x14ac:dyDescent="0.2">
      <c r="M5816" s="20"/>
      <c r="N5816" s="20"/>
      <c r="O5816" s="20"/>
      <c r="P5816" s="20"/>
      <c r="Q5816" s="20"/>
      <c r="R5816" s="20"/>
      <c r="S5816" s="20"/>
      <c r="T5816" s="20"/>
    </row>
    <row r="5817" spans="13:20" x14ac:dyDescent="0.2">
      <c r="M5817" s="20"/>
      <c r="N5817" s="20"/>
      <c r="O5817" s="20"/>
      <c r="P5817" s="20"/>
      <c r="Q5817" s="20"/>
      <c r="R5817" s="20"/>
      <c r="S5817" s="20"/>
      <c r="T5817" s="20"/>
    </row>
    <row r="5818" spans="13:20" x14ac:dyDescent="0.2">
      <c r="M5818" s="20"/>
      <c r="N5818" s="20"/>
      <c r="O5818" s="20"/>
      <c r="P5818" s="20"/>
      <c r="Q5818" s="20"/>
      <c r="R5818" s="20"/>
      <c r="S5818" s="20"/>
      <c r="T5818" s="20"/>
    </row>
    <row r="5819" spans="13:20" x14ac:dyDescent="0.2">
      <c r="M5819" s="20"/>
      <c r="N5819" s="20"/>
      <c r="O5819" s="20"/>
      <c r="P5819" s="20"/>
      <c r="Q5819" s="20"/>
      <c r="R5819" s="20"/>
      <c r="S5819" s="20"/>
      <c r="T5819" s="20"/>
    </row>
    <row r="5820" spans="13:20" x14ac:dyDescent="0.2">
      <c r="M5820" s="20"/>
      <c r="N5820" s="20"/>
      <c r="O5820" s="20"/>
      <c r="P5820" s="20"/>
      <c r="Q5820" s="20"/>
      <c r="R5820" s="20"/>
      <c r="S5820" s="20"/>
      <c r="T5820" s="20"/>
    </row>
    <row r="5821" spans="13:20" x14ac:dyDescent="0.2">
      <c r="M5821" s="20"/>
      <c r="N5821" s="20"/>
      <c r="O5821" s="20"/>
      <c r="P5821" s="20"/>
      <c r="Q5821" s="20"/>
      <c r="R5821" s="20"/>
      <c r="S5821" s="20"/>
      <c r="T5821" s="20"/>
    </row>
    <row r="5822" spans="13:20" x14ac:dyDescent="0.2">
      <c r="M5822" s="20"/>
      <c r="N5822" s="20"/>
      <c r="O5822" s="20"/>
      <c r="P5822" s="20"/>
      <c r="Q5822" s="20"/>
      <c r="R5822" s="20"/>
      <c r="S5822" s="20"/>
      <c r="T5822" s="20"/>
    </row>
    <row r="5823" spans="13:20" x14ac:dyDescent="0.2">
      <c r="M5823" s="20"/>
      <c r="N5823" s="20"/>
      <c r="O5823" s="20"/>
      <c r="P5823" s="20"/>
      <c r="Q5823" s="20"/>
      <c r="R5823" s="20"/>
      <c r="S5823" s="20"/>
      <c r="T5823" s="20"/>
    </row>
    <row r="5824" spans="13:20" x14ac:dyDescent="0.2">
      <c r="M5824" s="20"/>
      <c r="N5824" s="20"/>
      <c r="O5824" s="20"/>
      <c r="P5824" s="20"/>
      <c r="Q5824" s="20"/>
      <c r="R5824" s="20"/>
      <c r="S5824" s="20"/>
      <c r="T5824" s="20"/>
    </row>
    <row r="5825" spans="13:20" x14ac:dyDescent="0.2">
      <c r="M5825" s="20"/>
      <c r="N5825" s="20"/>
      <c r="O5825" s="20"/>
      <c r="P5825" s="20"/>
      <c r="Q5825" s="20"/>
      <c r="R5825" s="20"/>
      <c r="S5825" s="20"/>
      <c r="T5825" s="20"/>
    </row>
    <row r="5826" spans="13:20" x14ac:dyDescent="0.2">
      <c r="M5826" s="20"/>
      <c r="N5826" s="20"/>
      <c r="O5826" s="20"/>
      <c r="P5826" s="20"/>
      <c r="Q5826" s="20"/>
      <c r="R5826" s="20"/>
      <c r="S5826" s="20"/>
      <c r="T5826" s="20"/>
    </row>
    <row r="5827" spans="13:20" x14ac:dyDescent="0.2">
      <c r="M5827" s="20"/>
      <c r="N5827" s="20"/>
      <c r="O5827" s="20"/>
      <c r="P5827" s="20"/>
      <c r="Q5827" s="20"/>
      <c r="R5827" s="20"/>
      <c r="S5827" s="20"/>
      <c r="T5827" s="20"/>
    </row>
    <row r="5828" spans="13:20" x14ac:dyDescent="0.2">
      <c r="M5828" s="20"/>
      <c r="N5828" s="20"/>
      <c r="O5828" s="20"/>
      <c r="P5828" s="20"/>
      <c r="Q5828" s="20"/>
      <c r="R5828" s="20"/>
      <c r="S5828" s="20"/>
      <c r="T5828" s="20"/>
    </row>
    <row r="5829" spans="13:20" x14ac:dyDescent="0.2">
      <c r="M5829" s="20"/>
      <c r="N5829" s="20"/>
      <c r="O5829" s="20"/>
      <c r="P5829" s="20"/>
      <c r="Q5829" s="20"/>
      <c r="R5829" s="20"/>
      <c r="S5829" s="20"/>
      <c r="T5829" s="20"/>
    </row>
    <row r="5830" spans="13:20" x14ac:dyDescent="0.2">
      <c r="M5830" s="20"/>
      <c r="N5830" s="20"/>
      <c r="O5830" s="20"/>
      <c r="P5830" s="20"/>
      <c r="Q5830" s="20"/>
      <c r="R5830" s="20"/>
      <c r="S5830" s="20"/>
      <c r="T5830" s="20"/>
    </row>
    <row r="5831" spans="13:20" x14ac:dyDescent="0.2">
      <c r="M5831" s="20"/>
      <c r="N5831" s="20"/>
      <c r="O5831" s="20"/>
      <c r="P5831" s="20"/>
      <c r="Q5831" s="20"/>
      <c r="R5831" s="20"/>
      <c r="S5831" s="20"/>
      <c r="T5831" s="20"/>
    </row>
    <row r="5832" spans="13:20" x14ac:dyDescent="0.2">
      <c r="M5832" s="20"/>
      <c r="N5832" s="20"/>
      <c r="O5832" s="20"/>
      <c r="P5832" s="20"/>
      <c r="Q5832" s="20"/>
      <c r="R5832" s="20"/>
      <c r="S5832" s="20"/>
      <c r="T5832" s="20"/>
    </row>
    <row r="5833" spans="13:20" x14ac:dyDescent="0.2">
      <c r="M5833" s="20"/>
      <c r="N5833" s="20"/>
      <c r="O5833" s="20"/>
      <c r="P5833" s="20"/>
      <c r="Q5833" s="20"/>
      <c r="R5833" s="20"/>
      <c r="S5833" s="20"/>
      <c r="T5833" s="20"/>
    </row>
    <row r="5834" spans="13:20" x14ac:dyDescent="0.2">
      <c r="M5834" s="20"/>
      <c r="N5834" s="20"/>
      <c r="O5834" s="20"/>
      <c r="P5834" s="20"/>
      <c r="Q5834" s="20"/>
      <c r="R5834" s="20"/>
      <c r="S5834" s="20"/>
      <c r="T5834" s="20"/>
    </row>
    <row r="5835" spans="13:20" x14ac:dyDescent="0.2">
      <c r="M5835" s="20"/>
      <c r="N5835" s="20"/>
      <c r="O5835" s="20"/>
      <c r="P5835" s="20"/>
      <c r="Q5835" s="20"/>
      <c r="R5835" s="20"/>
      <c r="S5835" s="20"/>
      <c r="T5835" s="20"/>
    </row>
    <row r="5836" spans="13:20" x14ac:dyDescent="0.2">
      <c r="M5836" s="20"/>
      <c r="N5836" s="20"/>
      <c r="O5836" s="20"/>
      <c r="P5836" s="20"/>
      <c r="Q5836" s="20"/>
      <c r="R5836" s="20"/>
      <c r="S5836" s="20"/>
      <c r="T5836" s="20"/>
    </row>
    <row r="5837" spans="13:20" x14ac:dyDescent="0.2">
      <c r="M5837" s="20"/>
      <c r="N5837" s="20"/>
      <c r="O5837" s="20"/>
      <c r="P5837" s="20"/>
      <c r="Q5837" s="20"/>
      <c r="R5837" s="20"/>
      <c r="S5837" s="20"/>
      <c r="T5837" s="20"/>
    </row>
    <row r="5838" spans="13:20" x14ac:dyDescent="0.2">
      <c r="M5838" s="20"/>
      <c r="N5838" s="20"/>
      <c r="O5838" s="20"/>
      <c r="P5838" s="20"/>
      <c r="Q5838" s="20"/>
      <c r="R5838" s="20"/>
      <c r="S5838" s="20"/>
      <c r="T5838" s="20"/>
    </row>
    <row r="5839" spans="13:20" x14ac:dyDescent="0.2">
      <c r="M5839" s="20"/>
      <c r="N5839" s="20"/>
      <c r="O5839" s="20"/>
      <c r="P5839" s="20"/>
      <c r="Q5839" s="20"/>
      <c r="R5839" s="20"/>
      <c r="S5839" s="20"/>
      <c r="T5839" s="20"/>
    </row>
    <row r="5840" spans="13:20" x14ac:dyDescent="0.2">
      <c r="M5840" s="20"/>
      <c r="N5840" s="20"/>
      <c r="O5840" s="20"/>
      <c r="P5840" s="20"/>
      <c r="Q5840" s="20"/>
      <c r="R5840" s="20"/>
      <c r="S5840" s="20"/>
      <c r="T5840" s="20"/>
    </row>
    <row r="5841" spans="13:20" x14ac:dyDescent="0.2">
      <c r="M5841" s="20"/>
      <c r="N5841" s="20"/>
      <c r="O5841" s="20"/>
      <c r="P5841" s="20"/>
      <c r="Q5841" s="20"/>
      <c r="R5841" s="20"/>
      <c r="S5841" s="20"/>
      <c r="T5841" s="20"/>
    </row>
    <row r="5842" spans="13:20" x14ac:dyDescent="0.2">
      <c r="M5842" s="20"/>
      <c r="N5842" s="20"/>
      <c r="O5842" s="20"/>
      <c r="P5842" s="20"/>
      <c r="Q5842" s="20"/>
      <c r="R5842" s="20"/>
      <c r="S5842" s="20"/>
      <c r="T5842" s="20"/>
    </row>
    <row r="5843" spans="13:20" x14ac:dyDescent="0.2">
      <c r="M5843" s="20"/>
      <c r="N5843" s="20"/>
      <c r="O5843" s="20"/>
      <c r="P5843" s="20"/>
      <c r="Q5843" s="20"/>
      <c r="R5843" s="20"/>
      <c r="S5843" s="20"/>
      <c r="T5843" s="20"/>
    </row>
    <row r="5844" spans="13:20" x14ac:dyDescent="0.2">
      <c r="M5844" s="20"/>
      <c r="N5844" s="20"/>
      <c r="O5844" s="20"/>
      <c r="P5844" s="20"/>
      <c r="Q5844" s="20"/>
      <c r="R5844" s="20"/>
      <c r="S5844" s="20"/>
      <c r="T5844" s="20"/>
    </row>
    <row r="5845" spans="13:20" x14ac:dyDescent="0.2">
      <c r="M5845" s="20"/>
      <c r="N5845" s="20"/>
      <c r="O5845" s="20"/>
      <c r="P5845" s="20"/>
      <c r="Q5845" s="20"/>
      <c r="R5845" s="20"/>
      <c r="S5845" s="20"/>
      <c r="T5845" s="20"/>
    </row>
    <row r="5846" spans="13:20" x14ac:dyDescent="0.2">
      <c r="M5846" s="20"/>
      <c r="N5846" s="20"/>
      <c r="O5846" s="20"/>
      <c r="P5846" s="20"/>
      <c r="Q5846" s="20"/>
      <c r="R5846" s="20"/>
      <c r="S5846" s="20"/>
      <c r="T5846" s="20"/>
    </row>
    <row r="5847" spans="13:20" x14ac:dyDescent="0.2">
      <c r="M5847" s="20"/>
      <c r="N5847" s="20"/>
      <c r="O5847" s="20"/>
      <c r="P5847" s="20"/>
      <c r="Q5847" s="20"/>
      <c r="R5847" s="20"/>
      <c r="S5847" s="20"/>
      <c r="T5847" s="20"/>
    </row>
    <row r="5848" spans="13:20" x14ac:dyDescent="0.2">
      <c r="M5848" s="20"/>
      <c r="N5848" s="20"/>
      <c r="O5848" s="20"/>
      <c r="P5848" s="20"/>
      <c r="Q5848" s="20"/>
      <c r="R5848" s="20"/>
      <c r="S5848" s="20"/>
      <c r="T5848" s="20"/>
    </row>
    <row r="5849" spans="13:20" x14ac:dyDescent="0.2">
      <c r="M5849" s="20"/>
      <c r="N5849" s="20"/>
      <c r="O5849" s="20"/>
      <c r="P5849" s="20"/>
      <c r="Q5849" s="20"/>
      <c r="R5849" s="20"/>
      <c r="S5849" s="20"/>
      <c r="T5849" s="20"/>
    </row>
    <row r="5850" spans="13:20" x14ac:dyDescent="0.2">
      <c r="M5850" s="20"/>
      <c r="N5850" s="20"/>
      <c r="O5850" s="20"/>
      <c r="P5850" s="20"/>
      <c r="Q5850" s="20"/>
      <c r="R5850" s="20"/>
      <c r="S5850" s="20"/>
      <c r="T5850" s="20"/>
    </row>
    <row r="5851" spans="13:20" x14ac:dyDescent="0.2">
      <c r="M5851" s="20"/>
      <c r="N5851" s="20"/>
      <c r="O5851" s="20"/>
      <c r="P5851" s="20"/>
      <c r="Q5851" s="20"/>
      <c r="R5851" s="20"/>
      <c r="S5851" s="20"/>
      <c r="T5851" s="20"/>
    </row>
    <row r="5852" spans="13:20" x14ac:dyDescent="0.2">
      <c r="M5852" s="20"/>
      <c r="N5852" s="20"/>
      <c r="O5852" s="20"/>
      <c r="P5852" s="20"/>
      <c r="Q5852" s="20"/>
      <c r="R5852" s="20"/>
      <c r="S5852" s="20"/>
      <c r="T5852" s="20"/>
    </row>
    <row r="5853" spans="13:20" x14ac:dyDescent="0.2">
      <c r="M5853" s="20"/>
      <c r="N5853" s="20"/>
      <c r="O5853" s="20"/>
      <c r="P5853" s="20"/>
      <c r="Q5853" s="20"/>
      <c r="R5853" s="20"/>
      <c r="S5853" s="20"/>
      <c r="T5853" s="20"/>
    </row>
    <row r="5854" spans="13:20" x14ac:dyDescent="0.2">
      <c r="M5854" s="20"/>
      <c r="N5854" s="20"/>
      <c r="O5854" s="20"/>
      <c r="P5854" s="20"/>
      <c r="Q5854" s="20"/>
      <c r="R5854" s="20"/>
      <c r="S5854" s="20"/>
      <c r="T5854" s="20"/>
    </row>
    <row r="5855" spans="13:20" x14ac:dyDescent="0.2">
      <c r="M5855" s="20"/>
      <c r="N5855" s="20"/>
      <c r="O5855" s="20"/>
      <c r="P5855" s="20"/>
      <c r="Q5855" s="20"/>
      <c r="R5855" s="20"/>
      <c r="S5855" s="20"/>
      <c r="T5855" s="20"/>
    </row>
    <row r="5856" spans="13:20" x14ac:dyDescent="0.2">
      <c r="M5856" s="20"/>
      <c r="N5856" s="20"/>
      <c r="O5856" s="20"/>
      <c r="P5856" s="20"/>
      <c r="Q5856" s="20"/>
      <c r="R5856" s="20"/>
      <c r="S5856" s="20"/>
      <c r="T5856" s="20"/>
    </row>
    <row r="5857" spans="13:20" x14ac:dyDescent="0.2">
      <c r="M5857" s="20"/>
      <c r="N5857" s="20"/>
      <c r="O5857" s="20"/>
      <c r="P5857" s="20"/>
      <c r="Q5857" s="20"/>
      <c r="R5857" s="20"/>
      <c r="S5857" s="20"/>
      <c r="T5857" s="20"/>
    </row>
    <row r="5858" spans="13:20" x14ac:dyDescent="0.2">
      <c r="M5858" s="20"/>
      <c r="N5858" s="20"/>
      <c r="O5858" s="20"/>
      <c r="P5858" s="20"/>
      <c r="Q5858" s="20"/>
      <c r="R5858" s="20"/>
      <c r="S5858" s="20"/>
      <c r="T5858" s="20"/>
    </row>
    <row r="5859" spans="13:20" x14ac:dyDescent="0.2">
      <c r="M5859" s="20"/>
      <c r="N5859" s="20"/>
      <c r="O5859" s="20"/>
      <c r="P5859" s="20"/>
      <c r="Q5859" s="20"/>
      <c r="R5859" s="20"/>
      <c r="S5859" s="20"/>
      <c r="T5859" s="20"/>
    </row>
    <row r="5860" spans="13:20" x14ac:dyDescent="0.2">
      <c r="M5860" s="20"/>
      <c r="N5860" s="20"/>
      <c r="O5860" s="20"/>
      <c r="P5860" s="20"/>
      <c r="Q5860" s="20"/>
      <c r="R5860" s="20"/>
      <c r="S5860" s="20"/>
      <c r="T5860" s="20"/>
    </row>
    <row r="5861" spans="13:20" x14ac:dyDescent="0.2">
      <c r="M5861" s="20"/>
      <c r="N5861" s="20"/>
      <c r="O5861" s="20"/>
      <c r="P5861" s="20"/>
      <c r="Q5861" s="20"/>
      <c r="R5861" s="20"/>
      <c r="S5861" s="20"/>
      <c r="T5861" s="20"/>
    </row>
    <row r="5862" spans="13:20" x14ac:dyDescent="0.2">
      <c r="M5862" s="20"/>
      <c r="N5862" s="20"/>
      <c r="O5862" s="20"/>
      <c r="P5862" s="20"/>
      <c r="Q5862" s="20"/>
      <c r="R5862" s="20"/>
      <c r="S5862" s="20"/>
      <c r="T5862" s="20"/>
    </row>
    <row r="5863" spans="13:20" x14ac:dyDescent="0.2">
      <c r="M5863" s="20"/>
      <c r="N5863" s="20"/>
      <c r="O5863" s="20"/>
      <c r="P5863" s="20"/>
      <c r="Q5863" s="20"/>
      <c r="R5863" s="20"/>
      <c r="S5863" s="20"/>
      <c r="T5863" s="20"/>
    </row>
    <row r="5864" spans="13:20" x14ac:dyDescent="0.2">
      <c r="M5864" s="20"/>
      <c r="N5864" s="20"/>
      <c r="O5864" s="20"/>
      <c r="P5864" s="20"/>
      <c r="Q5864" s="20"/>
      <c r="R5864" s="20"/>
      <c r="S5864" s="20"/>
      <c r="T5864" s="20"/>
    </row>
    <row r="5865" spans="13:20" x14ac:dyDescent="0.2">
      <c r="M5865" s="20"/>
      <c r="N5865" s="20"/>
      <c r="O5865" s="20"/>
      <c r="P5865" s="20"/>
      <c r="Q5865" s="20"/>
      <c r="R5865" s="20"/>
      <c r="S5865" s="20"/>
      <c r="T5865" s="20"/>
    </row>
    <row r="5866" spans="13:20" x14ac:dyDescent="0.2">
      <c r="M5866" s="20"/>
      <c r="N5866" s="20"/>
      <c r="O5866" s="20"/>
      <c r="P5866" s="20"/>
      <c r="Q5866" s="20"/>
      <c r="R5866" s="20"/>
      <c r="S5866" s="20"/>
      <c r="T5866" s="20"/>
    </row>
    <row r="5867" spans="13:20" x14ac:dyDescent="0.2">
      <c r="M5867" s="20"/>
      <c r="N5867" s="20"/>
      <c r="O5867" s="20"/>
      <c r="P5867" s="20"/>
      <c r="Q5867" s="20"/>
      <c r="R5867" s="20"/>
      <c r="S5867" s="20"/>
      <c r="T5867" s="20"/>
    </row>
    <row r="5868" spans="13:20" x14ac:dyDescent="0.2">
      <c r="M5868" s="20"/>
      <c r="N5868" s="20"/>
      <c r="O5868" s="20"/>
      <c r="P5868" s="20"/>
      <c r="Q5868" s="20"/>
      <c r="R5868" s="20"/>
      <c r="S5868" s="20"/>
      <c r="T5868" s="20"/>
    </row>
    <row r="5869" spans="13:20" x14ac:dyDescent="0.2">
      <c r="M5869" s="20"/>
      <c r="N5869" s="20"/>
      <c r="O5869" s="20"/>
      <c r="P5869" s="20"/>
      <c r="Q5869" s="20"/>
      <c r="R5869" s="20"/>
      <c r="S5869" s="20"/>
      <c r="T5869" s="20"/>
    </row>
    <row r="5870" spans="13:20" x14ac:dyDescent="0.2">
      <c r="M5870" s="20"/>
      <c r="N5870" s="20"/>
      <c r="O5870" s="20"/>
      <c r="P5870" s="20"/>
      <c r="Q5870" s="20"/>
      <c r="R5870" s="20"/>
      <c r="S5870" s="20"/>
      <c r="T5870" s="20"/>
    </row>
    <row r="5871" spans="13:20" x14ac:dyDescent="0.2">
      <c r="M5871" s="20"/>
      <c r="N5871" s="20"/>
      <c r="O5871" s="20"/>
      <c r="P5871" s="20"/>
      <c r="Q5871" s="20"/>
      <c r="R5871" s="20"/>
      <c r="S5871" s="20"/>
      <c r="T5871" s="20"/>
    </row>
    <row r="5872" spans="13:20" x14ac:dyDescent="0.2">
      <c r="M5872" s="20"/>
      <c r="N5872" s="20"/>
      <c r="O5872" s="20"/>
      <c r="P5872" s="20"/>
      <c r="Q5872" s="20"/>
      <c r="R5872" s="20"/>
      <c r="S5872" s="20"/>
      <c r="T5872" s="20"/>
    </row>
    <row r="5873" spans="13:20" x14ac:dyDescent="0.2">
      <c r="M5873" s="20"/>
      <c r="N5873" s="20"/>
      <c r="O5873" s="20"/>
      <c r="P5873" s="20"/>
      <c r="Q5873" s="20"/>
      <c r="R5873" s="20"/>
      <c r="S5873" s="20"/>
      <c r="T5873" s="20"/>
    </row>
    <row r="5874" spans="13:20" x14ac:dyDescent="0.2">
      <c r="M5874" s="20"/>
      <c r="N5874" s="20"/>
      <c r="O5874" s="20"/>
      <c r="P5874" s="20"/>
      <c r="Q5874" s="20"/>
      <c r="R5874" s="20"/>
      <c r="S5874" s="20"/>
      <c r="T5874" s="20"/>
    </row>
    <row r="5875" spans="13:20" x14ac:dyDescent="0.2">
      <c r="M5875" s="20"/>
      <c r="N5875" s="20"/>
      <c r="O5875" s="20"/>
      <c r="P5875" s="20"/>
      <c r="Q5875" s="20"/>
      <c r="R5875" s="20"/>
      <c r="S5875" s="20"/>
      <c r="T5875" s="20"/>
    </row>
    <row r="5876" spans="13:20" x14ac:dyDescent="0.2">
      <c r="M5876" s="20"/>
      <c r="N5876" s="20"/>
      <c r="O5876" s="20"/>
      <c r="P5876" s="20"/>
      <c r="Q5876" s="20"/>
      <c r="R5876" s="20"/>
      <c r="S5876" s="20"/>
      <c r="T5876" s="20"/>
    </row>
    <row r="5877" spans="13:20" x14ac:dyDescent="0.2">
      <c r="M5877" s="20"/>
      <c r="N5877" s="20"/>
      <c r="O5877" s="20"/>
      <c r="P5877" s="20"/>
      <c r="Q5877" s="20"/>
      <c r="R5877" s="20"/>
      <c r="S5877" s="20"/>
      <c r="T5877" s="20"/>
    </row>
    <row r="5878" spans="13:20" x14ac:dyDescent="0.2">
      <c r="M5878" s="20"/>
      <c r="N5878" s="20"/>
      <c r="O5878" s="20"/>
      <c r="P5878" s="20"/>
      <c r="Q5878" s="20"/>
      <c r="R5878" s="20"/>
      <c r="S5878" s="20"/>
      <c r="T5878" s="20"/>
    </row>
    <row r="5879" spans="13:20" x14ac:dyDescent="0.2">
      <c r="M5879" s="20"/>
      <c r="N5879" s="20"/>
      <c r="O5879" s="20"/>
      <c r="P5879" s="20"/>
      <c r="Q5879" s="20"/>
      <c r="R5879" s="20"/>
      <c r="S5879" s="20"/>
      <c r="T5879" s="20"/>
    </row>
    <row r="5880" spans="13:20" x14ac:dyDescent="0.2">
      <c r="M5880" s="20"/>
      <c r="N5880" s="20"/>
      <c r="O5880" s="20"/>
      <c r="P5880" s="20"/>
      <c r="Q5880" s="20"/>
      <c r="R5880" s="20"/>
      <c r="S5880" s="20"/>
      <c r="T5880" s="20"/>
    </row>
    <row r="5881" spans="13:20" x14ac:dyDescent="0.2">
      <c r="M5881" s="20"/>
      <c r="N5881" s="20"/>
      <c r="O5881" s="20"/>
      <c r="P5881" s="20"/>
      <c r="Q5881" s="20"/>
      <c r="R5881" s="20"/>
      <c r="S5881" s="20"/>
      <c r="T5881" s="20"/>
    </row>
    <row r="5882" spans="13:20" x14ac:dyDescent="0.2">
      <c r="M5882" s="20"/>
      <c r="N5882" s="20"/>
      <c r="O5882" s="20"/>
      <c r="P5882" s="20"/>
      <c r="Q5882" s="20"/>
      <c r="R5882" s="20"/>
      <c r="S5882" s="20"/>
      <c r="T5882" s="20"/>
    </row>
    <row r="5883" spans="13:20" x14ac:dyDescent="0.2">
      <c r="M5883" s="20"/>
      <c r="N5883" s="20"/>
      <c r="O5883" s="20"/>
      <c r="P5883" s="20"/>
      <c r="Q5883" s="20"/>
      <c r="R5883" s="20"/>
      <c r="S5883" s="20"/>
      <c r="T5883" s="20"/>
    </row>
    <row r="5884" spans="13:20" x14ac:dyDescent="0.2">
      <c r="M5884" s="20"/>
      <c r="N5884" s="20"/>
      <c r="O5884" s="20"/>
      <c r="P5884" s="20"/>
      <c r="Q5884" s="20"/>
      <c r="R5884" s="20"/>
      <c r="S5884" s="20"/>
      <c r="T5884" s="20"/>
    </row>
    <row r="5885" spans="13:20" x14ac:dyDescent="0.2">
      <c r="M5885" s="20"/>
      <c r="N5885" s="20"/>
      <c r="O5885" s="20"/>
      <c r="P5885" s="20"/>
      <c r="Q5885" s="20"/>
      <c r="R5885" s="20"/>
      <c r="S5885" s="20"/>
      <c r="T5885" s="20"/>
    </row>
    <row r="5886" spans="13:20" x14ac:dyDescent="0.2">
      <c r="M5886" s="20"/>
      <c r="N5886" s="20"/>
      <c r="O5886" s="20"/>
      <c r="P5886" s="20"/>
      <c r="Q5886" s="20"/>
      <c r="R5886" s="20"/>
      <c r="S5886" s="20"/>
      <c r="T5886" s="20"/>
    </row>
    <row r="5887" spans="13:20" x14ac:dyDescent="0.2">
      <c r="M5887" s="20"/>
      <c r="N5887" s="20"/>
      <c r="O5887" s="20"/>
      <c r="P5887" s="20"/>
      <c r="Q5887" s="20"/>
      <c r="R5887" s="20"/>
      <c r="S5887" s="20"/>
      <c r="T5887" s="20"/>
    </row>
    <row r="5888" spans="13:20" x14ac:dyDescent="0.2">
      <c r="M5888" s="20"/>
      <c r="N5888" s="20"/>
      <c r="O5888" s="20"/>
      <c r="P5888" s="20"/>
      <c r="Q5888" s="20"/>
      <c r="R5888" s="20"/>
      <c r="S5888" s="20"/>
      <c r="T5888" s="20"/>
    </row>
    <row r="5889" spans="13:20" x14ac:dyDescent="0.2">
      <c r="M5889" s="20"/>
      <c r="N5889" s="20"/>
      <c r="O5889" s="20"/>
      <c r="P5889" s="20"/>
      <c r="Q5889" s="20"/>
      <c r="R5889" s="20"/>
      <c r="S5889" s="20"/>
      <c r="T5889" s="20"/>
    </row>
    <row r="5890" spans="13:20" x14ac:dyDescent="0.2">
      <c r="M5890" s="20"/>
      <c r="N5890" s="20"/>
      <c r="O5890" s="20"/>
      <c r="P5890" s="20"/>
      <c r="Q5890" s="20"/>
      <c r="R5890" s="20"/>
      <c r="S5890" s="20"/>
      <c r="T5890" s="20"/>
    </row>
    <row r="5891" spans="13:20" x14ac:dyDescent="0.2">
      <c r="M5891" s="20"/>
      <c r="N5891" s="20"/>
      <c r="O5891" s="20"/>
      <c r="P5891" s="20"/>
      <c r="Q5891" s="20"/>
      <c r="R5891" s="20"/>
      <c r="S5891" s="20"/>
      <c r="T5891" s="20"/>
    </row>
    <row r="5892" spans="13:20" x14ac:dyDescent="0.2">
      <c r="M5892" s="20"/>
      <c r="N5892" s="20"/>
      <c r="O5892" s="20"/>
      <c r="P5892" s="20"/>
      <c r="Q5892" s="20"/>
      <c r="R5892" s="20"/>
      <c r="S5892" s="20"/>
      <c r="T5892" s="20"/>
    </row>
    <row r="5893" spans="13:20" x14ac:dyDescent="0.2">
      <c r="M5893" s="20"/>
      <c r="N5893" s="20"/>
      <c r="O5893" s="20"/>
      <c r="P5893" s="20"/>
      <c r="Q5893" s="20"/>
      <c r="R5893" s="20"/>
      <c r="S5893" s="20"/>
      <c r="T5893" s="20"/>
    </row>
    <row r="5894" spans="13:20" x14ac:dyDescent="0.2">
      <c r="M5894" s="20"/>
      <c r="N5894" s="20"/>
      <c r="O5894" s="20"/>
      <c r="P5894" s="20"/>
      <c r="Q5894" s="20"/>
      <c r="R5894" s="20"/>
      <c r="S5894" s="20"/>
      <c r="T5894" s="20"/>
    </row>
    <row r="5895" spans="13:20" x14ac:dyDescent="0.2">
      <c r="M5895" s="20"/>
      <c r="N5895" s="20"/>
      <c r="O5895" s="20"/>
      <c r="P5895" s="20"/>
      <c r="Q5895" s="20"/>
      <c r="R5895" s="20"/>
      <c r="S5895" s="20"/>
      <c r="T5895" s="20"/>
    </row>
    <row r="5896" spans="13:20" x14ac:dyDescent="0.2">
      <c r="M5896" s="20"/>
      <c r="N5896" s="20"/>
      <c r="O5896" s="20"/>
      <c r="P5896" s="20"/>
      <c r="Q5896" s="20"/>
      <c r="R5896" s="20"/>
      <c r="S5896" s="20"/>
      <c r="T5896" s="20"/>
    </row>
    <row r="5897" spans="13:20" x14ac:dyDescent="0.2">
      <c r="M5897" s="20"/>
      <c r="N5897" s="20"/>
      <c r="O5897" s="20"/>
      <c r="P5897" s="20"/>
      <c r="Q5897" s="20"/>
      <c r="R5897" s="20"/>
      <c r="S5897" s="20"/>
      <c r="T5897" s="20"/>
    </row>
    <row r="5898" spans="13:20" x14ac:dyDescent="0.2">
      <c r="M5898" s="20"/>
      <c r="N5898" s="20"/>
      <c r="O5898" s="20"/>
      <c r="P5898" s="20"/>
      <c r="Q5898" s="20"/>
      <c r="R5898" s="20"/>
      <c r="S5898" s="20"/>
      <c r="T5898" s="20"/>
    </row>
    <row r="5899" spans="13:20" x14ac:dyDescent="0.2">
      <c r="M5899" s="20"/>
      <c r="N5899" s="20"/>
      <c r="O5899" s="20"/>
      <c r="P5899" s="20"/>
      <c r="Q5899" s="20"/>
      <c r="R5899" s="20"/>
      <c r="S5899" s="20"/>
      <c r="T5899" s="20"/>
    </row>
    <row r="5900" spans="13:20" x14ac:dyDescent="0.2">
      <c r="M5900" s="20"/>
      <c r="N5900" s="20"/>
      <c r="O5900" s="20"/>
      <c r="P5900" s="20"/>
      <c r="Q5900" s="20"/>
      <c r="R5900" s="20"/>
      <c r="S5900" s="20"/>
      <c r="T5900" s="20"/>
    </row>
    <row r="5901" spans="13:20" x14ac:dyDescent="0.2">
      <c r="M5901" s="20"/>
      <c r="N5901" s="20"/>
      <c r="O5901" s="20"/>
      <c r="P5901" s="20"/>
      <c r="Q5901" s="20"/>
      <c r="R5901" s="20"/>
      <c r="S5901" s="20"/>
      <c r="T5901" s="20"/>
    </row>
    <row r="5902" spans="13:20" x14ac:dyDescent="0.2">
      <c r="M5902" s="20"/>
      <c r="N5902" s="20"/>
      <c r="O5902" s="20"/>
      <c r="P5902" s="20"/>
      <c r="Q5902" s="20"/>
      <c r="R5902" s="20"/>
      <c r="S5902" s="20"/>
      <c r="T5902" s="20"/>
    </row>
    <row r="5903" spans="13:20" x14ac:dyDescent="0.2">
      <c r="M5903" s="20"/>
      <c r="N5903" s="20"/>
      <c r="O5903" s="20"/>
      <c r="P5903" s="20"/>
      <c r="Q5903" s="20"/>
      <c r="R5903" s="20"/>
      <c r="S5903" s="20"/>
      <c r="T5903" s="20"/>
    </row>
    <row r="5904" spans="13:20" x14ac:dyDescent="0.2">
      <c r="M5904" s="20"/>
      <c r="N5904" s="20"/>
      <c r="O5904" s="20"/>
      <c r="P5904" s="20"/>
      <c r="Q5904" s="20"/>
      <c r="R5904" s="20"/>
      <c r="S5904" s="20"/>
      <c r="T5904" s="20"/>
    </row>
    <row r="5905" spans="13:20" x14ac:dyDescent="0.2">
      <c r="M5905" s="20"/>
      <c r="N5905" s="20"/>
      <c r="O5905" s="20"/>
      <c r="P5905" s="20"/>
      <c r="Q5905" s="20"/>
      <c r="R5905" s="20"/>
      <c r="S5905" s="20"/>
      <c r="T5905" s="20"/>
    </row>
    <row r="5906" spans="13:20" x14ac:dyDescent="0.2">
      <c r="M5906" s="20"/>
      <c r="N5906" s="20"/>
      <c r="O5906" s="20"/>
      <c r="P5906" s="20"/>
      <c r="Q5906" s="20"/>
      <c r="R5906" s="20"/>
      <c r="S5906" s="20"/>
      <c r="T5906" s="20"/>
    </row>
    <row r="5907" spans="13:20" x14ac:dyDescent="0.2">
      <c r="M5907" s="20"/>
      <c r="N5907" s="20"/>
      <c r="O5907" s="20"/>
      <c r="P5907" s="20"/>
      <c r="Q5907" s="20"/>
      <c r="R5907" s="20"/>
      <c r="S5907" s="20"/>
      <c r="T5907" s="20"/>
    </row>
    <row r="5908" spans="13:20" x14ac:dyDescent="0.2">
      <c r="M5908" s="20"/>
      <c r="N5908" s="20"/>
      <c r="O5908" s="20"/>
      <c r="P5908" s="20"/>
      <c r="Q5908" s="20"/>
      <c r="R5908" s="20"/>
      <c r="S5908" s="20"/>
      <c r="T5908" s="20"/>
    </row>
    <row r="5909" spans="13:20" x14ac:dyDescent="0.2">
      <c r="M5909" s="20"/>
      <c r="N5909" s="20"/>
      <c r="O5909" s="20"/>
      <c r="P5909" s="20"/>
      <c r="Q5909" s="20"/>
      <c r="R5909" s="20"/>
      <c r="S5909" s="20"/>
      <c r="T5909" s="20"/>
    </row>
    <row r="5910" spans="13:20" x14ac:dyDescent="0.2">
      <c r="M5910" s="20"/>
      <c r="N5910" s="20"/>
      <c r="O5910" s="20"/>
      <c r="P5910" s="20"/>
      <c r="Q5910" s="20"/>
      <c r="R5910" s="20"/>
      <c r="S5910" s="20"/>
      <c r="T5910" s="20"/>
    </row>
    <row r="5911" spans="13:20" x14ac:dyDescent="0.2">
      <c r="M5911" s="20"/>
      <c r="N5911" s="20"/>
      <c r="O5911" s="20"/>
      <c r="P5911" s="20"/>
      <c r="Q5911" s="20"/>
      <c r="R5911" s="20"/>
      <c r="S5911" s="20"/>
      <c r="T5911" s="20"/>
    </row>
    <row r="5912" spans="13:20" x14ac:dyDescent="0.2">
      <c r="M5912" s="20"/>
      <c r="N5912" s="20"/>
      <c r="O5912" s="20"/>
      <c r="P5912" s="20"/>
      <c r="Q5912" s="20"/>
      <c r="R5912" s="20"/>
      <c r="S5912" s="20"/>
      <c r="T5912" s="20"/>
    </row>
    <row r="5913" spans="13:20" x14ac:dyDescent="0.2">
      <c r="M5913" s="20"/>
      <c r="N5913" s="20"/>
      <c r="O5913" s="20"/>
      <c r="P5913" s="20"/>
      <c r="Q5913" s="20"/>
      <c r="R5913" s="20"/>
      <c r="S5913" s="20"/>
      <c r="T5913" s="20"/>
    </row>
    <row r="5914" spans="13:20" x14ac:dyDescent="0.2">
      <c r="M5914" s="20"/>
      <c r="N5914" s="20"/>
      <c r="O5914" s="20"/>
      <c r="P5914" s="20"/>
      <c r="Q5914" s="20"/>
      <c r="R5914" s="20"/>
      <c r="S5914" s="20"/>
      <c r="T5914" s="20"/>
    </row>
    <row r="5915" spans="13:20" x14ac:dyDescent="0.2">
      <c r="M5915" s="20"/>
      <c r="N5915" s="20"/>
      <c r="O5915" s="20"/>
      <c r="P5915" s="20"/>
      <c r="Q5915" s="20"/>
      <c r="R5915" s="20"/>
      <c r="S5915" s="20"/>
      <c r="T5915" s="20"/>
    </row>
    <row r="5916" spans="13:20" x14ac:dyDescent="0.2">
      <c r="M5916" s="20"/>
      <c r="N5916" s="20"/>
      <c r="O5916" s="20"/>
      <c r="P5916" s="20"/>
      <c r="Q5916" s="20"/>
      <c r="R5916" s="20"/>
      <c r="S5916" s="20"/>
      <c r="T5916" s="20"/>
    </row>
    <row r="5917" spans="13:20" x14ac:dyDescent="0.2">
      <c r="M5917" s="20"/>
      <c r="N5917" s="20"/>
      <c r="O5917" s="20"/>
      <c r="P5917" s="20"/>
      <c r="Q5917" s="20"/>
      <c r="R5917" s="20"/>
      <c r="S5917" s="20"/>
      <c r="T5917" s="20"/>
    </row>
    <row r="5918" spans="13:20" x14ac:dyDescent="0.2">
      <c r="M5918" s="20"/>
      <c r="N5918" s="20"/>
      <c r="O5918" s="20"/>
      <c r="P5918" s="20"/>
      <c r="Q5918" s="20"/>
      <c r="R5918" s="20"/>
      <c r="S5918" s="20"/>
      <c r="T5918" s="20"/>
    </row>
    <row r="5919" spans="13:20" x14ac:dyDescent="0.2">
      <c r="M5919" s="20"/>
      <c r="N5919" s="20"/>
      <c r="O5919" s="20"/>
      <c r="P5919" s="20"/>
      <c r="Q5919" s="20"/>
      <c r="R5919" s="20"/>
      <c r="S5919" s="20"/>
      <c r="T5919" s="20"/>
    </row>
    <row r="5920" spans="13:20" x14ac:dyDescent="0.2">
      <c r="M5920" s="20"/>
      <c r="N5920" s="20"/>
      <c r="O5920" s="20"/>
      <c r="P5920" s="20"/>
      <c r="Q5920" s="20"/>
      <c r="R5920" s="20"/>
      <c r="S5920" s="20"/>
      <c r="T5920" s="20"/>
    </row>
    <row r="5921" spans="13:20" x14ac:dyDescent="0.2">
      <c r="M5921" s="20"/>
      <c r="N5921" s="20"/>
      <c r="O5921" s="20"/>
      <c r="P5921" s="20"/>
      <c r="Q5921" s="20"/>
      <c r="R5921" s="20"/>
      <c r="S5921" s="20"/>
      <c r="T5921" s="20"/>
    </row>
    <row r="5922" spans="13:20" x14ac:dyDescent="0.2">
      <c r="M5922" s="20"/>
      <c r="N5922" s="20"/>
      <c r="O5922" s="20"/>
      <c r="P5922" s="20"/>
      <c r="Q5922" s="20"/>
      <c r="R5922" s="20"/>
      <c r="S5922" s="20"/>
      <c r="T5922" s="20"/>
    </row>
    <row r="5923" spans="13:20" x14ac:dyDescent="0.2">
      <c r="M5923" s="20"/>
      <c r="N5923" s="20"/>
      <c r="O5923" s="20"/>
      <c r="P5923" s="20"/>
      <c r="Q5923" s="20"/>
      <c r="R5923" s="20"/>
      <c r="S5923" s="20"/>
      <c r="T5923" s="20"/>
    </row>
    <row r="5924" spans="13:20" x14ac:dyDescent="0.2">
      <c r="M5924" s="20"/>
      <c r="N5924" s="20"/>
      <c r="O5924" s="20"/>
      <c r="P5924" s="20"/>
      <c r="Q5924" s="20"/>
      <c r="R5924" s="20"/>
      <c r="S5924" s="20"/>
      <c r="T5924" s="20"/>
    </row>
    <row r="5925" spans="13:20" x14ac:dyDescent="0.2">
      <c r="M5925" s="20"/>
      <c r="N5925" s="20"/>
      <c r="O5925" s="20"/>
      <c r="P5925" s="20"/>
      <c r="Q5925" s="20"/>
      <c r="R5925" s="20"/>
      <c r="S5925" s="20"/>
      <c r="T5925" s="20"/>
    </row>
    <row r="5926" spans="13:20" x14ac:dyDescent="0.2">
      <c r="M5926" s="20"/>
      <c r="N5926" s="20"/>
      <c r="O5926" s="20"/>
      <c r="P5926" s="20"/>
      <c r="Q5926" s="20"/>
      <c r="R5926" s="20"/>
      <c r="S5926" s="20"/>
      <c r="T5926" s="20"/>
    </row>
    <row r="5927" spans="13:20" x14ac:dyDescent="0.2">
      <c r="M5927" s="20"/>
      <c r="N5927" s="20"/>
      <c r="O5927" s="20"/>
      <c r="P5927" s="20"/>
      <c r="Q5927" s="20"/>
      <c r="R5927" s="20"/>
      <c r="S5927" s="20"/>
      <c r="T5927" s="20"/>
    </row>
    <row r="5928" spans="13:20" x14ac:dyDescent="0.2">
      <c r="M5928" s="20"/>
      <c r="N5928" s="20"/>
      <c r="O5928" s="20"/>
      <c r="P5928" s="20"/>
      <c r="Q5928" s="20"/>
      <c r="R5928" s="20"/>
      <c r="S5928" s="20"/>
      <c r="T5928" s="20"/>
    </row>
    <row r="5929" spans="13:20" x14ac:dyDescent="0.2">
      <c r="M5929" s="20"/>
      <c r="N5929" s="20"/>
      <c r="O5929" s="20"/>
      <c r="P5929" s="20"/>
      <c r="Q5929" s="20"/>
      <c r="R5929" s="20"/>
      <c r="S5929" s="20"/>
      <c r="T5929" s="20"/>
    </row>
    <row r="5930" spans="13:20" x14ac:dyDescent="0.2">
      <c r="M5930" s="20"/>
      <c r="N5930" s="20"/>
      <c r="O5930" s="20"/>
      <c r="P5930" s="20"/>
      <c r="Q5930" s="20"/>
      <c r="R5930" s="20"/>
      <c r="S5930" s="20"/>
      <c r="T5930" s="20"/>
    </row>
    <row r="5931" spans="13:20" x14ac:dyDescent="0.2">
      <c r="M5931" s="20"/>
      <c r="N5931" s="20"/>
      <c r="O5931" s="20"/>
      <c r="P5931" s="20"/>
      <c r="Q5931" s="20"/>
      <c r="R5931" s="20"/>
      <c r="S5931" s="20"/>
      <c r="T5931" s="20"/>
    </row>
    <row r="5932" spans="13:20" x14ac:dyDescent="0.2">
      <c r="M5932" s="20"/>
      <c r="N5932" s="20"/>
      <c r="O5932" s="20"/>
      <c r="P5932" s="20"/>
      <c r="Q5932" s="20"/>
      <c r="R5932" s="20"/>
      <c r="S5932" s="20"/>
      <c r="T5932" s="20"/>
    </row>
    <row r="5933" spans="13:20" x14ac:dyDescent="0.2">
      <c r="M5933" s="20"/>
      <c r="N5933" s="20"/>
      <c r="O5933" s="20"/>
      <c r="P5933" s="20"/>
      <c r="Q5933" s="20"/>
      <c r="R5933" s="20"/>
      <c r="S5933" s="20"/>
      <c r="T5933" s="20"/>
    </row>
    <row r="5934" spans="13:20" x14ac:dyDescent="0.2">
      <c r="M5934" s="20"/>
      <c r="N5934" s="20"/>
      <c r="O5934" s="20"/>
      <c r="P5934" s="20"/>
      <c r="Q5934" s="20"/>
      <c r="R5934" s="20"/>
      <c r="S5934" s="20"/>
      <c r="T5934" s="20"/>
    </row>
    <row r="5935" spans="13:20" x14ac:dyDescent="0.2">
      <c r="M5935" s="20"/>
      <c r="N5935" s="20"/>
      <c r="O5935" s="20"/>
      <c r="P5935" s="20"/>
      <c r="Q5935" s="20"/>
      <c r="R5935" s="20"/>
      <c r="S5935" s="20"/>
      <c r="T5935" s="20"/>
    </row>
    <row r="5936" spans="13:20" x14ac:dyDescent="0.2">
      <c r="M5936" s="20"/>
      <c r="N5936" s="20"/>
      <c r="O5936" s="20"/>
      <c r="P5936" s="20"/>
      <c r="Q5936" s="20"/>
      <c r="R5936" s="20"/>
      <c r="S5936" s="20"/>
      <c r="T5936" s="20"/>
    </row>
    <row r="5937" spans="13:20" x14ac:dyDescent="0.2">
      <c r="M5937" s="20"/>
      <c r="N5937" s="20"/>
      <c r="O5937" s="20"/>
      <c r="P5937" s="20"/>
      <c r="Q5937" s="20"/>
      <c r="R5937" s="20"/>
      <c r="S5937" s="20"/>
      <c r="T5937" s="20"/>
    </row>
    <row r="5938" spans="13:20" x14ac:dyDescent="0.2">
      <c r="M5938" s="20"/>
      <c r="N5938" s="20"/>
      <c r="O5938" s="20"/>
      <c r="P5938" s="20"/>
      <c r="Q5938" s="20"/>
      <c r="R5938" s="20"/>
      <c r="S5938" s="20"/>
      <c r="T5938" s="20"/>
    </row>
    <row r="5939" spans="13:20" x14ac:dyDescent="0.2">
      <c r="M5939" s="20"/>
      <c r="N5939" s="20"/>
      <c r="O5939" s="20"/>
      <c r="P5939" s="20"/>
      <c r="Q5939" s="20"/>
      <c r="R5939" s="20"/>
      <c r="S5939" s="20"/>
      <c r="T5939" s="20"/>
    </row>
    <row r="5940" spans="13:20" x14ac:dyDescent="0.2">
      <c r="M5940" s="20"/>
      <c r="N5940" s="20"/>
      <c r="O5940" s="20"/>
      <c r="P5940" s="20"/>
      <c r="Q5940" s="20"/>
      <c r="R5940" s="20"/>
      <c r="S5940" s="20"/>
      <c r="T5940" s="20"/>
    </row>
    <row r="5941" spans="13:20" x14ac:dyDescent="0.2">
      <c r="M5941" s="20"/>
      <c r="N5941" s="20"/>
      <c r="O5941" s="20"/>
      <c r="P5941" s="20"/>
      <c r="Q5941" s="20"/>
      <c r="R5941" s="20"/>
      <c r="S5941" s="20"/>
      <c r="T5941" s="20"/>
    </row>
    <row r="5942" spans="13:20" x14ac:dyDescent="0.2">
      <c r="M5942" s="20"/>
      <c r="N5942" s="20"/>
      <c r="O5942" s="20"/>
      <c r="P5942" s="20"/>
      <c r="Q5942" s="20"/>
      <c r="R5942" s="20"/>
      <c r="S5942" s="20"/>
      <c r="T5942" s="20"/>
    </row>
    <row r="5943" spans="13:20" x14ac:dyDescent="0.2">
      <c r="M5943" s="20"/>
      <c r="N5943" s="20"/>
      <c r="O5943" s="20"/>
      <c r="P5943" s="20"/>
      <c r="Q5943" s="20"/>
      <c r="R5943" s="20"/>
      <c r="S5943" s="20"/>
      <c r="T5943" s="20"/>
    </row>
    <row r="5944" spans="13:20" x14ac:dyDescent="0.2">
      <c r="M5944" s="20"/>
      <c r="N5944" s="20"/>
      <c r="O5944" s="20"/>
      <c r="P5944" s="20"/>
      <c r="Q5944" s="20"/>
      <c r="R5944" s="20"/>
      <c r="S5944" s="20"/>
      <c r="T5944" s="20"/>
    </row>
    <row r="5945" spans="13:20" x14ac:dyDescent="0.2">
      <c r="M5945" s="20"/>
      <c r="N5945" s="20"/>
      <c r="O5945" s="20"/>
      <c r="P5945" s="20"/>
      <c r="Q5945" s="20"/>
      <c r="R5945" s="20"/>
      <c r="S5945" s="20"/>
      <c r="T5945" s="20"/>
    </row>
    <row r="5946" spans="13:20" x14ac:dyDescent="0.2">
      <c r="M5946" s="20"/>
      <c r="N5946" s="20"/>
      <c r="O5946" s="20"/>
      <c r="P5946" s="20"/>
      <c r="Q5946" s="20"/>
      <c r="R5946" s="20"/>
      <c r="S5946" s="20"/>
      <c r="T5946" s="20"/>
    </row>
    <row r="5947" spans="13:20" x14ac:dyDescent="0.2">
      <c r="M5947" s="20"/>
      <c r="N5947" s="20"/>
      <c r="O5947" s="20"/>
      <c r="P5947" s="20"/>
      <c r="Q5947" s="20"/>
      <c r="R5947" s="20"/>
      <c r="S5947" s="20"/>
      <c r="T5947" s="20"/>
    </row>
    <row r="5948" spans="13:20" x14ac:dyDescent="0.2">
      <c r="M5948" s="20"/>
      <c r="N5948" s="20"/>
      <c r="O5948" s="20"/>
      <c r="P5948" s="20"/>
      <c r="Q5948" s="20"/>
      <c r="R5948" s="20"/>
      <c r="S5948" s="20"/>
      <c r="T5948" s="20"/>
    </row>
    <row r="5949" spans="13:20" x14ac:dyDescent="0.2">
      <c r="M5949" s="20"/>
      <c r="N5949" s="20"/>
      <c r="O5949" s="20"/>
      <c r="P5949" s="20"/>
      <c r="Q5949" s="20"/>
      <c r="R5949" s="20"/>
      <c r="S5949" s="20"/>
      <c r="T5949" s="20"/>
    </row>
    <row r="5950" spans="13:20" x14ac:dyDescent="0.2">
      <c r="M5950" s="20"/>
      <c r="N5950" s="20"/>
      <c r="O5950" s="20"/>
      <c r="P5950" s="20"/>
      <c r="Q5950" s="20"/>
      <c r="R5950" s="20"/>
      <c r="S5950" s="20"/>
      <c r="T5950" s="20"/>
    </row>
    <row r="5951" spans="13:20" x14ac:dyDescent="0.2">
      <c r="M5951" s="20"/>
      <c r="N5951" s="20"/>
      <c r="O5951" s="20"/>
      <c r="P5951" s="20"/>
      <c r="Q5951" s="20"/>
      <c r="R5951" s="20"/>
      <c r="S5951" s="20"/>
      <c r="T5951" s="20"/>
    </row>
    <row r="5952" spans="13:20" x14ac:dyDescent="0.2">
      <c r="M5952" s="20"/>
      <c r="N5952" s="20"/>
      <c r="O5952" s="20"/>
      <c r="P5952" s="20"/>
      <c r="Q5952" s="20"/>
      <c r="R5952" s="20"/>
      <c r="S5952" s="20"/>
      <c r="T5952" s="20"/>
    </row>
    <row r="5953" spans="13:20" x14ac:dyDescent="0.2">
      <c r="M5953" s="20"/>
      <c r="N5953" s="20"/>
      <c r="O5953" s="20"/>
      <c r="P5953" s="20"/>
      <c r="Q5953" s="20"/>
      <c r="R5953" s="20"/>
      <c r="S5953" s="20"/>
      <c r="T5953" s="20"/>
    </row>
    <row r="5954" spans="13:20" x14ac:dyDescent="0.2">
      <c r="M5954" s="20"/>
      <c r="N5954" s="20"/>
      <c r="O5954" s="20"/>
      <c r="P5954" s="20"/>
      <c r="Q5954" s="20"/>
      <c r="R5954" s="20"/>
      <c r="S5954" s="20"/>
      <c r="T5954" s="20"/>
    </row>
    <row r="5955" spans="13:20" x14ac:dyDescent="0.2">
      <c r="M5955" s="20"/>
      <c r="N5955" s="20"/>
      <c r="O5955" s="20"/>
      <c r="P5955" s="20"/>
      <c r="Q5955" s="20"/>
      <c r="R5955" s="20"/>
      <c r="S5955" s="20"/>
      <c r="T5955" s="20"/>
    </row>
    <row r="5956" spans="13:20" x14ac:dyDescent="0.2">
      <c r="M5956" s="20"/>
      <c r="N5956" s="20"/>
      <c r="O5956" s="20"/>
      <c r="P5956" s="20"/>
      <c r="Q5956" s="20"/>
      <c r="R5956" s="20"/>
      <c r="S5956" s="20"/>
      <c r="T5956" s="20"/>
    </row>
    <row r="5957" spans="13:20" x14ac:dyDescent="0.2">
      <c r="M5957" s="20"/>
      <c r="N5957" s="20"/>
      <c r="O5957" s="20"/>
      <c r="P5957" s="20"/>
      <c r="Q5957" s="20"/>
      <c r="R5957" s="20"/>
      <c r="S5957" s="20"/>
      <c r="T5957" s="20"/>
    </row>
    <row r="5958" spans="13:20" x14ac:dyDescent="0.2">
      <c r="M5958" s="20"/>
      <c r="N5958" s="20"/>
      <c r="O5958" s="20"/>
      <c r="P5958" s="20"/>
      <c r="Q5958" s="20"/>
      <c r="R5958" s="20"/>
      <c r="S5958" s="20"/>
      <c r="T5958" s="20"/>
    </row>
    <row r="5959" spans="13:20" x14ac:dyDescent="0.2">
      <c r="M5959" s="20"/>
      <c r="N5959" s="20"/>
      <c r="O5959" s="20"/>
      <c r="P5959" s="20"/>
      <c r="Q5959" s="20"/>
      <c r="R5959" s="20"/>
      <c r="S5959" s="20"/>
      <c r="T5959" s="20"/>
    </row>
    <row r="5960" spans="13:20" x14ac:dyDescent="0.2">
      <c r="M5960" s="20"/>
      <c r="N5960" s="20"/>
      <c r="O5960" s="20"/>
      <c r="P5960" s="20"/>
      <c r="Q5960" s="20"/>
      <c r="R5960" s="20"/>
      <c r="S5960" s="20"/>
      <c r="T5960" s="20"/>
    </row>
    <row r="5961" spans="13:20" x14ac:dyDescent="0.2">
      <c r="M5961" s="20"/>
      <c r="N5961" s="20"/>
      <c r="O5961" s="20"/>
      <c r="P5961" s="20"/>
      <c r="Q5961" s="20"/>
      <c r="R5961" s="20"/>
      <c r="S5961" s="20"/>
      <c r="T5961" s="20"/>
    </row>
    <row r="5962" spans="13:20" x14ac:dyDescent="0.2">
      <c r="M5962" s="20"/>
      <c r="N5962" s="20"/>
      <c r="O5962" s="20"/>
      <c r="P5962" s="20"/>
      <c r="Q5962" s="20"/>
      <c r="R5962" s="20"/>
      <c r="S5962" s="20"/>
      <c r="T5962" s="20"/>
    </row>
    <row r="5963" spans="13:20" x14ac:dyDescent="0.2">
      <c r="M5963" s="20"/>
      <c r="N5963" s="20"/>
      <c r="O5963" s="20"/>
      <c r="P5963" s="20"/>
      <c r="Q5963" s="20"/>
      <c r="R5963" s="20"/>
      <c r="S5963" s="20"/>
      <c r="T5963" s="20"/>
    </row>
    <row r="5964" spans="13:20" x14ac:dyDescent="0.2">
      <c r="M5964" s="20"/>
      <c r="N5964" s="20"/>
      <c r="O5964" s="20"/>
      <c r="P5964" s="20"/>
      <c r="Q5964" s="20"/>
      <c r="R5964" s="20"/>
      <c r="S5964" s="20"/>
      <c r="T5964" s="20"/>
    </row>
    <row r="5965" spans="13:20" x14ac:dyDescent="0.2">
      <c r="M5965" s="20"/>
      <c r="N5965" s="20"/>
      <c r="O5965" s="20"/>
      <c r="P5965" s="20"/>
      <c r="Q5965" s="20"/>
      <c r="R5965" s="20"/>
      <c r="S5965" s="20"/>
      <c r="T5965" s="20"/>
    </row>
    <row r="5966" spans="13:20" x14ac:dyDescent="0.2">
      <c r="M5966" s="20"/>
      <c r="N5966" s="20"/>
      <c r="O5966" s="20"/>
      <c r="P5966" s="20"/>
      <c r="Q5966" s="20"/>
      <c r="R5966" s="20"/>
      <c r="S5966" s="20"/>
      <c r="T5966" s="20"/>
    </row>
    <row r="5967" spans="13:20" x14ac:dyDescent="0.2">
      <c r="M5967" s="20"/>
      <c r="N5967" s="20"/>
      <c r="O5967" s="20"/>
      <c r="P5967" s="20"/>
      <c r="Q5967" s="20"/>
      <c r="R5967" s="20"/>
      <c r="S5967" s="20"/>
      <c r="T5967" s="20"/>
    </row>
    <row r="5968" spans="13:20" x14ac:dyDescent="0.2">
      <c r="M5968" s="20"/>
      <c r="N5968" s="20"/>
      <c r="O5968" s="20"/>
      <c r="P5968" s="20"/>
      <c r="Q5968" s="20"/>
      <c r="R5968" s="20"/>
      <c r="S5968" s="20"/>
      <c r="T5968" s="20"/>
    </row>
    <row r="5969" spans="13:20" x14ac:dyDescent="0.2">
      <c r="M5969" s="20"/>
      <c r="N5969" s="20"/>
      <c r="O5969" s="20"/>
      <c r="P5969" s="20"/>
      <c r="Q5969" s="20"/>
      <c r="R5969" s="20"/>
      <c r="S5969" s="20"/>
      <c r="T5969" s="20"/>
    </row>
    <row r="5970" spans="13:20" x14ac:dyDescent="0.2">
      <c r="M5970" s="20"/>
      <c r="N5970" s="20"/>
      <c r="O5970" s="20"/>
      <c r="P5970" s="20"/>
      <c r="Q5970" s="20"/>
      <c r="R5970" s="20"/>
      <c r="S5970" s="20"/>
      <c r="T5970" s="20"/>
    </row>
    <row r="5971" spans="13:20" x14ac:dyDescent="0.2">
      <c r="M5971" s="20"/>
      <c r="N5971" s="20"/>
      <c r="O5971" s="20"/>
      <c r="P5971" s="20"/>
      <c r="Q5971" s="20"/>
      <c r="R5971" s="20"/>
      <c r="S5971" s="20"/>
      <c r="T5971" s="20"/>
    </row>
    <row r="5972" spans="13:20" x14ac:dyDescent="0.2">
      <c r="M5972" s="20"/>
      <c r="N5972" s="20"/>
      <c r="O5972" s="20"/>
      <c r="P5972" s="20"/>
      <c r="Q5972" s="20"/>
      <c r="R5972" s="20"/>
      <c r="S5972" s="20"/>
      <c r="T5972" s="20"/>
    </row>
    <row r="5973" spans="13:20" x14ac:dyDescent="0.2">
      <c r="M5973" s="20"/>
      <c r="N5973" s="20"/>
      <c r="O5973" s="20"/>
      <c r="P5973" s="20"/>
      <c r="Q5973" s="20"/>
      <c r="R5973" s="20"/>
      <c r="S5973" s="20"/>
      <c r="T5973" s="20"/>
    </row>
    <row r="5974" spans="13:20" x14ac:dyDescent="0.2">
      <c r="M5974" s="20"/>
      <c r="N5974" s="20"/>
      <c r="O5974" s="20"/>
      <c r="P5974" s="20"/>
      <c r="Q5974" s="20"/>
      <c r="R5974" s="20"/>
      <c r="S5974" s="20"/>
      <c r="T5974" s="20"/>
    </row>
    <row r="5975" spans="13:20" x14ac:dyDescent="0.2">
      <c r="M5975" s="20"/>
      <c r="N5975" s="20"/>
      <c r="O5975" s="20"/>
      <c r="P5975" s="20"/>
      <c r="Q5975" s="20"/>
      <c r="R5975" s="20"/>
      <c r="S5975" s="20"/>
      <c r="T5975" s="20"/>
    </row>
    <row r="5976" spans="13:20" x14ac:dyDescent="0.2">
      <c r="M5976" s="20"/>
      <c r="N5976" s="20"/>
      <c r="O5976" s="20"/>
      <c r="P5976" s="20"/>
      <c r="Q5976" s="20"/>
      <c r="R5976" s="20"/>
      <c r="S5976" s="20"/>
      <c r="T5976" s="20"/>
    </row>
    <row r="5977" spans="13:20" x14ac:dyDescent="0.2">
      <c r="M5977" s="20"/>
      <c r="N5977" s="20"/>
      <c r="O5977" s="20"/>
      <c r="P5977" s="20"/>
      <c r="Q5977" s="20"/>
      <c r="R5977" s="20"/>
      <c r="S5977" s="20"/>
      <c r="T5977" s="20"/>
    </row>
    <row r="5978" spans="13:20" x14ac:dyDescent="0.2">
      <c r="M5978" s="20"/>
      <c r="N5978" s="20"/>
      <c r="O5978" s="20"/>
      <c r="P5978" s="20"/>
      <c r="Q5978" s="20"/>
      <c r="R5978" s="20"/>
      <c r="S5978" s="20"/>
      <c r="T5978" s="20"/>
    </row>
    <row r="5979" spans="13:20" x14ac:dyDescent="0.2">
      <c r="M5979" s="20"/>
      <c r="N5979" s="20"/>
      <c r="O5979" s="20"/>
      <c r="P5979" s="20"/>
      <c r="Q5979" s="20"/>
      <c r="R5979" s="20"/>
      <c r="S5979" s="20"/>
      <c r="T5979" s="20"/>
    </row>
    <row r="5980" spans="13:20" x14ac:dyDescent="0.2">
      <c r="M5980" s="20"/>
      <c r="N5980" s="20"/>
      <c r="O5980" s="20"/>
      <c r="P5980" s="20"/>
      <c r="Q5980" s="20"/>
      <c r="R5980" s="20"/>
      <c r="S5980" s="20"/>
      <c r="T5980" s="20"/>
    </row>
    <row r="5981" spans="13:20" x14ac:dyDescent="0.2">
      <c r="M5981" s="20"/>
      <c r="N5981" s="20"/>
      <c r="O5981" s="20"/>
      <c r="P5981" s="20"/>
      <c r="Q5981" s="20"/>
      <c r="R5981" s="20"/>
      <c r="S5981" s="20"/>
      <c r="T5981" s="20"/>
    </row>
    <row r="5982" spans="13:20" x14ac:dyDescent="0.2">
      <c r="M5982" s="20"/>
      <c r="N5982" s="20"/>
      <c r="O5982" s="20"/>
      <c r="P5982" s="20"/>
      <c r="Q5982" s="20"/>
      <c r="R5982" s="20"/>
      <c r="S5982" s="20"/>
      <c r="T5982" s="20"/>
    </row>
    <row r="5983" spans="13:20" x14ac:dyDescent="0.2">
      <c r="M5983" s="20"/>
      <c r="N5983" s="20"/>
      <c r="O5983" s="20"/>
      <c r="P5983" s="20"/>
      <c r="Q5983" s="20"/>
      <c r="R5983" s="20"/>
      <c r="S5983" s="20"/>
      <c r="T5983" s="20"/>
    </row>
    <row r="5984" spans="13:20" x14ac:dyDescent="0.2">
      <c r="M5984" s="20"/>
      <c r="N5984" s="20"/>
      <c r="O5984" s="20"/>
      <c r="P5984" s="20"/>
      <c r="Q5984" s="20"/>
      <c r="R5984" s="20"/>
      <c r="S5984" s="20"/>
      <c r="T5984" s="20"/>
    </row>
    <row r="5985" spans="13:20" x14ac:dyDescent="0.2">
      <c r="M5985" s="20"/>
      <c r="N5985" s="20"/>
      <c r="O5985" s="20"/>
      <c r="P5985" s="20"/>
      <c r="Q5985" s="20"/>
      <c r="R5985" s="20"/>
      <c r="S5985" s="20"/>
      <c r="T5985" s="20"/>
    </row>
    <row r="5986" spans="13:20" x14ac:dyDescent="0.2">
      <c r="M5986" s="20"/>
      <c r="N5986" s="20"/>
      <c r="O5986" s="20"/>
      <c r="P5986" s="20"/>
      <c r="Q5986" s="20"/>
      <c r="R5986" s="20"/>
      <c r="S5986" s="20"/>
      <c r="T5986" s="20"/>
    </row>
    <row r="5987" spans="13:20" x14ac:dyDescent="0.2">
      <c r="M5987" s="20"/>
      <c r="N5987" s="20"/>
      <c r="O5987" s="20"/>
      <c r="P5987" s="20"/>
      <c r="Q5987" s="20"/>
      <c r="R5987" s="20"/>
      <c r="S5987" s="20"/>
      <c r="T5987" s="20"/>
    </row>
    <row r="5988" spans="13:20" x14ac:dyDescent="0.2">
      <c r="M5988" s="20"/>
      <c r="N5988" s="20"/>
      <c r="O5988" s="20"/>
      <c r="P5988" s="20"/>
      <c r="Q5988" s="20"/>
      <c r="R5988" s="20"/>
      <c r="S5988" s="20"/>
      <c r="T5988" s="20"/>
    </row>
    <row r="5989" spans="13:20" x14ac:dyDescent="0.2">
      <c r="M5989" s="20"/>
      <c r="N5989" s="20"/>
      <c r="O5989" s="20"/>
      <c r="P5989" s="20"/>
      <c r="Q5989" s="20"/>
      <c r="R5989" s="20"/>
      <c r="S5989" s="20"/>
      <c r="T5989" s="20"/>
    </row>
    <row r="5990" spans="13:20" x14ac:dyDescent="0.2">
      <c r="M5990" s="20"/>
      <c r="N5990" s="20"/>
      <c r="O5990" s="20"/>
      <c r="P5990" s="20"/>
      <c r="Q5990" s="20"/>
      <c r="R5990" s="20"/>
      <c r="S5990" s="20"/>
      <c r="T5990" s="20"/>
    </row>
    <row r="5991" spans="13:20" x14ac:dyDescent="0.2">
      <c r="M5991" s="20"/>
      <c r="N5991" s="20"/>
      <c r="O5991" s="20"/>
      <c r="P5991" s="20"/>
      <c r="Q5991" s="20"/>
      <c r="R5991" s="20"/>
      <c r="S5991" s="20"/>
      <c r="T5991" s="20"/>
    </row>
    <row r="5992" spans="13:20" x14ac:dyDescent="0.2">
      <c r="M5992" s="20"/>
      <c r="N5992" s="20"/>
      <c r="O5992" s="20"/>
      <c r="P5992" s="20"/>
      <c r="Q5992" s="20"/>
      <c r="R5992" s="20"/>
      <c r="S5992" s="20"/>
      <c r="T5992" s="20"/>
    </row>
    <row r="5993" spans="13:20" x14ac:dyDescent="0.2">
      <c r="M5993" s="20"/>
      <c r="N5993" s="20"/>
      <c r="O5993" s="20"/>
      <c r="P5993" s="20"/>
      <c r="Q5993" s="20"/>
      <c r="R5993" s="20"/>
      <c r="S5993" s="20"/>
      <c r="T5993" s="20"/>
    </row>
    <row r="5994" spans="13:20" x14ac:dyDescent="0.2">
      <c r="M5994" s="20"/>
      <c r="N5994" s="20"/>
      <c r="O5994" s="20"/>
      <c r="P5994" s="20"/>
      <c r="Q5994" s="20"/>
      <c r="R5994" s="20"/>
      <c r="S5994" s="20"/>
      <c r="T5994" s="20"/>
    </row>
    <row r="5995" spans="13:20" x14ac:dyDescent="0.2">
      <c r="M5995" s="20"/>
      <c r="N5995" s="20"/>
      <c r="O5995" s="20"/>
      <c r="P5995" s="20"/>
      <c r="Q5995" s="20"/>
      <c r="R5995" s="20"/>
      <c r="S5995" s="20"/>
      <c r="T5995" s="20"/>
    </row>
    <row r="5996" spans="13:20" x14ac:dyDescent="0.2">
      <c r="M5996" s="20"/>
      <c r="N5996" s="20"/>
      <c r="O5996" s="20"/>
      <c r="P5996" s="20"/>
      <c r="Q5996" s="20"/>
      <c r="R5996" s="20"/>
      <c r="S5996" s="20"/>
      <c r="T5996" s="20"/>
    </row>
    <row r="5997" spans="13:20" x14ac:dyDescent="0.2">
      <c r="M5997" s="20"/>
      <c r="N5997" s="20"/>
      <c r="O5997" s="20"/>
      <c r="P5997" s="20"/>
      <c r="Q5997" s="20"/>
      <c r="R5997" s="20"/>
      <c r="S5997" s="20"/>
      <c r="T5997" s="20"/>
    </row>
    <row r="5998" spans="13:20" x14ac:dyDescent="0.2">
      <c r="M5998" s="20"/>
      <c r="N5998" s="20"/>
      <c r="O5998" s="20"/>
      <c r="P5998" s="20"/>
      <c r="Q5998" s="20"/>
      <c r="R5998" s="20"/>
      <c r="S5998" s="20"/>
      <c r="T5998" s="20"/>
    </row>
    <row r="5999" spans="13:20" x14ac:dyDescent="0.2">
      <c r="M5999" s="20"/>
      <c r="N5999" s="20"/>
      <c r="O5999" s="20"/>
      <c r="P5999" s="20"/>
      <c r="Q5999" s="20"/>
      <c r="R5999" s="20"/>
      <c r="S5999" s="20"/>
      <c r="T5999" s="20"/>
    </row>
    <row r="6000" spans="13:20" x14ac:dyDescent="0.2">
      <c r="M6000" s="20"/>
      <c r="N6000" s="20"/>
      <c r="O6000" s="20"/>
      <c r="P6000" s="20"/>
      <c r="Q6000" s="20"/>
      <c r="R6000" s="20"/>
      <c r="S6000" s="20"/>
      <c r="T6000" s="20"/>
    </row>
    <row r="6001" spans="13:20" x14ac:dyDescent="0.2">
      <c r="M6001" s="20"/>
      <c r="N6001" s="20"/>
      <c r="O6001" s="20"/>
      <c r="P6001" s="20"/>
      <c r="Q6001" s="20"/>
      <c r="R6001" s="20"/>
      <c r="S6001" s="20"/>
      <c r="T6001" s="20"/>
    </row>
    <row r="6002" spans="13:20" x14ac:dyDescent="0.2">
      <c r="M6002" s="20"/>
      <c r="N6002" s="20"/>
      <c r="O6002" s="20"/>
      <c r="P6002" s="20"/>
      <c r="Q6002" s="20"/>
      <c r="R6002" s="20"/>
      <c r="S6002" s="20"/>
      <c r="T6002" s="20"/>
    </row>
    <row r="6003" spans="13:20" x14ac:dyDescent="0.2">
      <c r="M6003" s="20"/>
      <c r="N6003" s="20"/>
      <c r="O6003" s="20"/>
      <c r="P6003" s="20"/>
      <c r="Q6003" s="20"/>
      <c r="R6003" s="20"/>
      <c r="S6003" s="20"/>
      <c r="T6003" s="20"/>
    </row>
    <row r="6004" spans="13:20" x14ac:dyDescent="0.2">
      <c r="M6004" s="20"/>
      <c r="N6004" s="20"/>
      <c r="O6004" s="20"/>
      <c r="P6004" s="20"/>
      <c r="Q6004" s="20"/>
      <c r="R6004" s="20"/>
      <c r="S6004" s="20"/>
      <c r="T6004" s="20"/>
    </row>
    <row r="6005" spans="13:20" x14ac:dyDescent="0.2">
      <c r="M6005" s="20"/>
      <c r="N6005" s="20"/>
      <c r="O6005" s="20"/>
      <c r="P6005" s="20"/>
      <c r="Q6005" s="20"/>
      <c r="R6005" s="20"/>
      <c r="S6005" s="20"/>
      <c r="T6005" s="20"/>
    </row>
    <row r="6006" spans="13:20" x14ac:dyDescent="0.2">
      <c r="M6006" s="20"/>
      <c r="N6006" s="20"/>
      <c r="O6006" s="20"/>
      <c r="P6006" s="20"/>
      <c r="Q6006" s="20"/>
      <c r="R6006" s="20"/>
      <c r="S6006" s="20"/>
      <c r="T6006" s="20"/>
    </row>
    <row r="6007" spans="13:20" x14ac:dyDescent="0.2">
      <c r="M6007" s="20"/>
      <c r="N6007" s="20"/>
      <c r="O6007" s="20"/>
      <c r="P6007" s="20"/>
      <c r="Q6007" s="20"/>
      <c r="R6007" s="20"/>
      <c r="S6007" s="20"/>
      <c r="T6007" s="20"/>
    </row>
    <row r="6008" spans="13:20" x14ac:dyDescent="0.2">
      <c r="M6008" s="20"/>
      <c r="N6008" s="20"/>
      <c r="O6008" s="20"/>
      <c r="P6008" s="20"/>
      <c r="Q6008" s="20"/>
      <c r="R6008" s="20"/>
      <c r="S6008" s="20"/>
      <c r="T6008" s="20"/>
    </row>
    <row r="6009" spans="13:20" x14ac:dyDescent="0.2">
      <c r="M6009" s="20"/>
      <c r="N6009" s="20"/>
      <c r="O6009" s="20"/>
      <c r="P6009" s="20"/>
      <c r="Q6009" s="20"/>
      <c r="R6009" s="20"/>
      <c r="S6009" s="20"/>
      <c r="T6009" s="20"/>
    </row>
    <row r="6010" spans="13:20" x14ac:dyDescent="0.2">
      <c r="M6010" s="20"/>
      <c r="N6010" s="20"/>
      <c r="O6010" s="20"/>
      <c r="P6010" s="20"/>
      <c r="Q6010" s="20"/>
      <c r="R6010" s="20"/>
      <c r="S6010" s="20"/>
      <c r="T6010" s="20"/>
    </row>
    <row r="6011" spans="13:20" x14ac:dyDescent="0.2">
      <c r="M6011" s="20"/>
      <c r="N6011" s="20"/>
      <c r="O6011" s="20"/>
      <c r="P6011" s="20"/>
      <c r="Q6011" s="20"/>
      <c r="R6011" s="20"/>
      <c r="S6011" s="20"/>
      <c r="T6011" s="20"/>
    </row>
    <row r="6012" spans="13:20" x14ac:dyDescent="0.2">
      <c r="M6012" s="20"/>
      <c r="N6012" s="20"/>
      <c r="O6012" s="20"/>
      <c r="P6012" s="20"/>
      <c r="Q6012" s="20"/>
      <c r="R6012" s="20"/>
      <c r="S6012" s="20"/>
      <c r="T6012" s="20"/>
    </row>
    <row r="6013" spans="13:20" x14ac:dyDescent="0.2">
      <c r="M6013" s="20"/>
      <c r="N6013" s="20"/>
      <c r="O6013" s="20"/>
      <c r="P6013" s="20"/>
      <c r="Q6013" s="20"/>
      <c r="R6013" s="20"/>
      <c r="S6013" s="20"/>
      <c r="T6013" s="20"/>
    </row>
    <row r="6014" spans="13:20" x14ac:dyDescent="0.2">
      <c r="M6014" s="20"/>
      <c r="N6014" s="20"/>
      <c r="O6014" s="20"/>
      <c r="P6014" s="20"/>
      <c r="Q6014" s="20"/>
      <c r="R6014" s="20"/>
      <c r="S6014" s="20"/>
      <c r="T6014" s="20"/>
    </row>
    <row r="6015" spans="13:20" x14ac:dyDescent="0.2">
      <c r="M6015" s="20"/>
      <c r="N6015" s="20"/>
      <c r="O6015" s="20"/>
      <c r="P6015" s="20"/>
      <c r="Q6015" s="20"/>
      <c r="R6015" s="20"/>
      <c r="S6015" s="20"/>
      <c r="T6015" s="20"/>
    </row>
    <row r="6016" spans="13:20" x14ac:dyDescent="0.2">
      <c r="M6016" s="20"/>
      <c r="N6016" s="20"/>
      <c r="O6016" s="20"/>
      <c r="P6016" s="20"/>
      <c r="Q6016" s="20"/>
      <c r="R6016" s="20"/>
      <c r="S6016" s="20"/>
      <c r="T6016" s="20"/>
    </row>
    <row r="6017" spans="13:20" x14ac:dyDescent="0.2">
      <c r="M6017" s="20"/>
      <c r="N6017" s="20"/>
      <c r="O6017" s="20"/>
      <c r="P6017" s="20"/>
      <c r="Q6017" s="20"/>
      <c r="R6017" s="20"/>
      <c r="S6017" s="20"/>
      <c r="T6017" s="20"/>
    </row>
    <row r="6018" spans="13:20" x14ac:dyDescent="0.2">
      <c r="M6018" s="20"/>
      <c r="N6018" s="20"/>
      <c r="O6018" s="20"/>
      <c r="P6018" s="20"/>
      <c r="Q6018" s="20"/>
      <c r="R6018" s="20"/>
      <c r="S6018" s="20"/>
      <c r="T6018" s="20"/>
    </row>
    <row r="6019" spans="13:20" x14ac:dyDescent="0.2">
      <c r="M6019" s="20"/>
      <c r="N6019" s="20"/>
      <c r="O6019" s="20"/>
      <c r="P6019" s="20"/>
      <c r="Q6019" s="20"/>
      <c r="R6019" s="20"/>
      <c r="S6019" s="20"/>
      <c r="T6019" s="20"/>
    </row>
    <row r="6020" spans="13:20" x14ac:dyDescent="0.2">
      <c r="M6020" s="20"/>
      <c r="N6020" s="20"/>
      <c r="O6020" s="20"/>
      <c r="P6020" s="20"/>
      <c r="Q6020" s="20"/>
      <c r="R6020" s="20"/>
      <c r="S6020" s="20"/>
      <c r="T6020" s="20"/>
    </row>
    <row r="6021" spans="13:20" x14ac:dyDescent="0.2">
      <c r="M6021" s="20"/>
      <c r="N6021" s="20"/>
      <c r="O6021" s="20"/>
      <c r="P6021" s="20"/>
      <c r="Q6021" s="20"/>
      <c r="R6021" s="20"/>
      <c r="S6021" s="20"/>
      <c r="T6021" s="20"/>
    </row>
    <row r="6022" spans="13:20" x14ac:dyDescent="0.2">
      <c r="M6022" s="20"/>
      <c r="N6022" s="20"/>
      <c r="O6022" s="20"/>
      <c r="P6022" s="20"/>
      <c r="Q6022" s="20"/>
      <c r="R6022" s="20"/>
      <c r="S6022" s="20"/>
      <c r="T6022" s="20"/>
    </row>
    <row r="6023" spans="13:20" x14ac:dyDescent="0.2">
      <c r="M6023" s="20"/>
      <c r="N6023" s="20"/>
      <c r="O6023" s="20"/>
      <c r="P6023" s="20"/>
      <c r="Q6023" s="20"/>
      <c r="R6023" s="20"/>
      <c r="S6023" s="20"/>
      <c r="T6023" s="20"/>
    </row>
    <row r="6024" spans="13:20" x14ac:dyDescent="0.2">
      <c r="M6024" s="20"/>
      <c r="N6024" s="20"/>
      <c r="O6024" s="20"/>
      <c r="P6024" s="20"/>
      <c r="Q6024" s="20"/>
      <c r="R6024" s="20"/>
      <c r="S6024" s="20"/>
      <c r="T6024" s="20"/>
    </row>
    <row r="6025" spans="13:20" x14ac:dyDescent="0.2">
      <c r="M6025" s="20"/>
      <c r="N6025" s="20"/>
      <c r="O6025" s="20"/>
      <c r="P6025" s="20"/>
      <c r="Q6025" s="20"/>
      <c r="R6025" s="20"/>
      <c r="S6025" s="20"/>
      <c r="T6025" s="20"/>
    </row>
    <row r="6026" spans="13:20" x14ac:dyDescent="0.2">
      <c r="M6026" s="20"/>
      <c r="N6026" s="20"/>
      <c r="O6026" s="20"/>
      <c r="P6026" s="20"/>
      <c r="Q6026" s="20"/>
      <c r="R6026" s="20"/>
      <c r="S6026" s="20"/>
      <c r="T6026" s="20"/>
    </row>
    <row r="6027" spans="13:20" x14ac:dyDescent="0.2">
      <c r="M6027" s="20"/>
      <c r="N6027" s="20"/>
      <c r="O6027" s="20"/>
      <c r="P6027" s="20"/>
      <c r="Q6027" s="20"/>
      <c r="R6027" s="20"/>
      <c r="S6027" s="20"/>
      <c r="T6027" s="20"/>
    </row>
    <row r="6028" spans="13:20" x14ac:dyDescent="0.2">
      <c r="M6028" s="20"/>
      <c r="N6028" s="20"/>
      <c r="O6028" s="20"/>
      <c r="P6028" s="20"/>
      <c r="Q6028" s="20"/>
      <c r="R6028" s="20"/>
      <c r="S6028" s="20"/>
      <c r="T6028" s="20"/>
    </row>
    <row r="6029" spans="13:20" x14ac:dyDescent="0.2">
      <c r="M6029" s="20"/>
      <c r="N6029" s="20"/>
      <c r="O6029" s="20"/>
      <c r="P6029" s="20"/>
      <c r="Q6029" s="20"/>
      <c r="R6029" s="20"/>
      <c r="S6029" s="20"/>
      <c r="T6029" s="20"/>
    </row>
    <row r="6030" spans="13:20" x14ac:dyDescent="0.2">
      <c r="M6030" s="20"/>
      <c r="N6030" s="20"/>
      <c r="O6030" s="20"/>
      <c r="P6030" s="20"/>
      <c r="Q6030" s="20"/>
      <c r="R6030" s="20"/>
      <c r="S6030" s="20"/>
      <c r="T6030" s="20"/>
    </row>
    <row r="6031" spans="13:20" x14ac:dyDescent="0.2">
      <c r="M6031" s="20"/>
      <c r="N6031" s="20"/>
      <c r="O6031" s="20"/>
      <c r="P6031" s="20"/>
      <c r="Q6031" s="20"/>
      <c r="R6031" s="20"/>
      <c r="S6031" s="20"/>
      <c r="T6031" s="20"/>
    </row>
    <row r="6032" spans="13:20" x14ac:dyDescent="0.2">
      <c r="M6032" s="20"/>
      <c r="N6032" s="20"/>
      <c r="O6032" s="20"/>
      <c r="P6032" s="20"/>
      <c r="Q6032" s="20"/>
      <c r="R6032" s="20"/>
      <c r="S6032" s="20"/>
      <c r="T6032" s="20"/>
    </row>
    <row r="6033" spans="13:20" x14ac:dyDescent="0.2">
      <c r="M6033" s="20"/>
      <c r="N6033" s="20"/>
      <c r="O6033" s="20"/>
      <c r="P6033" s="20"/>
      <c r="Q6033" s="20"/>
      <c r="R6033" s="20"/>
      <c r="S6033" s="20"/>
      <c r="T6033" s="20"/>
    </row>
    <row r="6034" spans="13:20" x14ac:dyDescent="0.2">
      <c r="M6034" s="20"/>
      <c r="N6034" s="20"/>
      <c r="O6034" s="20"/>
      <c r="P6034" s="20"/>
      <c r="Q6034" s="20"/>
      <c r="R6034" s="20"/>
      <c r="S6034" s="20"/>
      <c r="T6034" s="20"/>
    </row>
    <row r="6035" spans="13:20" x14ac:dyDescent="0.2">
      <c r="M6035" s="20"/>
      <c r="N6035" s="20"/>
      <c r="O6035" s="20"/>
      <c r="P6035" s="20"/>
      <c r="Q6035" s="20"/>
      <c r="R6035" s="20"/>
      <c r="S6035" s="20"/>
      <c r="T6035" s="20"/>
    </row>
    <row r="6036" spans="13:20" x14ac:dyDescent="0.2">
      <c r="M6036" s="20"/>
      <c r="N6036" s="20"/>
      <c r="O6036" s="20"/>
      <c r="P6036" s="20"/>
      <c r="Q6036" s="20"/>
      <c r="R6036" s="20"/>
      <c r="S6036" s="20"/>
      <c r="T6036" s="20"/>
    </row>
    <row r="6037" spans="13:20" x14ac:dyDescent="0.2">
      <c r="M6037" s="20"/>
      <c r="N6037" s="20"/>
      <c r="O6037" s="20"/>
      <c r="P6037" s="20"/>
      <c r="Q6037" s="20"/>
      <c r="R6037" s="20"/>
      <c r="S6037" s="20"/>
      <c r="T6037" s="20"/>
    </row>
    <row r="6038" spans="13:20" x14ac:dyDescent="0.2">
      <c r="M6038" s="20"/>
      <c r="N6038" s="20"/>
      <c r="O6038" s="20"/>
      <c r="P6038" s="20"/>
      <c r="Q6038" s="20"/>
      <c r="R6038" s="20"/>
      <c r="S6038" s="20"/>
      <c r="T6038" s="20"/>
    </row>
    <row r="6039" spans="13:20" x14ac:dyDescent="0.2">
      <c r="M6039" s="20"/>
      <c r="N6039" s="20"/>
      <c r="O6039" s="20"/>
      <c r="P6039" s="20"/>
      <c r="Q6039" s="20"/>
      <c r="R6039" s="20"/>
      <c r="S6039" s="20"/>
      <c r="T6039" s="20"/>
    </row>
    <row r="6040" spans="13:20" x14ac:dyDescent="0.2">
      <c r="M6040" s="20"/>
      <c r="N6040" s="20"/>
      <c r="O6040" s="20"/>
      <c r="P6040" s="20"/>
      <c r="Q6040" s="20"/>
      <c r="R6040" s="20"/>
      <c r="S6040" s="20"/>
      <c r="T6040" s="20"/>
    </row>
    <row r="6041" spans="13:20" x14ac:dyDescent="0.2">
      <c r="M6041" s="20"/>
      <c r="N6041" s="20"/>
      <c r="O6041" s="20"/>
      <c r="P6041" s="20"/>
      <c r="Q6041" s="20"/>
      <c r="R6041" s="20"/>
      <c r="S6041" s="20"/>
      <c r="T6041" s="20"/>
    </row>
    <row r="6042" spans="13:20" x14ac:dyDescent="0.2">
      <c r="M6042" s="20"/>
      <c r="N6042" s="20"/>
      <c r="O6042" s="20"/>
      <c r="P6042" s="20"/>
      <c r="Q6042" s="20"/>
      <c r="R6042" s="20"/>
      <c r="S6042" s="20"/>
      <c r="T6042" s="20"/>
    </row>
    <row r="6043" spans="13:20" x14ac:dyDescent="0.2">
      <c r="M6043" s="20"/>
      <c r="N6043" s="20"/>
      <c r="O6043" s="20"/>
      <c r="P6043" s="20"/>
      <c r="Q6043" s="20"/>
      <c r="R6043" s="20"/>
      <c r="S6043" s="20"/>
      <c r="T6043" s="20"/>
    </row>
  </sheetData>
  <autoFilter ref="M43:T6000" xr:uid="{00000000-0009-0000-0000-000000000000}"/>
  <mergeCells count="5">
    <mergeCell ref="B34:C34"/>
    <mergeCell ref="C41:G41"/>
    <mergeCell ref="H42:L42"/>
    <mergeCell ref="M42:O42"/>
    <mergeCell ref="P42:U42"/>
  </mergeCells>
  <pageMargins left="0.7" right="0.7" top="0.75" bottom="0.75" header="0.3" footer="0.3"/>
  <pageSetup paperSize="9" orientation="portrait" r:id="rId1"/>
  <ignoredErrors>
    <ignoredError sqref="U44:U543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2" r:id="rId4" name="Button 20">
              <controlPr defaultSize="0" print="0" autoFill="0" autoPict="0" macro="[0]!Módulo2.markowitz">
                <anchor moveWithCells="1" sizeWithCells="1">
                  <from>
                    <xdr:col>4</xdr:col>
                    <xdr:colOff>228600</xdr:colOff>
                    <xdr:row>28</xdr:row>
                    <xdr:rowOff>85725</xdr:rowOff>
                  </from>
                  <to>
                    <xdr:col>6</xdr:col>
                    <xdr:colOff>495300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5" name="Button 21">
              <controlPr defaultSize="0" print="0" autoFill="0" autoPict="0" macro="[0]!limpiar">
                <anchor moveWithCells="1" sizeWithCells="1">
                  <from>
                    <xdr:col>4</xdr:col>
                    <xdr:colOff>238125</xdr:colOff>
                    <xdr:row>34</xdr:row>
                    <xdr:rowOff>0</xdr:rowOff>
                  </from>
                  <to>
                    <xdr:col>6</xdr:col>
                    <xdr:colOff>485775</xdr:colOff>
                    <xdr:row>37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8</vt:i4>
      </vt:variant>
    </vt:vector>
  </HeadingPairs>
  <TitlesOfParts>
    <vt:vector size="9" baseType="lpstr">
      <vt:lpstr>Markowitz</vt:lpstr>
      <vt:lpstr>n_de_simulaciones</vt:lpstr>
      <vt:lpstr>pendiente</vt:lpstr>
      <vt:lpstr>peso_maximo_activo</vt:lpstr>
      <vt:lpstr>peso_maximo_cartera</vt:lpstr>
      <vt:lpstr>peso_minimo_activo</vt:lpstr>
      <vt:lpstr>peso_minimo_cartera</vt:lpstr>
      <vt:lpstr>rentabilidad</vt:lpstr>
      <vt:lpstr>riesgo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gmelendez</dc:creator>
  <cp:lastModifiedBy>Guillermo Melendez Alonso</cp:lastModifiedBy>
  <dcterms:created xsi:type="dcterms:W3CDTF">2012-08-07T10:30:12Z</dcterms:created>
  <dcterms:modified xsi:type="dcterms:W3CDTF">2020-06-29T16:38:02Z</dcterms:modified>
</cp:coreProperties>
</file>